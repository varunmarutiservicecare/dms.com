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4000" windowHeight="9735"/>
  </bookViews>
  <sheets>
    <sheet name="FINAL SHEET" sheetId="6" r:id="rId1"/>
    <sheet name="SMRE" sheetId="10" r:id="rId2"/>
    <sheet name="WASHING" sheetId="11" r:id="rId3"/>
    <sheet name="VAS RAW" sheetId="1" r:id="rId4"/>
    <sheet name="VAS INC" sheetId="4" r:id="rId5"/>
    <sheet name="MCP" sheetId="3" r:id="rId6"/>
    <sheet name="CERAMIC" sheetId="2" r:id="rId7"/>
    <sheet name="OILS &amp; BATTERYS" sheetId="7" r:id="rId8"/>
    <sheet name="ACCESS DMS DATA" sheetId="8" r:id="rId9"/>
    <sheet name="ACCESS SUMMARY" sheetId="9" r:id="rId10"/>
  </sheets>
  <definedNames>
    <definedName name="_xlnm._FilterDatabase" localSheetId="0" hidden="1">'FINAL SHEET'!$A$2:$Z$35</definedName>
    <definedName name="_xlnm._FilterDatabase" localSheetId="3" hidden="1">'VAS RAW'!$A$1:$X$110</definedName>
  </definedNames>
  <calcPr calcId="152511"/>
  <pivotCaches>
    <pivotCache cacheId="1" r:id="rId11"/>
    <pivotCache cacheId="2" r:id="rId12"/>
  </pivotCaches>
</workbook>
</file>

<file path=xl/calcChain.xml><?xml version="1.0" encoding="utf-8"?>
<calcChain xmlns="http://schemas.openxmlformats.org/spreadsheetml/2006/main">
  <c r="P33" i="6" l="1"/>
  <c r="P34" i="6"/>
  <c r="P35" i="6"/>
  <c r="E37" i="6" l="1"/>
  <c r="P32" i="6"/>
  <c r="AB6" i="10" l="1"/>
  <c r="Y6" i="10"/>
  <c r="E18" i="11"/>
  <c r="E15" i="11"/>
  <c r="E13" i="11"/>
  <c r="E12" i="11"/>
  <c r="E11" i="11"/>
  <c r="E9" i="11"/>
  <c r="E8" i="11"/>
  <c r="E7" i="11"/>
  <c r="E6" i="11"/>
  <c r="E5" i="11"/>
  <c r="AC6" i="10" l="1"/>
  <c r="AC7" i="10" s="1"/>
  <c r="E14" i="11"/>
  <c r="D16" i="11" s="1"/>
  <c r="E17" i="11" s="1"/>
  <c r="E19" i="11" s="1"/>
  <c r="E21" i="11" s="1"/>
  <c r="L5" i="11" s="1"/>
  <c r="L3" i="6"/>
  <c r="T10" i="9" l="1"/>
  <c r="D194" i="9"/>
  <c r="D193" i="9"/>
  <c r="D192" i="9"/>
  <c r="D191" i="9"/>
  <c r="D190" i="9"/>
  <c r="D189" i="9"/>
  <c r="D195" i="9" s="1"/>
  <c r="D187" i="9"/>
  <c r="B187" i="9"/>
  <c r="D186" i="9"/>
  <c r="B183" i="9"/>
  <c r="B185" i="9" s="1"/>
  <c r="O177" i="9"/>
  <c r="N177" i="9"/>
  <c r="M177" i="9"/>
  <c r="L177" i="9"/>
  <c r="K177" i="9"/>
  <c r="J177" i="9"/>
  <c r="P177" i="9" s="1"/>
  <c r="O176" i="9"/>
  <c r="N176" i="9"/>
  <c r="M176" i="9"/>
  <c r="L176" i="9"/>
  <c r="P176" i="9" s="1"/>
  <c r="K176" i="9"/>
  <c r="J176" i="9"/>
  <c r="O175" i="9"/>
  <c r="N175" i="9"/>
  <c r="M175" i="9"/>
  <c r="L175" i="9"/>
  <c r="K175" i="9"/>
  <c r="P175" i="9" s="1"/>
  <c r="J175" i="9"/>
  <c r="O174" i="9"/>
  <c r="N174" i="9"/>
  <c r="M174" i="9"/>
  <c r="L174" i="9"/>
  <c r="K174" i="9"/>
  <c r="J174" i="9"/>
  <c r="P174" i="9" s="1"/>
  <c r="O173" i="9"/>
  <c r="N173" i="9"/>
  <c r="M173" i="9"/>
  <c r="L173" i="9"/>
  <c r="K173" i="9"/>
  <c r="J173" i="9"/>
  <c r="P173" i="9" s="1"/>
  <c r="P172" i="9"/>
  <c r="O172" i="9"/>
  <c r="N172" i="9"/>
  <c r="M172" i="9"/>
  <c r="L172" i="9"/>
  <c r="K172" i="9"/>
  <c r="J172" i="9"/>
  <c r="O171" i="9"/>
  <c r="N171" i="9"/>
  <c r="M171" i="9"/>
  <c r="L171" i="9"/>
  <c r="K171" i="9"/>
  <c r="P171" i="9" s="1"/>
  <c r="J171" i="9"/>
  <c r="O170" i="9"/>
  <c r="N170" i="9"/>
  <c r="M170" i="9"/>
  <c r="L170" i="9"/>
  <c r="K170" i="9"/>
  <c r="J170" i="9"/>
  <c r="P170" i="9" s="1"/>
  <c r="O169" i="9"/>
  <c r="N169" i="9"/>
  <c r="M169" i="9"/>
  <c r="L169" i="9"/>
  <c r="K169" i="9"/>
  <c r="J169" i="9"/>
  <c r="P169" i="9" s="1"/>
  <c r="P168" i="9"/>
  <c r="O168" i="9"/>
  <c r="N168" i="9"/>
  <c r="M168" i="9"/>
  <c r="L168" i="9"/>
  <c r="K168" i="9"/>
  <c r="J168" i="9"/>
  <c r="O167" i="9"/>
  <c r="N167" i="9"/>
  <c r="M167" i="9"/>
  <c r="L167" i="9"/>
  <c r="K167" i="9"/>
  <c r="P167" i="9" s="1"/>
  <c r="J167" i="9"/>
  <c r="O166" i="9"/>
  <c r="N166" i="9"/>
  <c r="M166" i="9"/>
  <c r="L166" i="9"/>
  <c r="K166" i="9"/>
  <c r="J166" i="9"/>
  <c r="P166" i="9" s="1"/>
  <c r="O165" i="9"/>
  <c r="N165" i="9"/>
  <c r="M165" i="9"/>
  <c r="L165" i="9"/>
  <c r="K165" i="9"/>
  <c r="J165" i="9"/>
  <c r="P165" i="9" s="1"/>
  <c r="P164" i="9"/>
  <c r="O164" i="9"/>
  <c r="N164" i="9"/>
  <c r="M164" i="9"/>
  <c r="L164" i="9"/>
  <c r="K164" i="9"/>
  <c r="J164" i="9"/>
  <c r="O163" i="9"/>
  <c r="N163" i="9"/>
  <c r="M163" i="9"/>
  <c r="L163" i="9"/>
  <c r="K163" i="9"/>
  <c r="P163" i="9" s="1"/>
  <c r="J163" i="9"/>
  <c r="O162" i="9"/>
  <c r="N162" i="9"/>
  <c r="M162" i="9"/>
  <c r="L162" i="9"/>
  <c r="K162" i="9"/>
  <c r="J162" i="9"/>
  <c r="P162" i="9" s="1"/>
  <c r="O161" i="9"/>
  <c r="N161" i="9"/>
  <c r="M161" i="9"/>
  <c r="L161" i="9"/>
  <c r="K161" i="9"/>
  <c r="J161" i="9"/>
  <c r="P161" i="9" s="1"/>
  <c r="P160" i="9"/>
  <c r="O160" i="9"/>
  <c r="N160" i="9"/>
  <c r="M160" i="9"/>
  <c r="L160" i="9"/>
  <c r="K160" i="9"/>
  <c r="J160" i="9"/>
  <c r="O159" i="9"/>
  <c r="N159" i="9"/>
  <c r="M159" i="9"/>
  <c r="L159" i="9"/>
  <c r="K159" i="9"/>
  <c r="P159" i="9" s="1"/>
  <c r="J159" i="9"/>
  <c r="O158" i="9"/>
  <c r="N158" i="9"/>
  <c r="M158" i="9"/>
  <c r="L158" i="9"/>
  <c r="K158" i="9"/>
  <c r="J158" i="9"/>
  <c r="P158" i="9" s="1"/>
  <c r="O157" i="9"/>
  <c r="N157" i="9"/>
  <c r="M157" i="9"/>
  <c r="L157" i="9"/>
  <c r="K157" i="9"/>
  <c r="J157" i="9"/>
  <c r="P157" i="9" s="1"/>
  <c r="O156" i="9"/>
  <c r="N156" i="9"/>
  <c r="M156" i="9"/>
  <c r="L156" i="9"/>
  <c r="P156" i="9" s="1"/>
  <c r="K156" i="9"/>
  <c r="J156" i="9"/>
  <c r="O155" i="9"/>
  <c r="N155" i="9"/>
  <c r="M155" i="9"/>
  <c r="L155" i="9"/>
  <c r="K155" i="9"/>
  <c r="P155" i="9" s="1"/>
  <c r="J155" i="9"/>
  <c r="O154" i="9"/>
  <c r="N154" i="9"/>
  <c r="M154" i="9"/>
  <c r="L154" i="9"/>
  <c r="K154" i="9"/>
  <c r="J154" i="9"/>
  <c r="P154" i="9" s="1"/>
  <c r="O153" i="9"/>
  <c r="N153" i="9"/>
  <c r="M153" i="9"/>
  <c r="L153" i="9"/>
  <c r="K153" i="9"/>
  <c r="J153" i="9"/>
  <c r="P153" i="9" s="1"/>
  <c r="P152" i="9"/>
  <c r="O152" i="9"/>
  <c r="N152" i="9"/>
  <c r="M152" i="9"/>
  <c r="L152" i="9"/>
  <c r="K152" i="9"/>
  <c r="J152" i="9"/>
  <c r="O151" i="9"/>
  <c r="N151" i="9"/>
  <c r="M151" i="9"/>
  <c r="L151" i="9"/>
  <c r="K151" i="9"/>
  <c r="P151" i="9" s="1"/>
  <c r="J151" i="9"/>
  <c r="O150" i="9"/>
  <c r="N150" i="9"/>
  <c r="M150" i="9"/>
  <c r="L150" i="9"/>
  <c r="K150" i="9"/>
  <c r="J150" i="9"/>
  <c r="P150" i="9" s="1"/>
  <c r="O149" i="9"/>
  <c r="N149" i="9"/>
  <c r="M149" i="9"/>
  <c r="L149" i="9"/>
  <c r="K149" i="9"/>
  <c r="J149" i="9"/>
  <c r="P149" i="9" s="1"/>
  <c r="P148" i="9"/>
  <c r="O148" i="9"/>
  <c r="N148" i="9"/>
  <c r="M148" i="9"/>
  <c r="L148" i="9"/>
  <c r="K148" i="9"/>
  <c r="J148" i="9"/>
  <c r="O147" i="9"/>
  <c r="N147" i="9"/>
  <c r="M147" i="9"/>
  <c r="L147" i="9"/>
  <c r="K147" i="9"/>
  <c r="P147" i="9" s="1"/>
  <c r="J147" i="9"/>
  <c r="O146" i="9"/>
  <c r="N146" i="9"/>
  <c r="M146" i="9"/>
  <c r="L146" i="9"/>
  <c r="K146" i="9"/>
  <c r="J146" i="9"/>
  <c r="P146" i="9" s="1"/>
  <c r="O145" i="9"/>
  <c r="N145" i="9"/>
  <c r="M145" i="9"/>
  <c r="L145" i="9"/>
  <c r="K145" i="9"/>
  <c r="J145" i="9"/>
  <c r="P145" i="9" s="1"/>
  <c r="P144" i="9"/>
  <c r="O144" i="9"/>
  <c r="N144" i="9"/>
  <c r="M144" i="9"/>
  <c r="L144" i="9"/>
  <c r="K144" i="9"/>
  <c r="J144" i="9"/>
  <c r="O143" i="9"/>
  <c r="N143" i="9"/>
  <c r="M143" i="9"/>
  <c r="L143" i="9"/>
  <c r="K143" i="9"/>
  <c r="P143" i="9" s="1"/>
  <c r="J143" i="9"/>
  <c r="O142" i="9"/>
  <c r="N142" i="9"/>
  <c r="M142" i="9"/>
  <c r="L142" i="9"/>
  <c r="K142" i="9"/>
  <c r="J142" i="9"/>
  <c r="P142" i="9" s="1"/>
  <c r="O141" i="9"/>
  <c r="N141" i="9"/>
  <c r="M141" i="9"/>
  <c r="L141" i="9"/>
  <c r="K141" i="9"/>
  <c r="J141" i="9"/>
  <c r="P141" i="9" s="1"/>
  <c r="P140" i="9"/>
  <c r="O140" i="9"/>
  <c r="N140" i="9"/>
  <c r="M140" i="9"/>
  <c r="L140" i="9"/>
  <c r="K140" i="9"/>
  <c r="J140" i="9"/>
  <c r="O139" i="9"/>
  <c r="N139" i="9"/>
  <c r="M139" i="9"/>
  <c r="L139" i="9"/>
  <c r="K139" i="9"/>
  <c r="P139" i="9" s="1"/>
  <c r="J139" i="9"/>
  <c r="O138" i="9"/>
  <c r="N138" i="9"/>
  <c r="M138" i="9"/>
  <c r="L138" i="9"/>
  <c r="K138" i="9"/>
  <c r="J138" i="9"/>
  <c r="P138" i="9" s="1"/>
  <c r="O137" i="9"/>
  <c r="N137" i="9"/>
  <c r="M137" i="9"/>
  <c r="L137" i="9"/>
  <c r="K137" i="9"/>
  <c r="J137" i="9"/>
  <c r="P137" i="9" s="1"/>
  <c r="P136" i="9"/>
  <c r="O136" i="9"/>
  <c r="N136" i="9"/>
  <c r="M136" i="9"/>
  <c r="L136" i="9"/>
  <c r="K136" i="9"/>
  <c r="J136" i="9"/>
  <c r="O135" i="9"/>
  <c r="N135" i="9"/>
  <c r="M135" i="9"/>
  <c r="L135" i="9"/>
  <c r="K135" i="9"/>
  <c r="P135" i="9" s="1"/>
  <c r="J135" i="9"/>
  <c r="O134" i="9"/>
  <c r="N134" i="9"/>
  <c r="M134" i="9"/>
  <c r="L134" i="9"/>
  <c r="K134" i="9"/>
  <c r="J134" i="9"/>
  <c r="P134" i="9" s="1"/>
  <c r="O133" i="9"/>
  <c r="N133" i="9"/>
  <c r="M133" i="9"/>
  <c r="L133" i="9"/>
  <c r="K133" i="9"/>
  <c r="J133" i="9"/>
  <c r="P133" i="9" s="1"/>
  <c r="P132" i="9"/>
  <c r="O132" i="9"/>
  <c r="N132" i="9"/>
  <c r="M132" i="9"/>
  <c r="L132" i="9"/>
  <c r="K132" i="9"/>
  <c r="J132" i="9"/>
  <c r="O131" i="9"/>
  <c r="N131" i="9"/>
  <c r="M131" i="9"/>
  <c r="L131" i="9"/>
  <c r="K131" i="9"/>
  <c r="P131" i="9" s="1"/>
  <c r="J131" i="9"/>
  <c r="O130" i="9"/>
  <c r="N130" i="9"/>
  <c r="M130" i="9"/>
  <c r="L130" i="9"/>
  <c r="K130" i="9"/>
  <c r="J130" i="9"/>
  <c r="P130" i="9" s="1"/>
  <c r="O129" i="9"/>
  <c r="N129" i="9"/>
  <c r="M129" i="9"/>
  <c r="L129" i="9"/>
  <c r="K129" i="9"/>
  <c r="J129" i="9"/>
  <c r="P129" i="9" s="1"/>
  <c r="P128" i="9"/>
  <c r="O128" i="9"/>
  <c r="N128" i="9"/>
  <c r="M128" i="9"/>
  <c r="L128" i="9"/>
  <c r="K128" i="9"/>
  <c r="J128" i="9"/>
  <c r="O127" i="9"/>
  <c r="N127" i="9"/>
  <c r="M127" i="9"/>
  <c r="L127" i="9"/>
  <c r="K127" i="9"/>
  <c r="P127" i="9" s="1"/>
  <c r="J127" i="9"/>
  <c r="O126" i="9"/>
  <c r="N126" i="9"/>
  <c r="M126" i="9"/>
  <c r="L126" i="9"/>
  <c r="K126" i="9"/>
  <c r="J126" i="9"/>
  <c r="P126" i="9" s="1"/>
  <c r="O125" i="9"/>
  <c r="N125" i="9"/>
  <c r="M125" i="9"/>
  <c r="L125" i="9"/>
  <c r="K125" i="9"/>
  <c r="J125" i="9"/>
  <c r="P125" i="9" s="1"/>
  <c r="P124" i="9"/>
  <c r="O124" i="9"/>
  <c r="N124" i="9"/>
  <c r="M124" i="9"/>
  <c r="L124" i="9"/>
  <c r="K124" i="9"/>
  <c r="J124" i="9"/>
  <c r="O123" i="9"/>
  <c r="N123" i="9"/>
  <c r="M123" i="9"/>
  <c r="L123" i="9"/>
  <c r="K123" i="9"/>
  <c r="P123" i="9" s="1"/>
  <c r="J123" i="9"/>
  <c r="O122" i="9"/>
  <c r="N122" i="9"/>
  <c r="M122" i="9"/>
  <c r="L122" i="9"/>
  <c r="K122" i="9"/>
  <c r="J122" i="9"/>
  <c r="P122" i="9" s="1"/>
  <c r="O121" i="9"/>
  <c r="N121" i="9"/>
  <c r="M121" i="9"/>
  <c r="L121" i="9"/>
  <c r="K121" i="9"/>
  <c r="J121" i="9"/>
  <c r="P121" i="9" s="1"/>
  <c r="P120" i="9"/>
  <c r="O120" i="9"/>
  <c r="N120" i="9"/>
  <c r="M120" i="9"/>
  <c r="L120" i="9"/>
  <c r="K120" i="9"/>
  <c r="J120" i="9"/>
  <c r="O119" i="9"/>
  <c r="N119" i="9"/>
  <c r="M119" i="9"/>
  <c r="L119" i="9"/>
  <c r="K119" i="9"/>
  <c r="P119" i="9" s="1"/>
  <c r="J119" i="9"/>
  <c r="O118" i="9"/>
  <c r="N118" i="9"/>
  <c r="M118" i="9"/>
  <c r="L118" i="9"/>
  <c r="K118" i="9"/>
  <c r="J118" i="9"/>
  <c r="P118" i="9" s="1"/>
  <c r="O117" i="9"/>
  <c r="N117" i="9"/>
  <c r="M117" i="9"/>
  <c r="L117" i="9"/>
  <c r="K117" i="9"/>
  <c r="J117" i="9"/>
  <c r="P117" i="9" s="1"/>
  <c r="P116" i="9"/>
  <c r="O116" i="9"/>
  <c r="N116" i="9"/>
  <c r="M116" i="9"/>
  <c r="L116" i="9"/>
  <c r="K116" i="9"/>
  <c r="J116" i="9"/>
  <c r="O115" i="9"/>
  <c r="N115" i="9"/>
  <c r="M115" i="9"/>
  <c r="L115" i="9"/>
  <c r="K115" i="9"/>
  <c r="P115" i="9" s="1"/>
  <c r="J115" i="9"/>
  <c r="O114" i="9"/>
  <c r="N114" i="9"/>
  <c r="M114" i="9"/>
  <c r="L114" i="9"/>
  <c r="K114" i="9"/>
  <c r="J114" i="9"/>
  <c r="P114" i="9" s="1"/>
  <c r="O113" i="9"/>
  <c r="N113" i="9"/>
  <c r="M113" i="9"/>
  <c r="L113" i="9"/>
  <c r="K113" i="9"/>
  <c r="J113" i="9"/>
  <c r="P113" i="9" s="1"/>
  <c r="P112" i="9"/>
  <c r="O112" i="9"/>
  <c r="N112" i="9"/>
  <c r="M112" i="9"/>
  <c r="L112" i="9"/>
  <c r="K112" i="9"/>
  <c r="J112" i="9"/>
  <c r="O111" i="9"/>
  <c r="N111" i="9"/>
  <c r="M111" i="9"/>
  <c r="L111" i="9"/>
  <c r="K111" i="9"/>
  <c r="P111" i="9" s="1"/>
  <c r="J111" i="9"/>
  <c r="O110" i="9"/>
  <c r="N110" i="9"/>
  <c r="M110" i="9"/>
  <c r="L110" i="9"/>
  <c r="K110" i="9"/>
  <c r="J110" i="9"/>
  <c r="P110" i="9" s="1"/>
  <c r="O109" i="9"/>
  <c r="N109" i="9"/>
  <c r="M109" i="9"/>
  <c r="L109" i="9"/>
  <c r="K109" i="9"/>
  <c r="J109" i="9"/>
  <c r="P109" i="9" s="1"/>
  <c r="P108" i="9"/>
  <c r="O108" i="9"/>
  <c r="N108" i="9"/>
  <c r="M108" i="9"/>
  <c r="L108" i="9"/>
  <c r="K108" i="9"/>
  <c r="J108" i="9"/>
  <c r="O107" i="9"/>
  <c r="N107" i="9"/>
  <c r="M107" i="9"/>
  <c r="L107" i="9"/>
  <c r="K107" i="9"/>
  <c r="P107" i="9" s="1"/>
  <c r="J107" i="9"/>
  <c r="O106" i="9"/>
  <c r="N106" i="9"/>
  <c r="M106" i="9"/>
  <c r="L106" i="9"/>
  <c r="K106" i="9"/>
  <c r="J106" i="9"/>
  <c r="P106" i="9" s="1"/>
  <c r="O105" i="9"/>
  <c r="N105" i="9"/>
  <c r="M105" i="9"/>
  <c r="L105" i="9"/>
  <c r="K105" i="9"/>
  <c r="J105" i="9"/>
  <c r="P105" i="9" s="1"/>
  <c r="P104" i="9"/>
  <c r="O104" i="9"/>
  <c r="N104" i="9"/>
  <c r="M104" i="9"/>
  <c r="L104" i="9"/>
  <c r="K104" i="9"/>
  <c r="J104" i="9"/>
  <c r="O103" i="9"/>
  <c r="N103" i="9"/>
  <c r="M103" i="9"/>
  <c r="L103" i="9"/>
  <c r="K103" i="9"/>
  <c r="P103" i="9" s="1"/>
  <c r="J103" i="9"/>
  <c r="O102" i="9"/>
  <c r="N102" i="9"/>
  <c r="M102" i="9"/>
  <c r="L102" i="9"/>
  <c r="K102" i="9"/>
  <c r="J102" i="9"/>
  <c r="P102" i="9" s="1"/>
  <c r="O101" i="9"/>
  <c r="N101" i="9"/>
  <c r="M101" i="9"/>
  <c r="L101" i="9"/>
  <c r="K101" i="9"/>
  <c r="J101" i="9"/>
  <c r="P101" i="9" s="1"/>
  <c r="P100" i="9"/>
  <c r="O100" i="9"/>
  <c r="N100" i="9"/>
  <c r="M100" i="9"/>
  <c r="L100" i="9"/>
  <c r="K100" i="9"/>
  <c r="J100" i="9"/>
  <c r="O99" i="9"/>
  <c r="N99" i="9"/>
  <c r="M99" i="9"/>
  <c r="L99" i="9"/>
  <c r="K99" i="9"/>
  <c r="P99" i="9" s="1"/>
  <c r="J99" i="9"/>
  <c r="O98" i="9"/>
  <c r="N98" i="9"/>
  <c r="M98" i="9"/>
  <c r="L98" i="9"/>
  <c r="K98" i="9"/>
  <c r="J98" i="9"/>
  <c r="P98" i="9" s="1"/>
  <c r="O97" i="9"/>
  <c r="N97" i="9"/>
  <c r="M97" i="9"/>
  <c r="L97" i="9"/>
  <c r="K97" i="9"/>
  <c r="J97" i="9"/>
  <c r="P97" i="9" s="1"/>
  <c r="P96" i="9"/>
  <c r="O96" i="9"/>
  <c r="N96" i="9"/>
  <c r="M96" i="9"/>
  <c r="L96" i="9"/>
  <c r="K96" i="9"/>
  <c r="J96" i="9"/>
  <c r="O95" i="9"/>
  <c r="N95" i="9"/>
  <c r="M95" i="9"/>
  <c r="L95" i="9"/>
  <c r="K95" i="9"/>
  <c r="P95" i="9" s="1"/>
  <c r="J95" i="9"/>
  <c r="O94" i="9"/>
  <c r="N94" i="9"/>
  <c r="M94" i="9"/>
  <c r="L94" i="9"/>
  <c r="K94" i="9"/>
  <c r="J94" i="9"/>
  <c r="P94" i="9" s="1"/>
  <c r="O93" i="9"/>
  <c r="N93" i="9"/>
  <c r="M93" i="9"/>
  <c r="L93" i="9"/>
  <c r="K93" i="9"/>
  <c r="J93" i="9"/>
  <c r="P93" i="9" s="1"/>
  <c r="P92" i="9"/>
  <c r="O92" i="9"/>
  <c r="N92" i="9"/>
  <c r="M92" i="9"/>
  <c r="L92" i="9"/>
  <c r="K92" i="9"/>
  <c r="J92" i="9"/>
  <c r="O91" i="9"/>
  <c r="N91" i="9"/>
  <c r="M91" i="9"/>
  <c r="L91" i="9"/>
  <c r="K91" i="9"/>
  <c r="P91" i="9" s="1"/>
  <c r="J91" i="9"/>
  <c r="O90" i="9"/>
  <c r="N90" i="9"/>
  <c r="M90" i="9"/>
  <c r="L90" i="9"/>
  <c r="K90" i="9"/>
  <c r="J90" i="9"/>
  <c r="P90" i="9" s="1"/>
  <c r="O89" i="9"/>
  <c r="N89" i="9"/>
  <c r="M89" i="9"/>
  <c r="L89" i="9"/>
  <c r="K89" i="9"/>
  <c r="J89" i="9"/>
  <c r="P89" i="9" s="1"/>
  <c r="P88" i="9"/>
  <c r="O88" i="9"/>
  <c r="N88" i="9"/>
  <c r="M88" i="9"/>
  <c r="L88" i="9"/>
  <c r="K88" i="9"/>
  <c r="J88" i="9"/>
  <c r="O87" i="9"/>
  <c r="N87" i="9"/>
  <c r="M87" i="9"/>
  <c r="L87" i="9"/>
  <c r="K87" i="9"/>
  <c r="P87" i="9" s="1"/>
  <c r="J87" i="9"/>
  <c r="O86" i="9"/>
  <c r="N86" i="9"/>
  <c r="M86" i="9"/>
  <c r="L86" i="9"/>
  <c r="K86" i="9"/>
  <c r="J86" i="9"/>
  <c r="P86" i="9" s="1"/>
  <c r="O85" i="9"/>
  <c r="N85" i="9"/>
  <c r="M85" i="9"/>
  <c r="L85" i="9"/>
  <c r="K85" i="9"/>
  <c r="J85" i="9"/>
  <c r="P85" i="9" s="1"/>
  <c r="P84" i="9"/>
  <c r="O84" i="9"/>
  <c r="N84" i="9"/>
  <c r="M84" i="9"/>
  <c r="L84" i="9"/>
  <c r="K84" i="9"/>
  <c r="J84" i="9"/>
  <c r="O83" i="9"/>
  <c r="N83" i="9"/>
  <c r="M83" i="9"/>
  <c r="L83" i="9"/>
  <c r="K83" i="9"/>
  <c r="P83" i="9" s="1"/>
  <c r="J83" i="9"/>
  <c r="O82" i="9"/>
  <c r="N82" i="9"/>
  <c r="M82" i="9"/>
  <c r="L82" i="9"/>
  <c r="K82" i="9"/>
  <c r="J82" i="9"/>
  <c r="P82" i="9" s="1"/>
  <c r="O81" i="9"/>
  <c r="N81" i="9"/>
  <c r="M81" i="9"/>
  <c r="L81" i="9"/>
  <c r="K81" i="9"/>
  <c r="J81" i="9"/>
  <c r="P81" i="9" s="1"/>
  <c r="P80" i="9"/>
  <c r="O80" i="9"/>
  <c r="N80" i="9"/>
  <c r="M80" i="9"/>
  <c r="L80" i="9"/>
  <c r="K80" i="9"/>
  <c r="J80" i="9"/>
  <c r="O79" i="9"/>
  <c r="N79" i="9"/>
  <c r="M79" i="9"/>
  <c r="L79" i="9"/>
  <c r="K79" i="9"/>
  <c r="P79" i="9" s="1"/>
  <c r="J79" i="9"/>
  <c r="O78" i="9"/>
  <c r="N78" i="9"/>
  <c r="M78" i="9"/>
  <c r="L78" i="9"/>
  <c r="K78" i="9"/>
  <c r="J78" i="9"/>
  <c r="P78" i="9" s="1"/>
  <c r="O77" i="9"/>
  <c r="N77" i="9"/>
  <c r="M77" i="9"/>
  <c r="L77" i="9"/>
  <c r="K77" i="9"/>
  <c r="J77" i="9"/>
  <c r="P77" i="9" s="1"/>
  <c r="P76" i="9"/>
  <c r="O76" i="9"/>
  <c r="N76" i="9"/>
  <c r="M76" i="9"/>
  <c r="L76" i="9"/>
  <c r="K76" i="9"/>
  <c r="J76" i="9"/>
  <c r="O75" i="9"/>
  <c r="N75" i="9"/>
  <c r="M75" i="9"/>
  <c r="L75" i="9"/>
  <c r="K75" i="9"/>
  <c r="P75" i="9" s="1"/>
  <c r="J75" i="9"/>
  <c r="O74" i="9"/>
  <c r="N74" i="9"/>
  <c r="M74" i="9"/>
  <c r="L74" i="9"/>
  <c r="K74" i="9"/>
  <c r="J74" i="9"/>
  <c r="P74" i="9" s="1"/>
  <c r="O73" i="9"/>
  <c r="N73" i="9"/>
  <c r="M73" i="9"/>
  <c r="L73" i="9"/>
  <c r="K73" i="9"/>
  <c r="J73" i="9"/>
  <c r="P73" i="9" s="1"/>
  <c r="P72" i="9"/>
  <c r="O72" i="9"/>
  <c r="N72" i="9"/>
  <c r="M72" i="9"/>
  <c r="L72" i="9"/>
  <c r="K72" i="9"/>
  <c r="J72" i="9"/>
  <c r="O71" i="9"/>
  <c r="N71" i="9"/>
  <c r="M71" i="9"/>
  <c r="L71" i="9"/>
  <c r="K71" i="9"/>
  <c r="P71" i="9" s="1"/>
  <c r="J71" i="9"/>
  <c r="O70" i="9"/>
  <c r="N70" i="9"/>
  <c r="M70" i="9"/>
  <c r="L70" i="9"/>
  <c r="K70" i="9"/>
  <c r="J70" i="9"/>
  <c r="P70" i="9" s="1"/>
  <c r="O69" i="9"/>
  <c r="N69" i="9"/>
  <c r="M69" i="9"/>
  <c r="L69" i="9"/>
  <c r="K69" i="9"/>
  <c r="J69" i="9"/>
  <c r="P69" i="9" s="1"/>
  <c r="P68" i="9"/>
  <c r="O68" i="9"/>
  <c r="N68" i="9"/>
  <c r="M68" i="9"/>
  <c r="L68" i="9"/>
  <c r="K68" i="9"/>
  <c r="J68" i="9"/>
  <c r="O67" i="9"/>
  <c r="N67" i="9"/>
  <c r="M67" i="9"/>
  <c r="L67" i="9"/>
  <c r="K67" i="9"/>
  <c r="P67" i="9" s="1"/>
  <c r="J67" i="9"/>
  <c r="O66" i="9"/>
  <c r="N66" i="9"/>
  <c r="M66" i="9"/>
  <c r="L66" i="9"/>
  <c r="K66" i="9"/>
  <c r="J66" i="9"/>
  <c r="P66" i="9" s="1"/>
  <c r="O65" i="9"/>
  <c r="N65" i="9"/>
  <c r="M65" i="9"/>
  <c r="L65" i="9"/>
  <c r="K65" i="9"/>
  <c r="J65" i="9"/>
  <c r="P65" i="9" s="1"/>
  <c r="P64" i="9"/>
  <c r="O64" i="9"/>
  <c r="N64" i="9"/>
  <c r="M64" i="9"/>
  <c r="L64" i="9"/>
  <c r="K64" i="9"/>
  <c r="J64" i="9"/>
  <c r="O63" i="9"/>
  <c r="N63" i="9"/>
  <c r="M63" i="9"/>
  <c r="L63" i="9"/>
  <c r="K63" i="9"/>
  <c r="P63" i="9" s="1"/>
  <c r="J63" i="9"/>
  <c r="O62" i="9"/>
  <c r="N62" i="9"/>
  <c r="M62" i="9"/>
  <c r="L62" i="9"/>
  <c r="K62" i="9"/>
  <c r="J62" i="9"/>
  <c r="P62" i="9" s="1"/>
  <c r="O61" i="9"/>
  <c r="N61" i="9"/>
  <c r="M61" i="9"/>
  <c r="L61" i="9"/>
  <c r="K61" i="9"/>
  <c r="J61" i="9"/>
  <c r="P61" i="9" s="1"/>
  <c r="P60" i="9"/>
  <c r="O60" i="9"/>
  <c r="N60" i="9"/>
  <c r="M60" i="9"/>
  <c r="L60" i="9"/>
  <c r="K60" i="9"/>
  <c r="J60" i="9"/>
  <c r="O59" i="9"/>
  <c r="N59" i="9"/>
  <c r="M59" i="9"/>
  <c r="L59" i="9"/>
  <c r="K59" i="9"/>
  <c r="P59" i="9" s="1"/>
  <c r="J59" i="9"/>
  <c r="O58" i="9"/>
  <c r="N58" i="9"/>
  <c r="M58" i="9"/>
  <c r="L58" i="9"/>
  <c r="K58" i="9"/>
  <c r="J58" i="9"/>
  <c r="P58" i="9" s="1"/>
  <c r="O57" i="9"/>
  <c r="N57" i="9"/>
  <c r="M57" i="9"/>
  <c r="L57" i="9"/>
  <c r="K57" i="9"/>
  <c r="J57" i="9"/>
  <c r="P57" i="9" s="1"/>
  <c r="P56" i="9"/>
  <c r="O56" i="9"/>
  <c r="N56" i="9"/>
  <c r="M56" i="9"/>
  <c r="L56" i="9"/>
  <c r="K56" i="9"/>
  <c r="J56" i="9"/>
  <c r="O55" i="9"/>
  <c r="N55" i="9"/>
  <c r="M55" i="9"/>
  <c r="L55" i="9"/>
  <c r="K55" i="9"/>
  <c r="P55" i="9" s="1"/>
  <c r="J55" i="9"/>
  <c r="O54" i="9"/>
  <c r="N54" i="9"/>
  <c r="M54" i="9"/>
  <c r="L54" i="9"/>
  <c r="K54" i="9"/>
  <c r="J54" i="9"/>
  <c r="P54" i="9" s="1"/>
  <c r="O53" i="9"/>
  <c r="N53" i="9"/>
  <c r="M53" i="9"/>
  <c r="L53" i="9"/>
  <c r="K53" i="9"/>
  <c r="J53" i="9"/>
  <c r="P53" i="9" s="1"/>
  <c r="P52" i="9"/>
  <c r="O52" i="9"/>
  <c r="N52" i="9"/>
  <c r="M52" i="9"/>
  <c r="L52" i="9"/>
  <c r="K52" i="9"/>
  <c r="J52" i="9"/>
  <c r="O51" i="9"/>
  <c r="N51" i="9"/>
  <c r="M51" i="9"/>
  <c r="L51" i="9"/>
  <c r="K51" i="9"/>
  <c r="P51" i="9" s="1"/>
  <c r="J51" i="9"/>
  <c r="O50" i="9"/>
  <c r="N50" i="9"/>
  <c r="M50" i="9"/>
  <c r="L50" i="9"/>
  <c r="K50" i="9"/>
  <c r="J50" i="9"/>
  <c r="P50" i="9" s="1"/>
  <c r="O49" i="9"/>
  <c r="N49" i="9"/>
  <c r="M49" i="9"/>
  <c r="L49" i="9"/>
  <c r="K49" i="9"/>
  <c r="J49" i="9"/>
  <c r="P49" i="9" s="1"/>
  <c r="P48" i="9"/>
  <c r="O48" i="9"/>
  <c r="N48" i="9"/>
  <c r="M48" i="9"/>
  <c r="L48" i="9"/>
  <c r="K48" i="9"/>
  <c r="J48" i="9"/>
  <c r="O47" i="9"/>
  <c r="N47" i="9"/>
  <c r="M47" i="9"/>
  <c r="L47" i="9"/>
  <c r="K47" i="9"/>
  <c r="P47" i="9" s="1"/>
  <c r="J47" i="9"/>
  <c r="O46" i="9"/>
  <c r="N46" i="9"/>
  <c r="M46" i="9"/>
  <c r="L46" i="9"/>
  <c r="K46" i="9"/>
  <c r="J46" i="9"/>
  <c r="P46" i="9" s="1"/>
  <c r="O45" i="9"/>
  <c r="N45" i="9"/>
  <c r="M45" i="9"/>
  <c r="L45" i="9"/>
  <c r="K45" i="9"/>
  <c r="J45" i="9"/>
  <c r="P45" i="9" s="1"/>
  <c r="P44" i="9"/>
  <c r="O44" i="9"/>
  <c r="N44" i="9"/>
  <c r="M44" i="9"/>
  <c r="L44" i="9"/>
  <c r="K44" i="9"/>
  <c r="J44" i="9"/>
  <c r="O43" i="9"/>
  <c r="N43" i="9"/>
  <c r="M43" i="9"/>
  <c r="L43" i="9"/>
  <c r="K43" i="9"/>
  <c r="P43" i="9" s="1"/>
  <c r="J43" i="9"/>
  <c r="O42" i="9"/>
  <c r="N42" i="9"/>
  <c r="M42" i="9"/>
  <c r="L42" i="9"/>
  <c r="K42" i="9"/>
  <c r="J42" i="9"/>
  <c r="P42" i="9" s="1"/>
  <c r="O41" i="9"/>
  <c r="N41" i="9"/>
  <c r="M41" i="9"/>
  <c r="L41" i="9"/>
  <c r="K41" i="9"/>
  <c r="J41" i="9"/>
  <c r="P41" i="9" s="1"/>
  <c r="O40" i="9"/>
  <c r="N40" i="9"/>
  <c r="M40" i="9"/>
  <c r="L40" i="9"/>
  <c r="P40" i="9" s="1"/>
  <c r="K40" i="9"/>
  <c r="J40" i="9"/>
  <c r="O39" i="9"/>
  <c r="N39" i="9"/>
  <c r="M39" i="9"/>
  <c r="L39" i="9"/>
  <c r="K39" i="9"/>
  <c r="P39" i="9" s="1"/>
  <c r="J39" i="9"/>
  <c r="O38" i="9"/>
  <c r="N38" i="9"/>
  <c r="M38" i="9"/>
  <c r="L38" i="9"/>
  <c r="K38" i="9"/>
  <c r="J38" i="9"/>
  <c r="P38" i="9" s="1"/>
  <c r="O37" i="9"/>
  <c r="N37" i="9"/>
  <c r="M37" i="9"/>
  <c r="L37" i="9"/>
  <c r="K37" i="9"/>
  <c r="J37" i="9"/>
  <c r="P37" i="9" s="1"/>
  <c r="O36" i="9"/>
  <c r="N36" i="9"/>
  <c r="M36" i="9"/>
  <c r="L36" i="9"/>
  <c r="P36" i="9" s="1"/>
  <c r="K36" i="9"/>
  <c r="J36" i="9"/>
  <c r="O35" i="9"/>
  <c r="N35" i="9"/>
  <c r="M35" i="9"/>
  <c r="L35" i="9"/>
  <c r="K35" i="9"/>
  <c r="P35" i="9" s="1"/>
  <c r="J35" i="9"/>
  <c r="O34" i="9"/>
  <c r="N34" i="9"/>
  <c r="M34" i="9"/>
  <c r="L34" i="9"/>
  <c r="K34" i="9"/>
  <c r="J34" i="9"/>
  <c r="P34" i="9" s="1"/>
  <c r="O33" i="9"/>
  <c r="N33" i="9"/>
  <c r="M33" i="9"/>
  <c r="L33" i="9"/>
  <c r="K33" i="9"/>
  <c r="J33" i="9"/>
  <c r="P33" i="9" s="1"/>
  <c r="O32" i="9"/>
  <c r="N32" i="9"/>
  <c r="M32" i="9"/>
  <c r="L32" i="9"/>
  <c r="P32" i="9" s="1"/>
  <c r="K32" i="9"/>
  <c r="J32" i="9"/>
  <c r="O31" i="9"/>
  <c r="N31" i="9"/>
  <c r="M31" i="9"/>
  <c r="L31" i="9"/>
  <c r="K31" i="9"/>
  <c r="P31" i="9" s="1"/>
  <c r="J31" i="9"/>
  <c r="O30" i="9"/>
  <c r="N30" i="9"/>
  <c r="M30" i="9"/>
  <c r="L30" i="9"/>
  <c r="K30" i="9"/>
  <c r="J30" i="9"/>
  <c r="P30" i="9" s="1"/>
  <c r="O29" i="9"/>
  <c r="N29" i="9"/>
  <c r="M29" i="9"/>
  <c r="L29" i="9"/>
  <c r="K29" i="9"/>
  <c r="J29" i="9"/>
  <c r="P29" i="9" s="1"/>
  <c r="O28" i="9"/>
  <c r="N28" i="9"/>
  <c r="M28" i="9"/>
  <c r="L28" i="9"/>
  <c r="P28" i="9" s="1"/>
  <c r="K28" i="9"/>
  <c r="J28" i="9"/>
  <c r="O27" i="9"/>
  <c r="N27" i="9"/>
  <c r="M27" i="9"/>
  <c r="L27" i="9"/>
  <c r="K27" i="9"/>
  <c r="P27" i="9" s="1"/>
  <c r="J27" i="9"/>
  <c r="O26" i="9"/>
  <c r="N26" i="9"/>
  <c r="M26" i="9"/>
  <c r="L26" i="9"/>
  <c r="K26" i="9"/>
  <c r="J26" i="9"/>
  <c r="P26" i="9" s="1"/>
  <c r="O25" i="9"/>
  <c r="N25" i="9"/>
  <c r="M25" i="9"/>
  <c r="L25" i="9"/>
  <c r="K25" i="9"/>
  <c r="J25" i="9"/>
  <c r="P25" i="9" s="1"/>
  <c r="O24" i="9"/>
  <c r="N24" i="9"/>
  <c r="M24" i="9"/>
  <c r="L24" i="9"/>
  <c r="P24" i="9" s="1"/>
  <c r="K24" i="9"/>
  <c r="J24" i="9"/>
  <c r="O23" i="9"/>
  <c r="N23" i="9"/>
  <c r="M23" i="9"/>
  <c r="L23" i="9"/>
  <c r="K23" i="9"/>
  <c r="P23" i="9" s="1"/>
  <c r="J23" i="9"/>
  <c r="O22" i="9"/>
  <c r="N22" i="9"/>
  <c r="M22" i="9"/>
  <c r="L22" i="9"/>
  <c r="K22" i="9"/>
  <c r="J22" i="9"/>
  <c r="P22" i="9" s="1"/>
  <c r="O21" i="9"/>
  <c r="N21" i="9"/>
  <c r="M21" i="9"/>
  <c r="L21" i="9"/>
  <c r="K21" i="9"/>
  <c r="J21" i="9"/>
  <c r="P21" i="9" s="1"/>
  <c r="O20" i="9"/>
  <c r="N20" i="9"/>
  <c r="M20" i="9"/>
  <c r="L20" i="9"/>
  <c r="P20" i="9" s="1"/>
  <c r="K20" i="9"/>
  <c r="J20" i="9"/>
  <c r="O19" i="9"/>
  <c r="N19" i="9"/>
  <c r="M19" i="9"/>
  <c r="L19" i="9"/>
  <c r="K19" i="9"/>
  <c r="P19" i="9" s="1"/>
  <c r="J19" i="9"/>
  <c r="O18" i="9"/>
  <c r="N18" i="9"/>
  <c r="M18" i="9"/>
  <c r="L18" i="9"/>
  <c r="K18" i="9"/>
  <c r="J18" i="9"/>
  <c r="P18" i="9" s="1"/>
  <c r="O17" i="9"/>
  <c r="N17" i="9"/>
  <c r="M17" i="9"/>
  <c r="L17" i="9"/>
  <c r="K17" i="9"/>
  <c r="J17" i="9"/>
  <c r="P17" i="9" s="1"/>
  <c r="O16" i="9"/>
  <c r="N16" i="9"/>
  <c r="M16" i="9"/>
  <c r="L16" i="9"/>
  <c r="P16" i="9" s="1"/>
  <c r="K16" i="9"/>
  <c r="J16" i="9"/>
  <c r="O15" i="9"/>
  <c r="N15" i="9"/>
  <c r="M15" i="9"/>
  <c r="L15" i="9"/>
  <c r="K15" i="9"/>
  <c r="P15" i="9" s="1"/>
  <c r="J15" i="9"/>
  <c r="O14" i="9"/>
  <c r="N14" i="9"/>
  <c r="M14" i="9"/>
  <c r="L14" i="9"/>
  <c r="K14" i="9"/>
  <c r="J14" i="9"/>
  <c r="P14" i="9" s="1"/>
  <c r="O13" i="9"/>
  <c r="N13" i="9"/>
  <c r="M13" i="9"/>
  <c r="L13" i="9"/>
  <c r="K13" i="9"/>
  <c r="J13" i="9"/>
  <c r="O12" i="9"/>
  <c r="N12" i="9"/>
  <c r="M12" i="9"/>
  <c r="L12" i="9"/>
  <c r="P12" i="9" s="1"/>
  <c r="K12" i="9"/>
  <c r="J12" i="9"/>
  <c r="O11" i="9"/>
  <c r="N11" i="9"/>
  <c r="M11" i="9"/>
  <c r="L11" i="9"/>
  <c r="K11" i="9"/>
  <c r="P11" i="9" s="1"/>
  <c r="J11" i="9"/>
  <c r="O10" i="9"/>
  <c r="N10" i="9"/>
  <c r="M10" i="9"/>
  <c r="L10" i="9"/>
  <c r="K10" i="9"/>
  <c r="J10" i="9"/>
  <c r="P10" i="9" s="1"/>
  <c r="O9" i="9"/>
  <c r="N9" i="9"/>
  <c r="M9" i="9"/>
  <c r="L9" i="9"/>
  <c r="K9" i="9"/>
  <c r="J9" i="9"/>
  <c r="P8" i="9"/>
  <c r="O8" i="9"/>
  <c r="N8" i="9"/>
  <c r="M8" i="9"/>
  <c r="L8" i="9"/>
  <c r="K8" i="9"/>
  <c r="J8" i="9"/>
  <c r="O7" i="9"/>
  <c r="N7" i="9"/>
  <c r="M7" i="9"/>
  <c r="L7" i="9"/>
  <c r="K7" i="9"/>
  <c r="P7" i="9" s="1"/>
  <c r="J7" i="9"/>
  <c r="O6" i="9"/>
  <c r="N6" i="9"/>
  <c r="M6" i="9"/>
  <c r="L6" i="9"/>
  <c r="K6" i="9"/>
  <c r="J6" i="9"/>
  <c r="P6" i="9" s="1"/>
  <c r="P9" i="9" l="1"/>
  <c r="P13" i="9"/>
  <c r="L6" i="7" l="1"/>
  <c r="L2" i="7"/>
  <c r="L7" i="7"/>
  <c r="L5" i="7"/>
  <c r="H6" i="7"/>
  <c r="F11" i="7"/>
  <c r="E11" i="7"/>
  <c r="D11" i="7"/>
  <c r="C11" i="7"/>
  <c r="B11" i="7"/>
  <c r="I10" i="7"/>
  <c r="F10" i="7"/>
  <c r="E10" i="7"/>
  <c r="D10" i="7"/>
  <c r="C10" i="7"/>
  <c r="B10" i="7"/>
  <c r="F9" i="7"/>
  <c r="F12" i="7" s="1"/>
  <c r="E9" i="7"/>
  <c r="D9" i="7"/>
  <c r="C9" i="7"/>
  <c r="B9" i="7"/>
  <c r="G6" i="7"/>
  <c r="F6" i="7"/>
  <c r="H10" i="7" s="1"/>
  <c r="E6" i="7"/>
  <c r="D6" i="7"/>
  <c r="C6" i="7"/>
  <c r="B6" i="7"/>
  <c r="G11" i="7" l="1"/>
  <c r="G9" i="7"/>
  <c r="E12" i="7"/>
  <c r="C12" i="7"/>
  <c r="G10" i="7"/>
  <c r="D12" i="7"/>
  <c r="B12" i="7"/>
  <c r="G12" i="7" l="1"/>
  <c r="J13" i="7" s="1"/>
  <c r="F10" i="6"/>
  <c r="F29" i="6"/>
  <c r="I18" i="4"/>
  <c r="F28" i="6" l="1"/>
  <c r="O37" i="6" l="1"/>
  <c r="N37" i="6"/>
  <c r="M37" i="6"/>
  <c r="K37" i="6"/>
  <c r="J37" i="6"/>
  <c r="I37" i="6"/>
  <c r="H37" i="6"/>
  <c r="G37" i="6"/>
  <c r="P5" i="6"/>
  <c r="P29" i="6"/>
  <c r="P18" i="6"/>
  <c r="P11" i="6"/>
  <c r="P21" i="6"/>
  <c r="P10" i="6"/>
  <c r="P6" i="6"/>
  <c r="P19" i="6"/>
  <c r="P20" i="6"/>
  <c r="P14" i="6"/>
  <c r="P30" i="6"/>
  <c r="P27" i="6"/>
  <c r="P16" i="6"/>
  <c r="P24" i="6"/>
  <c r="P9" i="6"/>
  <c r="P36" i="6"/>
  <c r="P4" i="6"/>
  <c r="P17" i="6"/>
  <c r="P15" i="6"/>
  <c r="P28" i="6"/>
  <c r="F37" i="6"/>
  <c r="P22" i="6"/>
  <c r="P31" i="6"/>
  <c r="P12" i="6"/>
  <c r="L37" i="6"/>
  <c r="P23" i="6"/>
  <c r="P13" i="6"/>
  <c r="P25" i="6"/>
  <c r="P8" i="6"/>
  <c r="P7" i="6"/>
  <c r="P26" i="6"/>
  <c r="P37" i="6" l="1"/>
  <c r="P3" i="6"/>
  <c r="M14" i="4" l="1"/>
  <c r="M13" i="4"/>
  <c r="M12" i="4"/>
  <c r="M11" i="4"/>
  <c r="M10" i="4"/>
  <c r="M9" i="4"/>
  <c r="M8" i="4"/>
  <c r="M7" i="4"/>
  <c r="M6" i="4"/>
  <c r="M5" i="4"/>
  <c r="M4" i="4"/>
  <c r="M3" i="4"/>
  <c r="M2" i="4"/>
  <c r="G16" i="4"/>
  <c r="G15" i="4"/>
  <c r="G17" i="4" s="1"/>
  <c r="E13" i="4"/>
  <c r="D12" i="4"/>
  <c r="D11" i="4"/>
  <c r="D10" i="4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2" i="1"/>
  <c r="I2" i="1"/>
</calcChain>
</file>

<file path=xl/comments1.xml><?xml version="1.0" encoding="utf-8"?>
<comments xmlns="http://schemas.openxmlformats.org/spreadsheetml/2006/main">
  <authors>
    <author>Author</author>
  </authors>
  <commentList>
    <comment ref="A135" authorId="0" shapeId="0">
      <text>
        <r>
          <rPr>
            <sz val="11"/>
            <color indexed="8"/>
            <rFont val="Calibri"/>
            <family val="2"/>
            <scheme val="minor"/>
          </rPr>
          <t>Page 12</t>
        </r>
      </text>
    </comment>
    <comment ref="A176" authorId="0" shapeId="0">
      <text>
        <r>
          <rPr>
            <sz val="11"/>
            <color indexed="8"/>
            <rFont val="Calibri"/>
            <family val="2"/>
            <scheme val="minor"/>
          </rPr>
          <t>Page 15</t>
        </r>
      </text>
    </comment>
    <comment ref="A259" authorId="0" shapeId="0">
      <text>
        <r>
          <rPr>
            <sz val="11"/>
            <color indexed="8"/>
            <rFont val="Calibri"/>
            <family val="2"/>
            <scheme val="minor"/>
          </rPr>
          <t>Page 24</t>
        </r>
      </text>
    </comment>
    <comment ref="A342" authorId="0" shapeId="0">
      <text>
        <r>
          <rPr>
            <sz val="11"/>
            <color indexed="8"/>
            <rFont val="Calibri"/>
            <family val="2"/>
            <scheme val="minor"/>
          </rPr>
          <t>Page 30</t>
        </r>
      </text>
    </comment>
    <comment ref="A375" authorId="0" shapeId="0">
      <text>
        <r>
          <rPr>
            <sz val="11"/>
            <color indexed="8"/>
            <rFont val="Calibri"/>
            <family val="2"/>
            <scheme val="minor"/>
          </rPr>
          <t>Page 31</t>
        </r>
      </text>
    </comment>
    <comment ref="A424" authorId="0" shapeId="0">
      <text>
        <r>
          <rPr>
            <sz val="11"/>
            <color indexed="8"/>
            <rFont val="Calibri"/>
            <family val="2"/>
            <scheme val="minor"/>
          </rPr>
          <t>Page 33</t>
        </r>
      </text>
    </comment>
    <comment ref="A509" authorId="0" shapeId="0">
      <text>
        <r>
          <rPr>
            <sz val="11"/>
            <color indexed="8"/>
            <rFont val="Calibri"/>
            <family val="2"/>
            <scheme val="minor"/>
          </rPr>
          <t>Page 39</t>
        </r>
      </text>
    </comment>
    <comment ref="A599" authorId="0" shapeId="0">
      <text>
        <r>
          <rPr>
            <sz val="11"/>
            <color indexed="8"/>
            <rFont val="Calibri"/>
            <family val="2"/>
            <scheme val="minor"/>
          </rPr>
          <t>Page 44</t>
        </r>
      </text>
    </comment>
    <comment ref="A652" authorId="0" shapeId="0">
      <text>
        <r>
          <rPr>
            <sz val="11"/>
            <color indexed="8"/>
            <rFont val="Calibri"/>
            <family val="2"/>
            <scheme val="minor"/>
          </rPr>
          <t>Page 48</t>
        </r>
      </text>
    </comment>
    <comment ref="A685" authorId="0" shapeId="0">
      <text>
        <r>
          <rPr>
            <sz val="11"/>
            <color indexed="8"/>
            <rFont val="Calibri"/>
            <family val="2"/>
            <scheme val="minor"/>
          </rPr>
          <t>Page 49</t>
        </r>
      </text>
    </comment>
    <comment ref="A832" authorId="0" shapeId="0">
      <text>
        <r>
          <rPr>
            <sz val="11"/>
            <color indexed="8"/>
            <rFont val="Calibri"/>
            <family val="2"/>
            <scheme val="minor"/>
          </rPr>
          <t>Page 70</t>
        </r>
      </text>
    </comment>
    <comment ref="A944" authorId="0" shapeId="0">
      <text>
        <r>
          <rPr>
            <sz val="11"/>
            <color indexed="8"/>
            <rFont val="Calibri"/>
            <family val="2"/>
            <scheme val="minor"/>
          </rPr>
          <t>Page 81</t>
        </r>
      </text>
    </comment>
    <comment ref="A993" authorId="0" shapeId="0">
      <text>
        <r>
          <rPr>
            <sz val="11"/>
            <color indexed="8"/>
            <rFont val="Calibri"/>
            <family val="2"/>
            <scheme val="minor"/>
          </rPr>
          <t>Page 84</t>
        </r>
      </text>
    </comment>
    <comment ref="A1026" authorId="0" shapeId="0">
      <text>
        <r>
          <rPr>
            <sz val="11"/>
            <color indexed="8"/>
            <rFont val="Calibri"/>
            <family val="2"/>
            <scheme val="minor"/>
          </rPr>
          <t>Page 85</t>
        </r>
      </text>
    </comment>
    <comment ref="A1409" authorId="0" shapeId="0">
      <text>
        <r>
          <rPr>
            <sz val="11"/>
            <color indexed="8"/>
            <rFont val="Calibri"/>
            <family val="2"/>
            <scheme val="minor"/>
          </rPr>
          <t>Page 165</t>
        </r>
      </text>
    </comment>
    <comment ref="A1506" authorId="0" shapeId="0">
      <text>
        <r>
          <rPr>
            <sz val="11"/>
            <color indexed="8"/>
            <rFont val="Calibri"/>
            <family val="2"/>
            <scheme val="minor"/>
          </rPr>
          <t>Page 176</t>
        </r>
      </text>
    </comment>
    <comment ref="A1539" authorId="0" shapeId="0">
      <text>
        <r>
          <rPr>
            <sz val="11"/>
            <color indexed="8"/>
            <rFont val="Calibri"/>
            <family val="2"/>
            <scheme val="minor"/>
          </rPr>
          <t>Page 177</t>
        </r>
      </text>
    </comment>
    <comment ref="A1572" authorId="0" shapeId="0">
      <text>
        <r>
          <rPr>
            <sz val="11"/>
            <color indexed="8"/>
            <rFont val="Calibri"/>
            <family val="2"/>
            <scheme val="minor"/>
          </rPr>
          <t>Page 178</t>
        </r>
      </text>
    </comment>
    <comment ref="A1605" authorId="0" shapeId="0">
      <text>
        <r>
          <rPr>
            <sz val="11"/>
            <color indexed="8"/>
            <rFont val="Calibri"/>
            <family val="2"/>
            <scheme val="minor"/>
          </rPr>
          <t>Page 179</t>
        </r>
      </text>
    </comment>
    <comment ref="A1638" authorId="0" shapeId="0">
      <text>
        <r>
          <rPr>
            <sz val="11"/>
            <color indexed="8"/>
            <rFont val="Calibri"/>
            <family val="2"/>
            <scheme val="minor"/>
          </rPr>
          <t>Page 180</t>
        </r>
      </text>
    </comment>
    <comment ref="A1669" authorId="0" shapeId="0">
      <text>
        <r>
          <rPr>
            <sz val="11"/>
            <color indexed="8"/>
            <rFont val="Calibri"/>
            <family val="2"/>
            <scheme val="minor"/>
          </rPr>
          <t>Page 182</t>
        </r>
      </text>
    </comment>
    <comment ref="A1693" authorId="0" shapeId="0">
      <text>
        <r>
          <rPr>
            <sz val="11"/>
            <color indexed="8"/>
            <rFont val="Calibri"/>
            <family val="2"/>
            <scheme val="minor"/>
          </rPr>
          <t>Page 183</t>
        </r>
      </text>
    </comment>
    <comment ref="A1726" authorId="0" shapeId="0">
      <text>
        <r>
          <rPr>
            <sz val="11"/>
            <color indexed="8"/>
            <rFont val="Calibri"/>
            <family val="2"/>
            <scheme val="minor"/>
          </rPr>
          <t>Page 184</t>
        </r>
      </text>
    </comment>
    <comment ref="A1759" authorId="0" shapeId="0">
      <text>
        <r>
          <rPr>
            <sz val="11"/>
            <color indexed="8"/>
            <rFont val="Calibri"/>
            <family val="2"/>
            <scheme val="minor"/>
          </rPr>
          <t>Page 185</t>
        </r>
      </text>
    </comment>
    <comment ref="A1806" authorId="0" shapeId="0">
      <text>
        <r>
          <rPr>
            <sz val="11"/>
            <color indexed="8"/>
            <rFont val="Calibri"/>
            <family val="2"/>
            <scheme val="minor"/>
          </rPr>
          <t>Page 187</t>
        </r>
      </text>
    </comment>
    <comment ref="A1835" authorId="0" shapeId="0">
      <text>
        <r>
          <rPr>
            <sz val="11"/>
            <color indexed="8"/>
            <rFont val="Calibri"/>
            <family val="2"/>
            <scheme val="minor"/>
          </rPr>
          <t>Page 188</t>
        </r>
      </text>
    </comment>
    <comment ref="A1915" authorId="0" shapeId="0">
      <text>
        <r>
          <rPr>
            <sz val="11"/>
            <color indexed="8"/>
            <rFont val="Calibri"/>
            <family val="2"/>
            <scheme val="minor"/>
          </rPr>
          <t>Page 191</t>
        </r>
      </text>
    </comment>
    <comment ref="A1948" authorId="0" shapeId="0">
      <text>
        <r>
          <rPr>
            <sz val="11"/>
            <color indexed="8"/>
            <rFont val="Calibri"/>
            <family val="2"/>
            <scheme val="minor"/>
          </rPr>
          <t>Page 192</t>
        </r>
      </text>
    </comment>
    <comment ref="A1981" authorId="0" shapeId="0">
      <text>
        <r>
          <rPr>
            <sz val="11"/>
            <color indexed="8"/>
            <rFont val="Calibri"/>
            <family val="2"/>
            <scheme val="minor"/>
          </rPr>
          <t>Page 193</t>
        </r>
      </text>
    </comment>
    <comment ref="A2029" authorId="0" shapeId="0">
      <text>
        <r>
          <rPr>
            <sz val="11"/>
            <color indexed="8"/>
            <rFont val="Calibri"/>
            <family val="2"/>
            <scheme val="minor"/>
          </rPr>
          <t>Page 197</t>
        </r>
      </text>
    </comment>
    <comment ref="A2062" authorId="0" shapeId="0">
      <text>
        <r>
          <rPr>
            <sz val="11"/>
            <color indexed="8"/>
            <rFont val="Calibri"/>
            <family val="2"/>
            <scheme val="minor"/>
          </rPr>
          <t>Page 198</t>
        </r>
      </text>
    </comment>
    <comment ref="A2095" authorId="0" shapeId="0">
      <text>
        <r>
          <rPr>
            <sz val="11"/>
            <color indexed="8"/>
            <rFont val="Calibri"/>
            <family val="2"/>
            <scheme val="minor"/>
          </rPr>
          <t>Page 199</t>
        </r>
      </text>
    </comment>
    <comment ref="A2128" authorId="0" shapeId="0">
      <text>
        <r>
          <rPr>
            <sz val="11"/>
            <color indexed="8"/>
            <rFont val="Calibri"/>
            <family val="2"/>
            <scheme val="minor"/>
          </rPr>
          <t>Page 200</t>
        </r>
      </text>
    </comment>
    <comment ref="A2161" authorId="0" shapeId="0">
      <text>
        <r>
          <rPr>
            <sz val="11"/>
            <color indexed="8"/>
            <rFont val="Calibri"/>
            <family val="2"/>
            <scheme val="minor"/>
          </rPr>
          <t>Page 201</t>
        </r>
      </text>
    </comment>
    <comment ref="A2194" authorId="0" shapeId="0">
      <text>
        <r>
          <rPr>
            <sz val="11"/>
            <color indexed="8"/>
            <rFont val="Calibri"/>
            <family val="2"/>
            <scheme val="minor"/>
          </rPr>
          <t>Page 202</t>
        </r>
      </text>
    </comment>
    <comment ref="A2283" authorId="0" shapeId="0">
      <text>
        <r>
          <rPr>
            <sz val="11"/>
            <color indexed="8"/>
            <rFont val="Calibri"/>
            <family val="2"/>
            <scheme val="minor"/>
          </rPr>
          <t>Page 212</t>
        </r>
      </text>
    </comment>
    <comment ref="A2316" authorId="0" shapeId="0">
      <text>
        <r>
          <rPr>
            <sz val="11"/>
            <color indexed="8"/>
            <rFont val="Calibri"/>
            <family val="2"/>
            <scheme val="minor"/>
          </rPr>
          <t>Page 213</t>
        </r>
      </text>
    </comment>
    <comment ref="A2349" authorId="0" shapeId="0">
      <text>
        <r>
          <rPr>
            <sz val="11"/>
            <color indexed="8"/>
            <rFont val="Calibri"/>
            <family val="2"/>
            <scheme val="minor"/>
          </rPr>
          <t>Page 214</t>
        </r>
      </text>
    </comment>
    <comment ref="A2382" authorId="0" shapeId="0">
      <text>
        <r>
          <rPr>
            <sz val="11"/>
            <color indexed="8"/>
            <rFont val="Calibri"/>
            <family val="2"/>
            <scheme val="minor"/>
          </rPr>
          <t>Page 215</t>
        </r>
      </text>
    </comment>
    <comment ref="A2490" authorId="0" shapeId="0">
      <text>
        <r>
          <rPr>
            <sz val="11"/>
            <color indexed="8"/>
            <rFont val="Calibri"/>
            <family val="2"/>
            <scheme val="minor"/>
          </rPr>
          <t>Page 228</t>
        </r>
      </text>
    </comment>
    <comment ref="A2508" authorId="0" shapeId="0">
      <text>
        <r>
          <rPr>
            <sz val="11"/>
            <color indexed="8"/>
            <rFont val="Calibri"/>
            <family val="2"/>
            <scheme val="minor"/>
          </rPr>
          <t>Page 229</t>
        </r>
      </text>
    </comment>
  </commentList>
</comments>
</file>

<file path=xl/sharedStrings.xml><?xml version="1.0" encoding="utf-8"?>
<sst xmlns="http://schemas.openxmlformats.org/spreadsheetml/2006/main" count="15328" uniqueCount="3353">
  <si>
    <t>Dealer Name</t>
  </si>
  <si>
    <t xml:space="preserve"> Dealer City</t>
  </si>
  <si>
    <t xml:space="preserve"> Location</t>
  </si>
  <si>
    <t xml:space="preserve"> Labour Code</t>
  </si>
  <si>
    <t xml:space="preserve"> Labour Desc</t>
  </si>
  <si>
    <t xml:space="preserve"> Jc Num</t>
  </si>
  <si>
    <t xml:space="preserve"> Jc Date</t>
  </si>
  <si>
    <t xml:space="preserve"> Customer Name</t>
  </si>
  <si>
    <t xml:space="preserve"> Registration No</t>
  </si>
  <si>
    <t xml:space="preserve"> Model</t>
  </si>
  <si>
    <t xml:space="preserve"> Bill No</t>
  </si>
  <si>
    <t xml:space="preserve"> Bill Date</t>
  </si>
  <si>
    <t xml:space="preserve"> Bill Desc</t>
  </si>
  <si>
    <t xml:space="preserve"> Basic Amt</t>
  </si>
  <si>
    <t xml:space="preserve"> Discount Amt</t>
  </si>
  <si>
    <t xml:space="preserve"> Charges Amt</t>
  </si>
  <si>
    <t xml:space="preserve"> Bill Amt</t>
  </si>
  <si>
    <t>VARUN MOTORS PVT LTD</t>
  </si>
  <si>
    <t>VISAKHAPATNAM</t>
  </si>
  <si>
    <t>YENDADA-2S</t>
  </si>
  <si>
    <t>ZA09L1</t>
  </si>
  <si>
    <t>STONE GUARD COATING</t>
  </si>
  <si>
    <t>JC25000474</t>
  </si>
  <si>
    <t>M/S SAI LAKSHMI  HANUMANSETTY</t>
  </si>
  <si>
    <t>AP31DW9709</t>
  </si>
  <si>
    <t>MARUTI BALENO PETROL</t>
  </si>
  <si>
    <t>BR/25000476</t>
  </si>
  <si>
    <t>Customer</t>
  </si>
  <si>
    <t>JC25000491</t>
  </si>
  <si>
    <t>MR SADHANALA ROOPANAND</t>
  </si>
  <si>
    <t>TEMPA03012</t>
  </si>
  <si>
    <t>NEW BALENO</t>
  </si>
  <si>
    <t>BR/25000473</t>
  </si>
  <si>
    <t>JC25000515</t>
  </si>
  <si>
    <t>MR SOPETI VENU GOPAL</t>
  </si>
  <si>
    <t>AP39RQ2637</t>
  </si>
  <si>
    <t>NEW WAGON R 1.2L PETROL</t>
  </si>
  <si>
    <t>BR/25000491</t>
  </si>
  <si>
    <t>JC25000517</t>
  </si>
  <si>
    <t>MR SATYARAJU B</t>
  </si>
  <si>
    <t>AP39SP2499</t>
  </si>
  <si>
    <t>NEW BREZZA</t>
  </si>
  <si>
    <t>BR/25000497</t>
  </si>
  <si>
    <t>JC25000535</t>
  </si>
  <si>
    <t>MR GSATYA NARAYANA</t>
  </si>
  <si>
    <t>AP35AD9889</t>
  </si>
  <si>
    <t>CELERIO</t>
  </si>
  <si>
    <t>BR/25000508</t>
  </si>
  <si>
    <t>JC25000572</t>
  </si>
  <si>
    <t>MR ARIKA BOSU BABU</t>
  </si>
  <si>
    <t>AP31DA6180</t>
  </si>
  <si>
    <t>WAGON-R NEW</t>
  </si>
  <si>
    <t>BR/25000551</t>
  </si>
  <si>
    <t>JC25000578</t>
  </si>
  <si>
    <t>MR ALCHEMAS ENGINEERING</t>
  </si>
  <si>
    <t>AP31EA0353</t>
  </si>
  <si>
    <t>BR/25000567</t>
  </si>
  <si>
    <t>JC25000584</t>
  </si>
  <si>
    <t>MR VALLAM KARTHIK CHANDRA</t>
  </si>
  <si>
    <t>AP39SB6423</t>
  </si>
  <si>
    <t>MARUTI GRAND VITARA Strong Hybrid</t>
  </si>
  <si>
    <t>BR/25000560</t>
  </si>
  <si>
    <t>JC25000589</t>
  </si>
  <si>
    <t>MRS THAVDU LINGALA</t>
  </si>
  <si>
    <t>AP31DT0912</t>
  </si>
  <si>
    <t>MARUTI BALENO DIESEL</t>
  </si>
  <si>
    <t>BR/25000561</t>
  </si>
  <si>
    <t>JC25000598</t>
  </si>
  <si>
    <t>MR KROVI  MAHANTH</t>
  </si>
  <si>
    <t>AP16DD7907</t>
  </si>
  <si>
    <t>BR/25000578</t>
  </si>
  <si>
    <t>JC25000702</t>
  </si>
  <si>
    <t>MR S SASIDHAR</t>
  </si>
  <si>
    <t>DL2CAS3588</t>
  </si>
  <si>
    <t>BR/25000676</t>
  </si>
  <si>
    <t>JC25000708</t>
  </si>
  <si>
    <t>MR P GOWRI SANKAR</t>
  </si>
  <si>
    <t>AP31ET7696</t>
  </si>
  <si>
    <t>BR/25000677</t>
  </si>
  <si>
    <t>JC25000711</t>
  </si>
  <si>
    <t>MR SALAGRAMA SUBRAHMANYAM</t>
  </si>
  <si>
    <t>AP39SH9818</t>
  </si>
  <si>
    <t>BR/25000672</t>
  </si>
  <si>
    <t>JC25000726</t>
  </si>
  <si>
    <t>MRS YASHMIN BANU</t>
  </si>
  <si>
    <t>AP40FE2094</t>
  </si>
  <si>
    <t>BR/25000702</t>
  </si>
  <si>
    <t>ZA21L0</t>
  </si>
  <si>
    <t xml:space="preserve">THROTTLE BODY CLEANING </t>
  </si>
  <si>
    <t>JC25000647</t>
  </si>
  <si>
    <t>MRS JYOTHI KRISHNA SASAPU</t>
  </si>
  <si>
    <t>AP11AU4193</t>
  </si>
  <si>
    <t>SWIFT NEW / DZIRE NEW PETROL</t>
  </si>
  <si>
    <t>BR/25000618</t>
  </si>
  <si>
    <t>JC25000691</t>
  </si>
  <si>
    <t>MRS P UMA SATYAVATHI</t>
  </si>
  <si>
    <t>AP39AA9664</t>
  </si>
  <si>
    <t>NEW SWIFT DIESEL</t>
  </si>
  <si>
    <t>BR/25000656</t>
  </si>
  <si>
    <t>ZA26L0</t>
  </si>
  <si>
    <t>UPHOLSTERY CLEANING</t>
  </si>
  <si>
    <t>JC25000707</t>
  </si>
  <si>
    <t>MRS SARIPALLI SARASWATHI</t>
  </si>
  <si>
    <t>AP31EV3711</t>
  </si>
  <si>
    <t>NEW SWIFT PETROL</t>
  </si>
  <si>
    <t>BR/25000683</t>
  </si>
  <si>
    <t>JC25000709</t>
  </si>
  <si>
    <t>MRS KOLLI  KASULAMMA</t>
  </si>
  <si>
    <t>AP39BZ4199</t>
  </si>
  <si>
    <t>BR/25000673</t>
  </si>
  <si>
    <t>ZA26L01</t>
  </si>
  <si>
    <t>UPHOLSTERY CLEANING (ONLY SEATS)</t>
  </si>
  <si>
    <t>JC25000523</t>
  </si>
  <si>
    <t>MRS MARUTI TRUE VALUE</t>
  </si>
  <si>
    <t>AP39NK1064</t>
  </si>
  <si>
    <t>S-PRESSO BIFUEL CNG</t>
  </si>
  <si>
    <t>BR/25000499</t>
  </si>
  <si>
    <t>JC25000532</t>
  </si>
  <si>
    <t>MR CHALLA  SURYANARAYANA</t>
  </si>
  <si>
    <t>TS07HP3026</t>
  </si>
  <si>
    <t>BR/25000506</t>
  </si>
  <si>
    <t>JC25000545</t>
  </si>
  <si>
    <t>MR ALLURI RAGHU VARMA</t>
  </si>
  <si>
    <t>AP40AW1515</t>
  </si>
  <si>
    <t>Fronx Domestic P74</t>
  </si>
  <si>
    <t>BR/25000519</t>
  </si>
  <si>
    <t>JC25000553</t>
  </si>
  <si>
    <t>MRS S SUHASINI</t>
  </si>
  <si>
    <t>AP31BR9738</t>
  </si>
  <si>
    <t>RITZ</t>
  </si>
  <si>
    <t>BR/25000527</t>
  </si>
  <si>
    <t>JC25000592</t>
  </si>
  <si>
    <t>MR UPPULURI KODANDARAMA</t>
  </si>
  <si>
    <t>AP39SK6899</t>
  </si>
  <si>
    <t>BR/25000566</t>
  </si>
  <si>
    <t>JC25000596</t>
  </si>
  <si>
    <t>MRS DASULLA JANAKI</t>
  </si>
  <si>
    <t>AP30AE9884</t>
  </si>
  <si>
    <t>BR/25000642</t>
  </si>
  <si>
    <t>JC25000608</t>
  </si>
  <si>
    <t>MRS PAKALAPATI HAREESH VARMA</t>
  </si>
  <si>
    <t>AP31EP6633</t>
  </si>
  <si>
    <t>VITARA BREZZA 1.3D</t>
  </si>
  <si>
    <t>BR/25000595</t>
  </si>
  <si>
    <t>JC25000624</t>
  </si>
  <si>
    <t>MR KUNDRA KRISHNA VENI SANDHYARANI</t>
  </si>
  <si>
    <t>AP31EV6799</t>
  </si>
  <si>
    <t>BR/25000593</t>
  </si>
  <si>
    <t>JC25000635</t>
  </si>
  <si>
    <t>MR GAJJALA RAMIREDDY CHENNA REDDY</t>
  </si>
  <si>
    <t>TS09TR0094</t>
  </si>
  <si>
    <t>BR/25000598</t>
  </si>
  <si>
    <t>JC25000636</t>
  </si>
  <si>
    <t>MR KALAKUNTLA RAMESH</t>
  </si>
  <si>
    <t>AP39JX9750</t>
  </si>
  <si>
    <t>BR/25000606</t>
  </si>
  <si>
    <t>JC25000661</t>
  </si>
  <si>
    <t>MR JOSYULA RAMA KRISHNA SASTRY</t>
  </si>
  <si>
    <t>AP40L3522</t>
  </si>
  <si>
    <t>BREZZA S-CNG</t>
  </si>
  <si>
    <t>BR/25000635</t>
  </si>
  <si>
    <t>JC25000695</t>
  </si>
  <si>
    <t>MR KALAGA V R L SEKHARAM</t>
  </si>
  <si>
    <t>AP39MV5697</t>
  </si>
  <si>
    <t>MARUTI S-CROSS SMART HYBRID 1.5L</t>
  </si>
  <si>
    <t>BR/25000664</t>
  </si>
  <si>
    <t>ZA50L0</t>
  </si>
  <si>
    <t>ALL ELECTRICALS CHECK-UP</t>
  </si>
  <si>
    <t>JC25000516</t>
  </si>
  <si>
    <t>MR G RAMESH</t>
  </si>
  <si>
    <t>AP39JH9397</t>
  </si>
  <si>
    <t>IGNIS-PETROL</t>
  </si>
  <si>
    <t>BR/25000490</t>
  </si>
  <si>
    <t>JC25000631</t>
  </si>
  <si>
    <t>MRS ARYA SOMAYAJULA NEELA VENI</t>
  </si>
  <si>
    <t>AP35N2183</t>
  </si>
  <si>
    <t>ZEN ESTILO</t>
  </si>
  <si>
    <t>BR/25000592</t>
  </si>
  <si>
    <t>ZA55L0</t>
  </si>
  <si>
    <t xml:space="preserve">PROTECTIVE TOPBODY COATING </t>
  </si>
  <si>
    <t>JC25000546</t>
  </si>
  <si>
    <t>MR KELLA  APPARAO</t>
  </si>
  <si>
    <t>AP39WC6501</t>
  </si>
  <si>
    <t>NEW ERTIGA PETROL</t>
  </si>
  <si>
    <t>BR/25000517</t>
  </si>
  <si>
    <t>JC25000609</t>
  </si>
  <si>
    <t>MR N RADHA KRISHNA</t>
  </si>
  <si>
    <t>AP31BF3291</t>
  </si>
  <si>
    <t>SWIFT</t>
  </si>
  <si>
    <t>BR/25000670</t>
  </si>
  <si>
    <t>JC25000720</t>
  </si>
  <si>
    <t>MRS K VENKATA LAKSHMI</t>
  </si>
  <si>
    <t>AP39JN8697</t>
  </si>
  <si>
    <t>BR/25000685</t>
  </si>
  <si>
    <t>ZA56L0</t>
  </si>
  <si>
    <t xml:space="preserve">PROTECTIVE UNDERBODY COATING </t>
  </si>
  <si>
    <t>JC25000590</t>
  </si>
  <si>
    <t>MR SYED HASEEBULLAH HUSSAINI</t>
  </si>
  <si>
    <t>TG13C4761</t>
  </si>
  <si>
    <t>BR/25000563</t>
  </si>
  <si>
    <t>JC25000650</t>
  </si>
  <si>
    <t>MR MORAMPUDI JAIPRAKASH BABU</t>
  </si>
  <si>
    <t>AP40FU6395</t>
  </si>
  <si>
    <t>EECO K12N 2022</t>
  </si>
  <si>
    <t>BR/25000623</t>
  </si>
  <si>
    <t>ZA65L0</t>
  </si>
  <si>
    <t xml:space="preserve">MULTIVALVE / GAS TANK CLEANING </t>
  </si>
  <si>
    <t>JC25000531</t>
  </si>
  <si>
    <t>MR SARIPALLI SANJOSHUA</t>
  </si>
  <si>
    <t>AP40DG7007</t>
  </si>
  <si>
    <t>BR/25000502</t>
  </si>
  <si>
    <t>JC25000577</t>
  </si>
  <si>
    <t>MR P KALYANARAO NAIDU</t>
  </si>
  <si>
    <t>AP31BY5639</t>
  </si>
  <si>
    <t>BR/25000549</t>
  </si>
  <si>
    <t>JC25000586</t>
  </si>
  <si>
    <t>MR K B SUBHRAHMANYAM</t>
  </si>
  <si>
    <t>AP39JB123</t>
  </si>
  <si>
    <t>VITARA BREZZA K15B BS-VI</t>
  </si>
  <si>
    <t>BR/25000665</t>
  </si>
  <si>
    <t>ZA88L0</t>
  </si>
  <si>
    <t>COOLANT CHECK / REPLACE</t>
  </si>
  <si>
    <t>ZC08L1</t>
  </si>
  <si>
    <t>FIP CALIBRATION</t>
  </si>
  <si>
    <t>JC25000558</t>
  </si>
  <si>
    <t>M/S HIGH POWER ELEVATORS PRIVATE LIMITED</t>
  </si>
  <si>
    <t>AP31EA2582</t>
  </si>
  <si>
    <t>ALTO K10</t>
  </si>
  <si>
    <t>BR/25000536</t>
  </si>
  <si>
    <t>ZA04L0</t>
  </si>
  <si>
    <t>WHEEL BALANCING - 4 WHEEL</t>
  </si>
  <si>
    <t>JC25000472</t>
  </si>
  <si>
    <t>MR ARUNAKUMAR  ANANTATMULA</t>
  </si>
  <si>
    <t>AP40H1140</t>
  </si>
  <si>
    <t>BR/25000457</t>
  </si>
  <si>
    <t>JC25000483</t>
  </si>
  <si>
    <t>MRS BODDU AMANI</t>
  </si>
  <si>
    <t>AP39SZ0950</t>
  </si>
  <si>
    <t>BR/25000464</t>
  </si>
  <si>
    <t>JC25000505</t>
  </si>
  <si>
    <t>MR PAMULA SIREESH KUMAR</t>
  </si>
  <si>
    <t>AP39SX3090</t>
  </si>
  <si>
    <t>New Dzire Petrol</t>
  </si>
  <si>
    <t>BR/25000477</t>
  </si>
  <si>
    <t>JC25000697</t>
  </si>
  <si>
    <t>MR S.GANESH KISHORE</t>
  </si>
  <si>
    <t>AP31BR6102</t>
  </si>
  <si>
    <t>BR/25000728</t>
  </si>
  <si>
    <t>JC25000705</t>
  </si>
  <si>
    <t>MRS CHILAKOTI MADHAVI</t>
  </si>
  <si>
    <t>AP31DJ8448</t>
  </si>
  <si>
    <t>BR/25000674</t>
  </si>
  <si>
    <t>JC25000721</t>
  </si>
  <si>
    <t>MRS CHIPPADA ARUNA</t>
  </si>
  <si>
    <t>AP39DK4634</t>
  </si>
  <si>
    <t>ALTO 800</t>
  </si>
  <si>
    <t>BR/25000690</t>
  </si>
  <si>
    <t>ZA05L0</t>
  </si>
  <si>
    <t>WHEEL BALANCING - 5 WHEEL</t>
  </si>
  <si>
    <t>JC25000551</t>
  </si>
  <si>
    <t>M/S SAMUDRALA ENGINEERING CONSULTING</t>
  </si>
  <si>
    <t>TS08FH4464</t>
  </si>
  <si>
    <t>BR/25000528</t>
  </si>
  <si>
    <t>JC25000583</t>
  </si>
  <si>
    <t>MRS BIKKAVOLU KRISHNAVENI</t>
  </si>
  <si>
    <t>AP39KU9216</t>
  </si>
  <si>
    <t>BR/25000556</t>
  </si>
  <si>
    <t>JC25000657</t>
  </si>
  <si>
    <t>MRS NUNELA SRAVANI</t>
  </si>
  <si>
    <t>AP39SM2222</t>
  </si>
  <si>
    <t>MARUTI GRAND VITARA Smart Hybrid</t>
  </si>
  <si>
    <t>BR/25000632</t>
  </si>
  <si>
    <t>JC25000689</t>
  </si>
  <si>
    <t>MRS SRIKAKULAPU  RAJESWARIDEVI</t>
  </si>
  <si>
    <t>AP40DM6363</t>
  </si>
  <si>
    <t>BR/25000691</t>
  </si>
  <si>
    <t>ZA11L0</t>
  </si>
  <si>
    <t>WHEEL ALIGNMENT</t>
  </si>
  <si>
    <t>JC25000444</t>
  </si>
  <si>
    <t>MR N VIKRAMAJAYA PRAKASH</t>
  </si>
  <si>
    <t>AP40CV3675</t>
  </si>
  <si>
    <t>NEW WAGON R 1L PETROL</t>
  </si>
  <si>
    <t>BI/25000075</t>
  </si>
  <si>
    <t>Insurance</t>
  </si>
  <si>
    <t>JC25000557</t>
  </si>
  <si>
    <t>MCP25000006</t>
  </si>
  <si>
    <t>Dealer AMC</t>
  </si>
  <si>
    <t>JC25000580</t>
  </si>
  <si>
    <t>MR MOSES JOSEPH MUNNANGI</t>
  </si>
  <si>
    <t>AP40ER0856</t>
  </si>
  <si>
    <t>MCP25000007</t>
  </si>
  <si>
    <t xml:space="preserve"> Service Adviso</t>
  </si>
  <si>
    <t>MUCHI PRASANTH</t>
  </si>
  <si>
    <t>RAMESHREDDY P</t>
  </si>
  <si>
    <t>REDDI RAMU</t>
  </si>
  <si>
    <t>VAS</t>
  </si>
  <si>
    <t>MGA</t>
  </si>
  <si>
    <t>VAS CO</t>
  </si>
  <si>
    <t xml:space="preserve"> Service Advisor/Technician Name</t>
  </si>
  <si>
    <t>REDDI RAMU-RR12</t>
  </si>
  <si>
    <t>Row Labels</t>
  </si>
  <si>
    <t>Grand Total</t>
  </si>
  <si>
    <t>Sum of 100</t>
  </si>
  <si>
    <t>Sum of 70</t>
  </si>
  <si>
    <t>Sum of 30</t>
  </si>
  <si>
    <t>Sum of VAS</t>
  </si>
  <si>
    <t>Sum of MGA</t>
  </si>
  <si>
    <t>Sum of VAS CO</t>
  </si>
  <si>
    <t>NAMES</t>
  </si>
  <si>
    <t>EMP ID</t>
  </si>
  <si>
    <t>DESIGNATION</t>
  </si>
  <si>
    <t>AMOUNT</t>
  </si>
  <si>
    <t>%</t>
  </si>
  <si>
    <t>SKM SUBHANI</t>
  </si>
  <si>
    <t>MA012383</t>
  </si>
  <si>
    <t>VAS CO-ORDINATOR</t>
  </si>
  <si>
    <t>M V RAMANA</t>
  </si>
  <si>
    <t>MA013623</t>
  </si>
  <si>
    <t>APPLICATOR</t>
  </si>
  <si>
    <t>DATA ENTRY</t>
  </si>
  <si>
    <t>MA017156</t>
  </si>
  <si>
    <t>TOTAL</t>
  </si>
  <si>
    <t>W A+ WB</t>
  </si>
  <si>
    <t>TB</t>
  </si>
  <si>
    <t>S.N</t>
  </si>
  <si>
    <t>EMP</t>
  </si>
  <si>
    <t>P TEJA</t>
  </si>
  <si>
    <t>WM</t>
  </si>
  <si>
    <t>MA017961</t>
  </si>
  <si>
    <t>V RAMU</t>
  </si>
  <si>
    <t>BSM</t>
  </si>
  <si>
    <t>MA010207</t>
  </si>
  <si>
    <t>SK SHAREEF</t>
  </si>
  <si>
    <t>CCM</t>
  </si>
  <si>
    <t>MA016510</t>
  </si>
  <si>
    <t>M SRINIVAS</t>
  </si>
  <si>
    <t>FLOOR</t>
  </si>
  <si>
    <t>MA010172</t>
  </si>
  <si>
    <t>N SRINIVASA REDDY</t>
  </si>
  <si>
    <t>GM SERVICE</t>
  </si>
  <si>
    <t>MA010027</t>
  </si>
  <si>
    <t>R JYOTHI</t>
  </si>
  <si>
    <t>GROUP CCM</t>
  </si>
  <si>
    <t>MA010156</t>
  </si>
  <si>
    <t>CH SESHU BABU</t>
  </si>
  <si>
    <t>GM SPARES</t>
  </si>
  <si>
    <t>MA010008</t>
  </si>
  <si>
    <t>B N V NARASIMHAM</t>
  </si>
  <si>
    <t>AGM SERVICE</t>
  </si>
  <si>
    <t>MA012698</t>
  </si>
  <si>
    <t>KIRAN</t>
  </si>
  <si>
    <t>SPARES INC</t>
  </si>
  <si>
    <t>MA013738</t>
  </si>
  <si>
    <t>B SRINIVAS REDDY</t>
  </si>
  <si>
    <t>AGM WOKS</t>
  </si>
  <si>
    <t>MA010155</t>
  </si>
  <si>
    <t>G RAMESH</t>
  </si>
  <si>
    <t>CASHIER</t>
  </si>
  <si>
    <t>K EWAR RAO</t>
  </si>
  <si>
    <t>GROUP -CO</t>
  </si>
  <si>
    <t>MA010241</t>
  </si>
  <si>
    <t>G PAVAN KUMAR</t>
  </si>
  <si>
    <t>CLUSTER BSM</t>
  </si>
  <si>
    <t>MA010254</t>
  </si>
  <si>
    <t>EMPLOYEE</t>
  </si>
  <si>
    <t>SERVICE ADVISOR</t>
  </si>
  <si>
    <t>Dealer : VARUN MOTORS PVT LTD</t>
  </si>
  <si>
    <t>Location : YENDADA-2S</t>
  </si>
  <si>
    <t>From Date : 01-JUN-25  To Date : 30-JUN-25</t>
  </si>
  <si>
    <t>Report Type : Details</t>
  </si>
  <si>
    <t>Location</t>
  </si>
  <si>
    <t xml:space="preserve"> MCP Enrollment No</t>
  </si>
  <si>
    <t>MCP Invoice No</t>
  </si>
  <si>
    <t xml:space="preserve"> MCP Date</t>
  </si>
  <si>
    <t xml:space="preserve"> MCP Status</t>
  </si>
  <si>
    <t xml:space="preserve"> Cust Addr1</t>
  </si>
  <si>
    <t xml:space="preserve"> Cust Addr2</t>
  </si>
  <si>
    <t xml:space="preserve"> Cust Addr3</t>
  </si>
  <si>
    <t xml:space="preserve"> Mobile</t>
  </si>
  <si>
    <t xml:space="preserve"> Email</t>
  </si>
  <si>
    <t xml:space="preserve"> Vin</t>
  </si>
  <si>
    <t xml:space="preserve"> Reg Num</t>
  </si>
  <si>
    <t xml:space="preserve"> Veh. Inv Dt</t>
  </si>
  <si>
    <t xml:space="preserve"> Engine No</t>
  </si>
  <si>
    <t xml:space="preserve"> Chassis No</t>
  </si>
  <si>
    <t xml:space="preserve"> MCP Start Date</t>
  </si>
  <si>
    <t xml:space="preserve"> MCP End Date</t>
  </si>
  <si>
    <t xml:space="preserve"> Package Code</t>
  </si>
  <si>
    <t xml:space="preserve"> Package Desc</t>
  </si>
  <si>
    <t xml:space="preserve"> No of Service offered</t>
  </si>
  <si>
    <t xml:space="preserve"> No of Services Availed</t>
  </si>
  <si>
    <t xml:space="preserve"> Balance Services</t>
  </si>
  <si>
    <t xml:space="preserve"> Amount collected</t>
  </si>
  <si>
    <t xml:space="preserve"> Discounted Labour</t>
  </si>
  <si>
    <t xml:space="preserve"> Discounted Parts</t>
  </si>
  <si>
    <t xml:space="preserve"> Discounted Consumables/Oil</t>
  </si>
  <si>
    <t>SGST Amount</t>
  </si>
  <si>
    <t xml:space="preserve"> CGST Amount</t>
  </si>
  <si>
    <t xml:space="preserve"> IGST Amount</t>
  </si>
  <si>
    <t xml:space="preserve"> Amount Used</t>
  </si>
  <si>
    <t xml:space="preserve"> Used Labour</t>
  </si>
  <si>
    <t xml:space="preserve"> Used Parts</t>
  </si>
  <si>
    <t xml:space="preserve"> Used Consumables/Oil</t>
  </si>
  <si>
    <t xml:space="preserve"> Balance Amount</t>
  </si>
  <si>
    <t xml:space="preserve"> Balanced Discounted Labour</t>
  </si>
  <si>
    <t xml:space="preserve"> Balanced Discounted Parts</t>
  </si>
  <si>
    <t xml:space="preserve"> Balanced Discounted Consumables/Oil</t>
  </si>
  <si>
    <t xml:space="preserve"> Cancellation Reason</t>
  </si>
  <si>
    <t xml:space="preserve"> Executive</t>
  </si>
  <si>
    <t>Net Recieved Amount</t>
  </si>
  <si>
    <t>Mode of payment</t>
  </si>
  <si>
    <t>Ref NO</t>
  </si>
  <si>
    <t>AMC2501014275</t>
  </si>
  <si>
    <t>MCPE25000003</t>
  </si>
  <si>
    <t>06/14/2025</t>
  </si>
  <si>
    <t>Active</t>
  </si>
  <si>
    <t>MOSES JOSEPH MUNNANGI</t>
  </si>
  <si>
    <t>D NO 1-8-23 SAMADHANA PETA</t>
  </si>
  <si>
    <t>CONTONMENT</t>
  </si>
  <si>
    <t>VIZIANAGARAM</t>
  </si>
  <si>
    <t>XXXXXX4636</t>
  </si>
  <si>
    <t>MBHHWB13SRD750998</t>
  </si>
  <si>
    <t>12/24/2024</t>
  </si>
  <si>
    <t>12/24/2026</t>
  </si>
  <si>
    <t>PKG00003</t>
  </si>
  <si>
    <t>Executive  2 yr  20000 km  &lt;=10000  0 Days to 6 Months</t>
  </si>
  <si>
    <t>CARD</t>
  </si>
  <si>
    <t>AME250000028</t>
  </si>
  <si>
    <t>AMC2501014285</t>
  </si>
  <si>
    <t>MCPE25000004</t>
  </si>
  <si>
    <t>GOSALA ANUSHA</t>
  </si>
  <si>
    <t>D NO 1/64</t>
  </si>
  <si>
    <t>GOTURU</t>
  </si>
  <si>
    <t>CUDDAPAH</t>
  </si>
  <si>
    <t>XXXXXX6226</t>
  </si>
  <si>
    <t>morupuanushareddy@gmail.com</t>
  </si>
  <si>
    <t>MA3BNC72SSA969127</t>
  </si>
  <si>
    <t>AP40FG3974</t>
  </si>
  <si>
    <t>AME25000030</t>
  </si>
  <si>
    <t>Sum of AMOUNT</t>
  </si>
  <si>
    <t>ID</t>
  </si>
  <si>
    <t>EMPLOYEE NAME</t>
  </si>
  <si>
    <t>LOCATION</t>
  </si>
  <si>
    <t>POOL INCENTIVE</t>
  </si>
  <si>
    <t>V.A.S INCENTIVE</t>
  </si>
  <si>
    <t>SMR INCENTIVE</t>
  </si>
  <si>
    <t>CCP INCENTIVE</t>
  </si>
  <si>
    <t>M.C.P INCENTIVE</t>
  </si>
  <si>
    <t>EXTENDED WARRENTY</t>
  </si>
  <si>
    <t>TYRES &amp; BATTERY&amp;OIL INCENTIVE</t>
  </si>
  <si>
    <t>FULL BODY INCEN</t>
  </si>
  <si>
    <t>MGA ACCESSORIES</t>
  </si>
  <si>
    <t xml:space="preserve">WASHING INCENTIVE </t>
  </si>
  <si>
    <t>CERAMIC COATING</t>
  </si>
  <si>
    <t>TOTAL INCENTIVE</t>
  </si>
  <si>
    <t>MA010101</t>
  </si>
  <si>
    <t>VAVALAPALLI GANGA</t>
  </si>
  <si>
    <t>SWEEPER</t>
  </si>
  <si>
    <t>YENDADA</t>
  </si>
  <si>
    <t>MODU SRINIVAS</t>
  </si>
  <si>
    <t>ASSISTANT MANAGER</t>
  </si>
  <si>
    <t>VARADI RAMU</t>
  </si>
  <si>
    <t>MA010232</t>
  </si>
  <si>
    <t>SUPERVISOR WASHING</t>
  </si>
  <si>
    <t>MA010311</t>
  </si>
  <si>
    <t>SIGATAPU RAMU</t>
  </si>
  <si>
    <t>DENTER</t>
  </si>
  <si>
    <t>MA011897</t>
  </si>
  <si>
    <t>ABDUL AFROOZ KHAN</t>
  </si>
  <si>
    <t>PAINTER</t>
  </si>
  <si>
    <t>MA012511</t>
  </si>
  <si>
    <t>ADVISOR</t>
  </si>
  <si>
    <t>BURELA NAGA VENKATA NARASIMHAM</t>
  </si>
  <si>
    <t>CLUSTER MANAGER</t>
  </si>
  <si>
    <t>MA012998</t>
  </si>
  <si>
    <t>KURUMUJU MAHESH</t>
  </si>
  <si>
    <t>WHEEL TECHNICIAN</t>
  </si>
  <si>
    <t>KIRAN KUMAR</t>
  </si>
  <si>
    <t>INCHARGE</t>
  </si>
  <si>
    <t>MUGADA VENKATA RAMANA</t>
  </si>
  <si>
    <t>VAS APPLICATOR</t>
  </si>
  <si>
    <t>MA015890</t>
  </si>
  <si>
    <t>BEHARA VASAVI PATRO</t>
  </si>
  <si>
    <t>EXECUTIVE</t>
  </si>
  <si>
    <t>SHAIK SHAREEF</t>
  </si>
  <si>
    <t>EXECUTIVE EDP</t>
  </si>
  <si>
    <t>MA017720</t>
  </si>
  <si>
    <t>MA017723</t>
  </si>
  <si>
    <t>BOBBILI PRASAD</t>
  </si>
  <si>
    <t>PILLI TEJA VARA PRASAD</t>
  </si>
  <si>
    <t>MA018053</t>
  </si>
  <si>
    <t>YANDAPALLI HARI</t>
  </si>
  <si>
    <t>PICKER</t>
  </si>
  <si>
    <t>MA018062</t>
  </si>
  <si>
    <t>KANCHARAPU AJAY</t>
  </si>
  <si>
    <t>MA018069</t>
  </si>
  <si>
    <t>MUDDADA PARVATHI</t>
  </si>
  <si>
    <t>MA018070</t>
  </si>
  <si>
    <t>KOTTAPALLI ESWARA RAO</t>
  </si>
  <si>
    <t>WASHER</t>
  </si>
  <si>
    <t>MA018109</t>
  </si>
  <si>
    <t>AKULA VENU</t>
  </si>
  <si>
    <t>ELECTRICIAN</t>
  </si>
  <si>
    <t>SRPM</t>
  </si>
  <si>
    <t>GM -SPARES</t>
  </si>
  <si>
    <t>B S R</t>
  </si>
  <si>
    <t>AGM WORKS</t>
  </si>
  <si>
    <t>CASHER</t>
  </si>
  <si>
    <t>SRPWS</t>
  </si>
  <si>
    <t>K ESWARARAO</t>
  </si>
  <si>
    <t>GROUP CO</t>
  </si>
  <si>
    <t>CLUSTER  BSM</t>
  </si>
  <si>
    <t>MA010751</t>
  </si>
  <si>
    <t>RAMESH REDDY</t>
  </si>
  <si>
    <t>YENDADA SERVICE &amp; BODY SHOP INCENTIVE REPORT JUNE- 2025</t>
  </si>
  <si>
    <t>AMARON</t>
  </si>
  <si>
    <t>EXIDE</t>
  </si>
  <si>
    <t>S5W30</t>
  </si>
  <si>
    <t>IN VEH</t>
  </si>
  <si>
    <t>S5W40</t>
  </si>
  <si>
    <t>ADVISER WISE INCENTIVE REPORT 05-2025</t>
  </si>
  <si>
    <t>S.NO</t>
  </si>
  <si>
    <t>EMPLOYEES</t>
  </si>
  <si>
    <t>TYRES</t>
  </si>
  <si>
    <t>KIRAN KUMAR (SPARES)</t>
  </si>
  <si>
    <t>A VENU (ELECTRICIAN)</t>
  </si>
  <si>
    <t>PRASANTH</t>
  </si>
  <si>
    <t>K.MAHESH (WA/WB)</t>
  </si>
  <si>
    <t>B.PRASAD (WA/WB)</t>
  </si>
  <si>
    <t>GRAND TOTAL</t>
  </si>
  <si>
    <t>P.TEJA (WM)</t>
  </si>
  <si>
    <t>ADVISOR NAME</t>
  </si>
  <si>
    <t>FULLY.SY.OIL</t>
  </si>
  <si>
    <t>OILS IN VEHIC</t>
  </si>
  <si>
    <t>TYRE MECH</t>
  </si>
  <si>
    <t>BATTERY MECH</t>
  </si>
  <si>
    <t>AC FILTERS</t>
  </si>
  <si>
    <t>SL NO</t>
  </si>
  <si>
    <t>Part Number</t>
  </si>
  <si>
    <t>Advisor</t>
  </si>
  <si>
    <t>Customer Name</t>
  </si>
  <si>
    <t>Job Card</t>
  </si>
  <si>
    <t>Car Number</t>
  </si>
  <si>
    <t>Date</t>
  </si>
  <si>
    <t>Issue No</t>
  </si>
  <si>
    <t>Amount</t>
  </si>
  <si>
    <t>Check</t>
  </si>
  <si>
    <t>Category</t>
  </si>
  <si>
    <t>1</t>
  </si>
  <si>
    <t>JC25000749</t>
  </si>
  <si>
    <t>AP31DY0679</t>
  </si>
  <si>
    <t>30-JUN-25</t>
  </si>
  <si>
    <t>ISS25000878</t>
  </si>
  <si>
    <t>2527.11</t>
  </si>
  <si>
    <t>**</t>
  </si>
  <si>
    <t>Not Applicable</t>
  </si>
  <si>
    <t>2</t>
  </si>
  <si>
    <t>990J0M999Z0-210    ABRANET ACE P 120 FILE SHEET 70 X 1</t>
  </si>
  <si>
    <t>2526.27</t>
  </si>
  <si>
    <t>3</t>
  </si>
  <si>
    <t>990J0M999Z0-170    ABRANET ACE P 180 150 DISCS 150 DIS</t>
  </si>
  <si>
    <t>2603.38</t>
  </si>
  <si>
    <t>4</t>
  </si>
  <si>
    <t>990J0M999Z0-180    ABRANET ACE P 320 150 DISCS 150 DIS</t>
  </si>
  <si>
    <t>2105.08</t>
  </si>
  <si>
    <t>5</t>
  </si>
  <si>
    <t>990J0M999Z0-190    ABRANET ACE P 400 150 DISCS 150 DIS</t>
  </si>
  <si>
    <t>2101.69</t>
  </si>
  <si>
    <t>6</t>
  </si>
  <si>
    <t>990J0M999Z0-160    ABRANET ACE P 80 150 DISCS 150 DISC</t>
  </si>
  <si>
    <t>2972.03</t>
  </si>
  <si>
    <t>7</t>
  </si>
  <si>
    <t>990J0M999Z0-200    ABRANET ACE P 80 FILE SHEET 70 X 19</t>
  </si>
  <si>
    <t>2561.86</t>
  </si>
  <si>
    <t>8</t>
  </si>
  <si>
    <t>990J0M999H4-030    AC CAN GAS (340 -FLORON)</t>
  </si>
  <si>
    <t>K SRINIVASA RAO</t>
  </si>
  <si>
    <t>JC25000526</t>
  </si>
  <si>
    <t>AP39FS4037</t>
  </si>
  <si>
    <t>10-JUN-25</t>
  </si>
  <si>
    <t>ISS25000640</t>
  </si>
  <si>
    <t>457.62</t>
  </si>
  <si>
    <t>9</t>
  </si>
  <si>
    <t>ALCHEMAS ENGINEERING</t>
  </si>
  <si>
    <t>14-JUN-25</t>
  </si>
  <si>
    <t>ISS25000678</t>
  </si>
  <si>
    <t>10</t>
  </si>
  <si>
    <t>DASULLA JANAKI</t>
  </si>
  <si>
    <t>19-JUN-25</t>
  </si>
  <si>
    <t>ISS25000734</t>
  </si>
  <si>
    <t>11</t>
  </si>
  <si>
    <t>GARREPALLY DEEKSHITH</t>
  </si>
  <si>
    <t>JC25000534</t>
  </si>
  <si>
    <t>TG046993</t>
  </si>
  <si>
    <t>20-JUN-25</t>
  </si>
  <si>
    <t>ISS25000744</t>
  </si>
  <si>
    <t>12</t>
  </si>
  <si>
    <t>SHARFUNNISA  BEGUM</t>
  </si>
  <si>
    <t>JC25000676</t>
  </si>
  <si>
    <t>AP39QM0581</t>
  </si>
  <si>
    <t>ISS25000863</t>
  </si>
  <si>
    <t>13</t>
  </si>
  <si>
    <t>990J0M999H7-010    ADHESIVE PROMOTOR 10ML</t>
  </si>
  <si>
    <t>PADALA VAMSI KRISHNA</t>
  </si>
  <si>
    <t>JC25000581</t>
  </si>
  <si>
    <t>TEMPA593021</t>
  </si>
  <si>
    <t>ISS25000669</t>
  </si>
  <si>
    <t>114.39</t>
  </si>
  <si>
    <t>14</t>
  </si>
  <si>
    <t>76.26</t>
  </si>
  <si>
    <t>15</t>
  </si>
  <si>
    <t>990J0M999PA-020    DOOR EDGE GURD- METALIC FINISH</t>
  </si>
  <si>
    <t>BAMMIDI  CHALAMAYYA</t>
  </si>
  <si>
    <t>JC25000574</t>
  </si>
  <si>
    <t>AP40EY7029</t>
  </si>
  <si>
    <t>13-JUN-25</t>
  </si>
  <si>
    <t>ISS25000665</t>
  </si>
  <si>
    <t>195.31</t>
  </si>
  <si>
    <t>Accessories</t>
  </si>
  <si>
    <t>16</t>
  </si>
  <si>
    <t>990J0M999H7-060    DOUBLE SIDE ADHESIVE TAPE</t>
  </si>
  <si>
    <t>MARUTI TRUE VALUE</t>
  </si>
  <si>
    <t>06-JUN-25</t>
  </si>
  <si>
    <t>ISS25000600</t>
  </si>
  <si>
    <t>135.59</t>
  </si>
  <si>
    <t>17</t>
  </si>
  <si>
    <t>18</t>
  </si>
  <si>
    <t>V ANAND</t>
  </si>
  <si>
    <t>JC25000652</t>
  </si>
  <si>
    <t>AP31CK3310</t>
  </si>
  <si>
    <t>23-JUN-25</t>
  </si>
  <si>
    <t>ISS25000777</t>
  </si>
  <si>
    <t>19</t>
  </si>
  <si>
    <t>271.18</t>
  </si>
  <si>
    <t>20</t>
  </si>
  <si>
    <t>990J0M999Z0-150    Dry Guide Coat With Applicator (100</t>
  </si>
  <si>
    <t>1608.47</t>
  </si>
  <si>
    <t>21</t>
  </si>
  <si>
    <t>990J0M999H2-970    WAX TOP KIT 100ML</t>
  </si>
  <si>
    <t>SAI LAKSHMI  HANUMANSETTY</t>
  </si>
  <si>
    <t>03-JUN-25</t>
  </si>
  <si>
    <t>ISS25000575</t>
  </si>
  <si>
    <t>295.76</t>
  </si>
  <si>
    <t>22</t>
  </si>
  <si>
    <t>KELLA  APPARAO</t>
  </si>
  <si>
    <t>09-JUN-25</t>
  </si>
  <si>
    <t>ISS25000621</t>
  </si>
  <si>
    <t>23</t>
  </si>
  <si>
    <t>43250M69R10-27N    WHEEL COVER 35.36 CM (14) WAGONR</t>
  </si>
  <si>
    <t>M SIMHACHALAM</t>
  </si>
  <si>
    <t>JC25000560</t>
  </si>
  <si>
    <t>AP31BN4563</t>
  </si>
  <si>
    <t>11-JUN-25</t>
  </si>
  <si>
    <t>ISS25000647</t>
  </si>
  <si>
    <t>347.65</t>
  </si>
  <si>
    <t>24</t>
  </si>
  <si>
    <t>43250M67L10-27N    WHL CVR SLVR WAGONR</t>
  </si>
  <si>
    <t>ARIKA BOSU BABU</t>
  </si>
  <si>
    <t>ISS25000666</t>
  </si>
  <si>
    <t>1218.72</t>
  </si>
  <si>
    <t>38340M76M10    .BLADE ASSY WIPER DR</t>
  </si>
  <si>
    <t>15-JUN-25</t>
  </si>
  <si>
    <t>ISS25000684</t>
  </si>
  <si>
    <t>364.4</t>
  </si>
  <si>
    <t>ADARSH CHINTALAPATI</t>
  </si>
  <si>
    <t>JC25000649</t>
  </si>
  <si>
    <t>AP39DH6280</t>
  </si>
  <si>
    <t>22-JUN-25</t>
  </si>
  <si>
    <t>ISS25000770</t>
  </si>
  <si>
    <t>38320M68P00    .BLADE ASSY, RR WIPER</t>
  </si>
  <si>
    <t>ISS25000683</t>
  </si>
  <si>
    <t>584.74</t>
  </si>
  <si>
    <t>K PAVAN KUMAR REDDY</t>
  </si>
  <si>
    <t>JC25000694</t>
  </si>
  <si>
    <t>AP31DK3552</t>
  </si>
  <si>
    <t>27-JUN-25</t>
  </si>
  <si>
    <t>ISS25000804</t>
  </si>
  <si>
    <t>38350M82P00    .BLADE ASSY, WIPER ASSISTANT</t>
  </si>
  <si>
    <t>538.13</t>
  </si>
  <si>
    <t>38340M82P00    .BLADE ASSY, WIPER DRIVER</t>
  </si>
  <si>
    <t>PATCHERLA VENKATA PAPARAO</t>
  </si>
  <si>
    <t>JC25000533</t>
  </si>
  <si>
    <t>AP39HA3138</t>
  </si>
  <si>
    <t>07-JUN-25</t>
  </si>
  <si>
    <t>ISS25000603</t>
  </si>
  <si>
    <t>627.11</t>
  </si>
  <si>
    <t>13780M72R00    .ELEMENT</t>
  </si>
  <si>
    <t>KALAKUNTLA RAMESH</t>
  </si>
  <si>
    <t>ISS25000759</t>
  </si>
  <si>
    <t>266.94</t>
  </si>
  <si>
    <t>95411M68K01    .EVAPORATOR ASSY</t>
  </si>
  <si>
    <t>17-JUN-25</t>
  </si>
  <si>
    <t>ISS25000706</t>
  </si>
  <si>
    <t>2246.09</t>
  </si>
  <si>
    <t>18135M55KD0    .GASKET, VACUUM PUMP</t>
  </si>
  <si>
    <t>KANDULA BHARATHI</t>
  </si>
  <si>
    <t>JC25000632</t>
  </si>
  <si>
    <t>AP31DT4347</t>
  </si>
  <si>
    <t>ISS25000756</t>
  </si>
  <si>
    <t>55.08</t>
  </si>
  <si>
    <t>38410M68P00    .PUMP ASSY, FR</t>
  </si>
  <si>
    <t>02-JUN-25</t>
  </si>
  <si>
    <t>ISS25000558</t>
  </si>
  <si>
    <t>281.25</t>
  </si>
  <si>
    <t>03141M05165    .SCREW</t>
  </si>
  <si>
    <t>SUNNAPU BASKARA RAO</t>
  </si>
  <si>
    <t>JC25000500</t>
  </si>
  <si>
    <t>AP39MX5647</t>
  </si>
  <si>
    <t>05-JUN-25</t>
  </si>
  <si>
    <t>ISS25000589</t>
  </si>
  <si>
    <t>50.8</t>
  </si>
  <si>
    <t>N VIKRAMAJAYA PRAKASH</t>
  </si>
  <si>
    <t>ISS25000592</t>
  </si>
  <si>
    <t>M VENKATA SATYANARAYANA</t>
  </si>
  <si>
    <t>JC25000496</t>
  </si>
  <si>
    <t>AP39KH1373</t>
  </si>
  <si>
    <t>ISS25000599</t>
  </si>
  <si>
    <t>KANNAM REDDY DEVI</t>
  </si>
  <si>
    <t>JC25000529</t>
  </si>
  <si>
    <t>AP39UW8876</t>
  </si>
  <si>
    <t>ISS25000630</t>
  </si>
  <si>
    <t>30.48</t>
  </si>
  <si>
    <t>JEERU GEETHIKA REDDY</t>
  </si>
  <si>
    <t>JC25000561</t>
  </si>
  <si>
    <t>AP40DJ5508</t>
  </si>
  <si>
    <t>ISS25000650</t>
  </si>
  <si>
    <t>ISS25000651</t>
  </si>
  <si>
    <t>40.64</t>
  </si>
  <si>
    <t>JC25000566</t>
  </si>
  <si>
    <t>12-JUN-25</t>
  </si>
  <si>
    <t>ISS25000659</t>
  </si>
  <si>
    <t>0</t>
  </si>
  <si>
    <t>POLAKI SIMHACHALAM</t>
  </si>
  <si>
    <t>JC25000556</t>
  </si>
  <si>
    <t>AP31DF9565</t>
  </si>
  <si>
    <t>ISS25000682</t>
  </si>
  <si>
    <t>25.4</t>
  </si>
  <si>
    <t>ORIX LEASING &amp; FINANCIAL SERVICES</t>
  </si>
  <si>
    <t>JC25000527</t>
  </si>
  <si>
    <t>AP40FP2208</t>
  </si>
  <si>
    <t>16-JUN-25</t>
  </si>
  <si>
    <t>ISS25000695</t>
  </si>
  <si>
    <t>POTTI SWATHI</t>
  </si>
  <si>
    <t>JC25000605</t>
  </si>
  <si>
    <t>AP39FT3579</t>
  </si>
  <si>
    <t>24-JUN-25</t>
  </si>
  <si>
    <t>ISS25000784</t>
  </si>
  <si>
    <t>KAMESWARARAO  POTNURU</t>
  </si>
  <si>
    <t>JC25000614</t>
  </si>
  <si>
    <t>AP40AF1235</t>
  </si>
  <si>
    <t>25-JUN-25</t>
  </si>
  <si>
    <t>ISS25000793</t>
  </si>
  <si>
    <t>K B SUBHRAHMANYAM</t>
  </si>
  <si>
    <t>JC25000571</t>
  </si>
  <si>
    <t>26-JUN-25</t>
  </si>
  <si>
    <t>ISS25000799</t>
  </si>
  <si>
    <t>G K D PRASAD</t>
  </si>
  <si>
    <t>JC25000475</t>
  </si>
  <si>
    <t>AP31BU9889</t>
  </si>
  <si>
    <t>ISS25000557</t>
  </si>
  <si>
    <t>MATTA  SATYAVATHI</t>
  </si>
  <si>
    <t>JC25000477</t>
  </si>
  <si>
    <t>AP31DN0306</t>
  </si>
  <si>
    <t>ISS25000563</t>
  </si>
  <si>
    <t>25</t>
  </si>
  <si>
    <t>ISS25000570</t>
  </si>
  <si>
    <t>26</t>
  </si>
  <si>
    <t>990J0M999H4-050    AC CAN GAS (450GM) SRF</t>
  </si>
  <si>
    <t>G GEETHA KUMARI</t>
  </si>
  <si>
    <t>JC25000716</t>
  </si>
  <si>
    <t>AP39DN9399</t>
  </si>
  <si>
    <t>ISS25000857</t>
  </si>
  <si>
    <t>533.89</t>
  </si>
  <si>
    <t>27</t>
  </si>
  <si>
    <t>56130M50S02    ACTUATOR ASYABS</t>
  </si>
  <si>
    <t>CHEKKA  DAVEEDU</t>
  </si>
  <si>
    <t>JC25000524</t>
  </si>
  <si>
    <t>AP39FV3665</t>
  </si>
  <si>
    <t>ISS25000601</t>
  </si>
  <si>
    <t>10070.31</t>
  </si>
  <si>
    <t>28</t>
  </si>
  <si>
    <t>90900M10154    ADHESIVE : INSTANT FIX</t>
  </si>
  <si>
    <t>GV SAI POOJITHA</t>
  </si>
  <si>
    <t>JC25000514</t>
  </si>
  <si>
    <t>AP30AG0045</t>
  </si>
  <si>
    <t>ISS25000596</t>
  </si>
  <si>
    <t>7.8</t>
  </si>
  <si>
    <t>29</t>
  </si>
  <si>
    <t>ISS25000696</t>
  </si>
  <si>
    <t>11.7</t>
  </si>
  <si>
    <t>30</t>
  </si>
  <si>
    <t>P MADHUSUDHANA RAO</t>
  </si>
  <si>
    <t>JC25000366</t>
  </si>
  <si>
    <t>AP28DG5858</t>
  </si>
  <si>
    <t>ISS25000704</t>
  </si>
  <si>
    <t>31</t>
  </si>
  <si>
    <t>SUMITA TALUKDAR</t>
  </si>
  <si>
    <t>JC25000617</t>
  </si>
  <si>
    <t>AP39B4430</t>
  </si>
  <si>
    <t>ISS25000726</t>
  </si>
  <si>
    <t>32</t>
  </si>
  <si>
    <t>ISS25000749</t>
  </si>
  <si>
    <t>15.6</t>
  </si>
  <si>
    <t>33</t>
  </si>
  <si>
    <t>S SRIHARI RAO</t>
  </si>
  <si>
    <t>JC25000710</t>
  </si>
  <si>
    <t>AP39UT3889</t>
  </si>
  <si>
    <t>28-JUN-25</t>
  </si>
  <si>
    <t>ISS25000833</t>
  </si>
  <si>
    <t>34</t>
  </si>
  <si>
    <t>KANDULA VARA LAKSHMI</t>
  </si>
  <si>
    <t>JC25000662</t>
  </si>
  <si>
    <t>FR728694</t>
  </si>
  <si>
    <t>ISS25000834</t>
  </si>
  <si>
    <t>35</t>
  </si>
  <si>
    <t>38.13</t>
  </si>
  <si>
    <t>36</t>
  </si>
  <si>
    <t>37</t>
  </si>
  <si>
    <t>ISS25000867</t>
  </si>
  <si>
    <t>38</t>
  </si>
  <si>
    <t>12831M86J20    ADJUSTER ASSY,TENSIONER</t>
  </si>
  <si>
    <t>MEDISETTI LOVA PRASAD</t>
  </si>
  <si>
    <t>JC25000476</t>
  </si>
  <si>
    <t>AP05DC6277</t>
  </si>
  <si>
    <t>04-JUN-25</t>
  </si>
  <si>
    <t>ISS25000576</t>
  </si>
  <si>
    <t>816.4</t>
  </si>
  <si>
    <t>39</t>
  </si>
  <si>
    <t>99000M24120-883    AIR DRYING SEALER ( PU 92)</t>
  </si>
  <si>
    <t>ISS25000690</t>
  </si>
  <si>
    <t>745.76</t>
  </si>
  <si>
    <t>40</t>
  </si>
  <si>
    <t>ISS25000796</t>
  </si>
  <si>
    <t>41</t>
  </si>
  <si>
    <t>N RADHA KRISHNA</t>
  </si>
  <si>
    <t>ISS25000821</t>
  </si>
  <si>
    <t>42</t>
  </si>
  <si>
    <t>43210M68PM1-QC8    ALLOY WHEEL</t>
  </si>
  <si>
    <t>DUVVADA SATHYA NAGACHAITHANYA</t>
  </si>
  <si>
    <t>JC25000606</t>
  </si>
  <si>
    <t>AP39LY3178</t>
  </si>
  <si>
    <t>ISS25000814</t>
  </si>
  <si>
    <t>8117.18</t>
  </si>
  <si>
    <t>43</t>
  </si>
  <si>
    <t>33610M68KA0    AMARON 42B20 BATTERY (AMS-FL-00042B</t>
  </si>
  <si>
    <t>PURAM KESAVAJAGADEESH KUMAR</t>
  </si>
  <si>
    <t>JC25000493</t>
  </si>
  <si>
    <t>AP39MW7192</t>
  </si>
  <si>
    <t>ISS25000572</t>
  </si>
  <si>
    <t>4314.84</t>
  </si>
  <si>
    <t>44</t>
  </si>
  <si>
    <t>18-JUN-25</t>
  </si>
  <si>
    <t>ISS25000719</t>
  </si>
  <si>
    <t>45</t>
  </si>
  <si>
    <t>NATTHURAM PRJAPAT</t>
  </si>
  <si>
    <t>JC25000655</t>
  </si>
  <si>
    <t>AP39HS6458</t>
  </si>
  <si>
    <t>ISS25000779</t>
  </si>
  <si>
    <t>46</t>
  </si>
  <si>
    <t>V G K SARMA</t>
  </si>
  <si>
    <t>JC25000656</t>
  </si>
  <si>
    <t>AP31DF9125</t>
  </si>
  <si>
    <t>ISS25000780</t>
  </si>
  <si>
    <t>47</t>
  </si>
  <si>
    <t>990J0M999H1-013    ANTIRUST COATING REG</t>
  </si>
  <si>
    <t>SADHANALA ROOPANAND</t>
  </si>
  <si>
    <t>ISS25000565</t>
  </si>
  <si>
    <t>347.45</t>
  </si>
  <si>
    <t>48</t>
  </si>
  <si>
    <t>VALLAM KARTHIK CHANDRA</t>
  </si>
  <si>
    <t>ISS25000679</t>
  </si>
  <si>
    <t>49</t>
  </si>
  <si>
    <t>SYED HASEEBULLAH HUSSAINI</t>
  </si>
  <si>
    <t>ISS25000686</t>
  </si>
  <si>
    <t>50</t>
  </si>
  <si>
    <t>MORAMPUDI JAIPRAKASH BABU</t>
  </si>
  <si>
    <t>ISS25000773</t>
  </si>
  <si>
    <t>51</t>
  </si>
  <si>
    <t>ISS25000831</t>
  </si>
  <si>
    <t>52</t>
  </si>
  <si>
    <t>S SASIDHAR</t>
  </si>
  <si>
    <t>ISS25000832</t>
  </si>
  <si>
    <t>53</t>
  </si>
  <si>
    <t>P GOWRI SANKAR</t>
  </si>
  <si>
    <t>ISS25000840</t>
  </si>
  <si>
    <t>54</t>
  </si>
  <si>
    <t>YASHMIN BANU</t>
  </si>
  <si>
    <t>ISS25000854</t>
  </si>
  <si>
    <t>55</t>
  </si>
  <si>
    <t>45202M65M01    ARM ASSY FRONT SUSPENSION</t>
  </si>
  <si>
    <t>1327.34</t>
  </si>
  <si>
    <t>56</t>
  </si>
  <si>
    <t>45202M67L02    ARM ASSY,FRONT SUSPENSION,L</t>
  </si>
  <si>
    <t>ISS25000662</t>
  </si>
  <si>
    <t>858.59</t>
  </si>
  <si>
    <t>57</t>
  </si>
  <si>
    <t>ISS25000708</t>
  </si>
  <si>
    <t>58</t>
  </si>
  <si>
    <t>45201M67L02    ARM ASSY,FRONT SUSPENSION,R</t>
  </si>
  <si>
    <t>59</t>
  </si>
  <si>
    <t>45201M69R10    ARM ASSY,FRONT SUSPENSION,R</t>
  </si>
  <si>
    <t>ISS25000713</t>
  </si>
  <si>
    <t>1261.71</t>
  </si>
  <si>
    <t>60</t>
  </si>
  <si>
    <t>81850M82P00    BALANCER COMP,BACK DOOR,R</t>
  </si>
  <si>
    <t>PAKALAPATI HAREESH VARMA</t>
  </si>
  <si>
    <t>ISS25000733</t>
  </si>
  <si>
    <t>460.93</t>
  </si>
  <si>
    <t>61</t>
  </si>
  <si>
    <t>23265M79F80    BEARING CLUTCH RELEASE</t>
  </si>
  <si>
    <t>CHETAN VARMA DANTULURI</t>
  </si>
  <si>
    <t>JC25000653</t>
  </si>
  <si>
    <t>AP39QE4356</t>
  </si>
  <si>
    <t>ISS25000782</t>
  </si>
  <si>
    <t>466.1</t>
  </si>
  <si>
    <t>62</t>
  </si>
  <si>
    <t>46860M68K21    BEARING REAR WHEEL</t>
  </si>
  <si>
    <t>M NAGESWARI</t>
  </si>
  <si>
    <t>JC25000651</t>
  </si>
  <si>
    <t>AP35TQTR6576</t>
  </si>
  <si>
    <t>ISS25000776</t>
  </si>
  <si>
    <t>631.35</t>
  </si>
  <si>
    <t>63</t>
  </si>
  <si>
    <t>46860M83K01    BEARING REAR WHEEL</t>
  </si>
  <si>
    <t>S SUHASINI</t>
  </si>
  <si>
    <t>JC25000562</t>
  </si>
  <si>
    <t>ISS25000655</t>
  </si>
  <si>
    <t>656.77</t>
  </si>
  <si>
    <t>64</t>
  </si>
  <si>
    <t>JC25000611</t>
  </si>
  <si>
    <t>ISS25000731</t>
  </si>
  <si>
    <t>1313.54</t>
  </si>
  <si>
    <t>65</t>
  </si>
  <si>
    <t>23265M79F00    BEARING,CLUTCH RELEASE</t>
  </si>
  <si>
    <t>429.68</t>
  </si>
  <si>
    <t>66</t>
  </si>
  <si>
    <t>12623M68K00    BEARING,INPUT SHAFT</t>
  </si>
  <si>
    <t>122.88</t>
  </si>
  <si>
    <t>67</t>
  </si>
  <si>
    <t>17521-72RB0    BELT, WATER PUMP</t>
  </si>
  <si>
    <t>KALAGA V R L SEKHARAM</t>
  </si>
  <si>
    <t>ISS25000806</t>
  </si>
  <si>
    <t>1262.71</t>
  </si>
  <si>
    <t>68</t>
  </si>
  <si>
    <t>17521M68P00    BELT, WATER PUMP</t>
  </si>
  <si>
    <t>69</t>
  </si>
  <si>
    <t>17522M52T00    BELT,GENERATOR</t>
  </si>
  <si>
    <t>UPPULURI KODANDARAMA</t>
  </si>
  <si>
    <t>ISS25000692</t>
  </si>
  <si>
    <t>500</t>
  </si>
  <si>
    <t>70</t>
  </si>
  <si>
    <t>NUNELA SRAVANI</t>
  </si>
  <si>
    <t>ISS25000785</t>
  </si>
  <si>
    <t>71</t>
  </si>
  <si>
    <t>17521M52T00    BELT,WATER PUMP</t>
  </si>
  <si>
    <t>SATYARAJU B</t>
  </si>
  <si>
    <t>ISS25000594</t>
  </si>
  <si>
    <t>300.84</t>
  </si>
  <si>
    <t>72</t>
  </si>
  <si>
    <t>ISS25000843</t>
  </si>
  <si>
    <t>73</t>
  </si>
  <si>
    <t>17521M53M00    BELT,WATER PUMP</t>
  </si>
  <si>
    <t>VELAMALA MAHESWARA RAO</t>
  </si>
  <si>
    <t>JC25000539</t>
  </si>
  <si>
    <t>AP39RE9557</t>
  </si>
  <si>
    <t>08-JUN-25</t>
  </si>
  <si>
    <t>ISS25000618</t>
  </si>
  <si>
    <t>139.83</t>
  </si>
  <si>
    <t>74</t>
  </si>
  <si>
    <t>17521M66T00    BELT,WATER PUMP</t>
  </si>
  <si>
    <t>SHRI VARMA INFRA</t>
  </si>
  <si>
    <t>JC25000508</t>
  </si>
  <si>
    <t>AP39SA5559</t>
  </si>
  <si>
    <t>ISS25000586</t>
  </si>
  <si>
    <t>283.89</t>
  </si>
  <si>
    <t>75</t>
  </si>
  <si>
    <t>17521M68K50    BELT,WATER PUMP</t>
  </si>
  <si>
    <t>ISS25000556</t>
  </si>
  <si>
    <t>216.1</t>
  </si>
  <si>
    <t>76</t>
  </si>
  <si>
    <t>HIGH POWER ELEVATORS PRIVATE LI</t>
  </si>
  <si>
    <t>ISS25000644</t>
  </si>
  <si>
    <t>77</t>
  </si>
  <si>
    <t>ISS25000730</t>
  </si>
  <si>
    <t>78</t>
  </si>
  <si>
    <t>KOLLI  KASULAMMA</t>
  </si>
  <si>
    <t>ISS25000837</t>
  </si>
  <si>
    <t>79</t>
  </si>
  <si>
    <t>17521M79G20    BELT,WATER PUMP(F8D)(ALTO)</t>
  </si>
  <si>
    <t>CHIPPADA ARUNA</t>
  </si>
  <si>
    <t>29-JUN-25</t>
  </si>
  <si>
    <t>ISS25000851</t>
  </si>
  <si>
    <t>80</t>
  </si>
  <si>
    <t>71751M69R00-5PK    BEZEL,FRONT FOG LAMP,R</t>
  </si>
  <si>
    <t>ISS25000710</t>
  </si>
  <si>
    <t>35.93</t>
  </si>
  <si>
    <t>81</t>
  </si>
  <si>
    <t>71751M85S20-5PK    BEZEL,FRONT FOG LAMP,R</t>
  </si>
  <si>
    <t>72.65</t>
  </si>
  <si>
    <t>82</t>
  </si>
  <si>
    <t>38340M69R00    BLADE ASSY WIPER</t>
  </si>
  <si>
    <t>PEDIREDLA RENUKA</t>
  </si>
  <si>
    <t>JC25000549</t>
  </si>
  <si>
    <t>AP31DW2548</t>
  </si>
  <si>
    <t>ISS25000625</t>
  </si>
  <si>
    <t>377.11</t>
  </si>
  <si>
    <t>83</t>
  </si>
  <si>
    <t>38340M68P11    BLADE ASSY WIPER DRIVER</t>
  </si>
  <si>
    <t>ISS25000560</t>
  </si>
  <si>
    <t>436.44</t>
  </si>
  <si>
    <t>84</t>
  </si>
  <si>
    <t>GVRKSASTRY</t>
  </si>
  <si>
    <t>JC25000660</t>
  </si>
  <si>
    <t>AP39JB6529</t>
  </si>
  <si>
    <t>ISS25000783</t>
  </si>
  <si>
    <t>85</t>
  </si>
  <si>
    <t>38340M53M01    BLADE ASSY WIPER DS</t>
  </si>
  <si>
    <t>SAMUDRALA ENGINEERING CONSULT</t>
  </si>
  <si>
    <t>ISS25000636</t>
  </si>
  <si>
    <t>309.32</t>
  </si>
  <si>
    <t>86</t>
  </si>
  <si>
    <t>BIKKAVOLU KRISHNAVENI</t>
  </si>
  <si>
    <t>ISS25000674</t>
  </si>
  <si>
    <t>87</t>
  </si>
  <si>
    <t>38340M69R10    BLADE ASSY WPIER</t>
  </si>
  <si>
    <t>RACHURI SREEKANTH</t>
  </si>
  <si>
    <t>JC25000737</t>
  </si>
  <si>
    <t>AP31AP5463</t>
  </si>
  <si>
    <t>ISS25000870</t>
  </si>
  <si>
    <t>355.93</t>
  </si>
  <si>
    <t>88</t>
  </si>
  <si>
    <t>38340M62S10    BLADE ASSY WPIER DRVR</t>
  </si>
  <si>
    <t>89</t>
  </si>
  <si>
    <t>ISS25000653</t>
  </si>
  <si>
    <t>90</t>
  </si>
  <si>
    <t>38340M65M10    BLADE ASSY, WIPER</t>
  </si>
  <si>
    <t>322.03</t>
  </si>
  <si>
    <t>91</t>
  </si>
  <si>
    <t>334.74</t>
  </si>
  <si>
    <t>92</t>
  </si>
  <si>
    <t>CHILAKOTI MADHAVI</t>
  </si>
  <si>
    <t>ISS25000830</t>
  </si>
  <si>
    <t>93</t>
  </si>
  <si>
    <t>94</t>
  </si>
  <si>
    <t>38340M74L22    BLADE ASSY, WIPER</t>
  </si>
  <si>
    <t>432.2</t>
  </si>
  <si>
    <t>95</t>
  </si>
  <si>
    <t>38340M68P30    BLADE ASSY, WIPER ASSISTANT</t>
  </si>
  <si>
    <t>351.69</t>
  </si>
  <si>
    <t>96</t>
  </si>
  <si>
    <t>97</t>
  </si>
  <si>
    <t>38340M59K00    BLADE ASSY, WIPER RH</t>
  </si>
  <si>
    <t>98</t>
  </si>
  <si>
    <t>38340M72R50    BLADE ASSY, WIPER RR</t>
  </si>
  <si>
    <t>NORRIS SYDNEY MICHAEL</t>
  </si>
  <si>
    <t>JC25000540</t>
  </si>
  <si>
    <t>AP40BE1249</t>
  </si>
  <si>
    <t>ISS25000615</t>
  </si>
  <si>
    <t>558.59</t>
  </si>
  <si>
    <t>99</t>
  </si>
  <si>
    <t>38340M79M40    BLADE ASSY,WIPER</t>
  </si>
  <si>
    <t>406.77</t>
  </si>
  <si>
    <t>100</t>
  </si>
  <si>
    <t>99000M24120-958    BODY FILLER (3KG LIGHTWEIGHT)</t>
  </si>
  <si>
    <t>ISS25000714</t>
  </si>
  <si>
    <t>1233.05</t>
  </si>
  <si>
    <t>101</t>
  </si>
  <si>
    <t>CHATLA MURALI KRISHNA</t>
  </si>
  <si>
    <t>JC25000575</t>
  </si>
  <si>
    <t>AP40AN0965</t>
  </si>
  <si>
    <t>ISS25000727</t>
  </si>
  <si>
    <t>102</t>
  </si>
  <si>
    <t>103</t>
  </si>
  <si>
    <t>ISS25000811</t>
  </si>
  <si>
    <t>616.525</t>
  </si>
  <si>
    <t>104</t>
  </si>
  <si>
    <t>01550M0616A    BOLT</t>
  </si>
  <si>
    <t>32.76</t>
  </si>
  <si>
    <t>105</t>
  </si>
  <si>
    <t>43.68</t>
  </si>
  <si>
    <t>106</t>
  </si>
  <si>
    <t>107</t>
  </si>
  <si>
    <t>DEVINENI DURGAKOTI SURESH</t>
  </si>
  <si>
    <t>JC25000601</t>
  </si>
  <si>
    <t>AP40BV5445</t>
  </si>
  <si>
    <t>ISS25000725</t>
  </si>
  <si>
    <t>54.6</t>
  </si>
  <si>
    <t>108</t>
  </si>
  <si>
    <t>109</t>
  </si>
  <si>
    <t>27.3</t>
  </si>
  <si>
    <t>110</t>
  </si>
  <si>
    <t>ISS25000822</t>
  </si>
  <si>
    <t>109.2</t>
  </si>
  <si>
    <t>111</t>
  </si>
  <si>
    <t>MADDALA DEVI</t>
  </si>
  <si>
    <t>JC25000672</t>
  </si>
  <si>
    <t>AP31EF2788</t>
  </si>
  <si>
    <t>ISS25000850</t>
  </si>
  <si>
    <t>112</t>
  </si>
  <si>
    <t>ISS25000861</t>
  </si>
  <si>
    <t>113</t>
  </si>
  <si>
    <t>01550M0625A    BOLT</t>
  </si>
  <si>
    <t>14.04</t>
  </si>
  <si>
    <t>114</t>
  </si>
  <si>
    <t>18.72</t>
  </si>
  <si>
    <t>115</t>
  </si>
  <si>
    <t>09119M10056    BOLT</t>
  </si>
  <si>
    <t>MRITUNJAY KUMAR</t>
  </si>
  <si>
    <t>JC25000680</t>
  </si>
  <si>
    <t>AP31BD0202</t>
  </si>
  <si>
    <t>ISS25000797</t>
  </si>
  <si>
    <t>92.18</t>
  </si>
  <si>
    <t>116</t>
  </si>
  <si>
    <t>63461M75J00    BOLT,BATTERY</t>
  </si>
  <si>
    <t>ISS25000728</t>
  </si>
  <si>
    <t>21.86</t>
  </si>
  <si>
    <t>117</t>
  </si>
  <si>
    <t>43423M62S00    BOLT,FRONT HUB</t>
  </si>
  <si>
    <t>48.42</t>
  </si>
  <si>
    <t>118</t>
  </si>
  <si>
    <t>28130M68P00-5PK    BOOT,SHIFT LEVER(BLACK)</t>
  </si>
  <si>
    <t>Y V V R S S SEKHAR BABU</t>
  </si>
  <si>
    <t>JC25000690</t>
  </si>
  <si>
    <t>AP31CQ1413</t>
  </si>
  <si>
    <t>ISS25000812</t>
  </si>
  <si>
    <t>261.71</t>
  </si>
  <si>
    <t>119</t>
  </si>
  <si>
    <t>48500M67L02    BOX ASSY STEERING GEAR</t>
  </si>
  <si>
    <t>4835.93</t>
  </si>
  <si>
    <t>120</t>
  </si>
  <si>
    <t>71781M75T00    BRACE,FRONT BUMPER CTR</t>
  </si>
  <si>
    <t>ISS25000745</t>
  </si>
  <si>
    <t>132.81</t>
  </si>
  <si>
    <t>121</t>
  </si>
  <si>
    <t>71783M75T00    BRACE,FRONT BUMPER SIDE,L</t>
  </si>
  <si>
    <t>148.43</t>
  </si>
  <si>
    <t>122</t>
  </si>
  <si>
    <t>71782M75T00    BRACE,FRONT BUMPER SIDE,R</t>
  </si>
  <si>
    <t>123</t>
  </si>
  <si>
    <t>37736M54T00    BRACKET,PARK SNSR</t>
  </si>
  <si>
    <t>287.48</t>
  </si>
  <si>
    <t>124</t>
  </si>
  <si>
    <t>99000M24120-579    BRAKE FLUID GC1500AA (500 ML PACK)</t>
  </si>
  <si>
    <t>326.27</t>
  </si>
  <si>
    <t>125</t>
  </si>
  <si>
    <t>126</t>
  </si>
  <si>
    <t>PAMULA SIREESH KUMAR</t>
  </si>
  <si>
    <t>ISS25000577</t>
  </si>
  <si>
    <t>127</t>
  </si>
  <si>
    <t>ISS25000587</t>
  </si>
  <si>
    <t>128</t>
  </si>
  <si>
    <t>ISS25000598</t>
  </si>
  <si>
    <t>129</t>
  </si>
  <si>
    <t>SARIPALLI SANJOSHUA</t>
  </si>
  <si>
    <t>ISS25000602</t>
  </si>
  <si>
    <t>130</t>
  </si>
  <si>
    <t>CHALLA  SURYANARAYANA</t>
  </si>
  <si>
    <t>ISS25000605</t>
  </si>
  <si>
    <t>131</t>
  </si>
  <si>
    <t>ALLURI RAGHU VARMA</t>
  </si>
  <si>
    <t>ISS25000622</t>
  </si>
  <si>
    <t>132</t>
  </si>
  <si>
    <t>ANALA SRINIVASA RAO</t>
  </si>
  <si>
    <t>JC25000550</t>
  </si>
  <si>
    <t>AP39UW7181</t>
  </si>
  <si>
    <t>ISS25000628</t>
  </si>
  <si>
    <t>133</t>
  </si>
  <si>
    <t>ISS25000631</t>
  </si>
  <si>
    <t>134</t>
  </si>
  <si>
    <t>KARRI  KURMARAO</t>
  </si>
  <si>
    <t>JC25000552</t>
  </si>
  <si>
    <t>FR739158</t>
  </si>
  <si>
    <t>ISS25000632</t>
  </si>
  <si>
    <t>135</t>
  </si>
  <si>
    <t>K VENKATA LAKSHMI</t>
  </si>
  <si>
    <t>ISS25000642</t>
  </si>
  <si>
    <t>282.2</t>
  </si>
  <si>
    <t>136</t>
  </si>
  <si>
    <t>137</t>
  </si>
  <si>
    <t>ISS25000673</t>
  </si>
  <si>
    <t>138</t>
  </si>
  <si>
    <t>ISS25000680</t>
  </si>
  <si>
    <t>139</t>
  </si>
  <si>
    <t>140</t>
  </si>
  <si>
    <t>ISS25000722</t>
  </si>
  <si>
    <t>141</t>
  </si>
  <si>
    <t>142</t>
  </si>
  <si>
    <t>143</t>
  </si>
  <si>
    <t>144</t>
  </si>
  <si>
    <t>JOSYULA RAMA KRISHNA SASTRY</t>
  </si>
  <si>
    <t>ISS25000786</t>
  </si>
  <si>
    <t>145</t>
  </si>
  <si>
    <t>P UMA SATYAVATHI</t>
  </si>
  <si>
    <t>ISS25000801</t>
  </si>
  <si>
    <t>146</t>
  </si>
  <si>
    <t>SRIKAKULAPU  RAJESWARIDEVI</t>
  </si>
  <si>
    <t>ISS25000816</t>
  </si>
  <si>
    <t>147</t>
  </si>
  <si>
    <t>ISS25000829</t>
  </si>
  <si>
    <t>148</t>
  </si>
  <si>
    <t>149</t>
  </si>
  <si>
    <t>150</t>
  </si>
  <si>
    <t>JC25000594</t>
  </si>
  <si>
    <t>ISS25000848</t>
  </si>
  <si>
    <t>151</t>
  </si>
  <si>
    <t>152</t>
  </si>
  <si>
    <t>S.GANESH KISHORE</t>
  </si>
  <si>
    <t>ISS25000876</t>
  </si>
  <si>
    <t>153</t>
  </si>
  <si>
    <t>09471M12076    BULB</t>
  </si>
  <si>
    <t>ISS25000844</t>
  </si>
  <si>
    <t>72.88</t>
  </si>
  <si>
    <t>154</t>
  </si>
  <si>
    <t>09471M12245    BULB</t>
  </si>
  <si>
    <t>Y NAGA TALUPULA RAO</t>
  </si>
  <si>
    <t>JC25000683</t>
  </si>
  <si>
    <t>AP39KX9665</t>
  </si>
  <si>
    <t>ISS25000846</t>
  </si>
  <si>
    <t>62.71</t>
  </si>
  <si>
    <t>155</t>
  </si>
  <si>
    <t>09471M12202    BULB (12V, WY21W)</t>
  </si>
  <si>
    <t>SANTOSH KUMAR DANDAPAT</t>
  </si>
  <si>
    <t>JC25000621</t>
  </si>
  <si>
    <t>AP39QG0631</t>
  </si>
  <si>
    <t>ISS25000718</t>
  </si>
  <si>
    <t>127.11</t>
  </si>
  <si>
    <t>156</t>
  </si>
  <si>
    <t>09471M12181    BULB (12V,10W)</t>
  </si>
  <si>
    <t>ISS25000803</t>
  </si>
  <si>
    <t>157</t>
  </si>
  <si>
    <t>09471M12210    BULB (12V,35W H8)</t>
  </si>
  <si>
    <t>ISS25000740</t>
  </si>
  <si>
    <t>487.28</t>
  </si>
  <si>
    <t>158</t>
  </si>
  <si>
    <t>09471M12090    BULB 12V(SX4 MINOR 2009)</t>
  </si>
  <si>
    <t>NV SUBBARAO</t>
  </si>
  <si>
    <t>JC25000559</t>
  </si>
  <si>
    <t>AP31CL7853</t>
  </si>
  <si>
    <t>ISS25000656</t>
  </si>
  <si>
    <t>88.98</t>
  </si>
  <si>
    <t>159</t>
  </si>
  <si>
    <t>160</t>
  </si>
  <si>
    <t>161</t>
  </si>
  <si>
    <t>ISS25000815</t>
  </si>
  <si>
    <t>162</t>
  </si>
  <si>
    <t>09471M12146    BULB W16W</t>
  </si>
  <si>
    <t>59.32</t>
  </si>
  <si>
    <t>163</t>
  </si>
  <si>
    <t>MADDILA SIVA PRASADRAO</t>
  </si>
  <si>
    <t>JC25000699</t>
  </si>
  <si>
    <t>AP31EH8850</t>
  </si>
  <si>
    <t>ISS25000807</t>
  </si>
  <si>
    <t>164</t>
  </si>
  <si>
    <t>118.64</t>
  </si>
  <si>
    <t>165</t>
  </si>
  <si>
    <t>09471M12057    BULB,21/5 W,12V</t>
  </si>
  <si>
    <t>ISS25000641</t>
  </si>
  <si>
    <t>166</t>
  </si>
  <si>
    <t>JC25000591</t>
  </si>
  <si>
    <t>ISS25000685</t>
  </si>
  <si>
    <t>167</t>
  </si>
  <si>
    <t>168</t>
  </si>
  <si>
    <t>110.16</t>
  </si>
  <si>
    <t>169</t>
  </si>
  <si>
    <t>170</t>
  </si>
  <si>
    <t>71711M55R00-5PK    BUMPER ,FRONT</t>
  </si>
  <si>
    <t>1812.5</t>
  </si>
  <si>
    <t>171</t>
  </si>
  <si>
    <t>71710M85S00-5PK    BUMPER COMP,FRONT UPPER</t>
  </si>
  <si>
    <t>1066.4</t>
  </si>
  <si>
    <t>172</t>
  </si>
  <si>
    <t>71711M54T01-5PK    BUMPER FRONT</t>
  </si>
  <si>
    <t>ISS25000629</t>
  </si>
  <si>
    <t>2453.12</t>
  </si>
  <si>
    <t>173</t>
  </si>
  <si>
    <t>71711M67LA0-5PK    BUMPER FRONT</t>
  </si>
  <si>
    <t>ISS25000681</t>
  </si>
  <si>
    <t>1265.62</t>
  </si>
  <si>
    <t>174</t>
  </si>
  <si>
    <t>N  VENKATA VIJAYA LAKSHMI</t>
  </si>
  <si>
    <t>JC25000619</t>
  </si>
  <si>
    <t>AP31DY9522</t>
  </si>
  <si>
    <t>ISS25000767</t>
  </si>
  <si>
    <t>175</t>
  </si>
  <si>
    <t>71810M55R10-5PK    BUMPER SET REAR</t>
  </si>
  <si>
    <t>2304.68</t>
  </si>
  <si>
    <t>176</t>
  </si>
  <si>
    <t>71711M74K00-5PK    BUMPER, FRONT (BLACK)</t>
  </si>
  <si>
    <t>2242.18</t>
  </si>
  <si>
    <t>177</t>
  </si>
  <si>
    <t>71811M74K00    BUMPER, REAR (BLACK)</t>
  </si>
  <si>
    <t>2984.37</t>
  </si>
  <si>
    <t>178</t>
  </si>
  <si>
    <t>71811M84P00-5PK    BUMPER, REAR (BLACK)</t>
  </si>
  <si>
    <t>3750</t>
  </si>
  <si>
    <t>179</t>
  </si>
  <si>
    <t>71811M68P00-5PK    BUMPER, RR (BLACK)</t>
  </si>
  <si>
    <t>3592.96</t>
  </si>
  <si>
    <t>180</t>
  </si>
  <si>
    <t>71711M75T00-5PK    BUMPER,FRONT</t>
  </si>
  <si>
    <t>1816.4</t>
  </si>
  <si>
    <t>181</t>
  </si>
  <si>
    <t>71711M81R00-5PK    BUMPER,FRONT</t>
  </si>
  <si>
    <t>1792.96</t>
  </si>
  <si>
    <t>182</t>
  </si>
  <si>
    <t>ISS25000724</t>
  </si>
  <si>
    <t>183</t>
  </si>
  <si>
    <t>71721M66T00-5PK    BUMPER,FRONT LOWER</t>
  </si>
  <si>
    <t>ISS25000693</t>
  </si>
  <si>
    <t>1679.68</t>
  </si>
  <si>
    <t>184</t>
  </si>
  <si>
    <t>185</t>
  </si>
  <si>
    <t>71721M74T00-5PK    BUMPER,FRONT LOWER</t>
  </si>
  <si>
    <t>640.62</t>
  </si>
  <si>
    <t>186</t>
  </si>
  <si>
    <t>71711M66T00-5PK    BUMPER,FRONT UPPER</t>
  </si>
  <si>
    <t>187</t>
  </si>
  <si>
    <t>188</t>
  </si>
  <si>
    <t>71811M54T00-5PK    BUMPER,REAR</t>
  </si>
  <si>
    <t>2656.25</t>
  </si>
  <si>
    <t>189</t>
  </si>
  <si>
    <t>71811M79M10-5PK    BUMPER,REAR</t>
  </si>
  <si>
    <t>M SATISH</t>
  </si>
  <si>
    <t>JC25000501</t>
  </si>
  <si>
    <t>AP31ET4460</t>
  </si>
  <si>
    <t>ISS25000652</t>
  </si>
  <si>
    <t>5226.56</t>
  </si>
  <si>
    <t>190</t>
  </si>
  <si>
    <t>71811M67L00-5PK    BUMPER,REAR(BLACK)</t>
  </si>
  <si>
    <t>1523.43</t>
  </si>
  <si>
    <t>191</t>
  </si>
  <si>
    <t>71711M69R00-5PK    BUMPERFRONT</t>
  </si>
  <si>
    <t>ISS25000591</t>
  </si>
  <si>
    <t>1601.56</t>
  </si>
  <si>
    <t>192</t>
  </si>
  <si>
    <t>193</t>
  </si>
  <si>
    <t>BODDU AMANI</t>
  </si>
  <si>
    <t>JC25000495</t>
  </si>
  <si>
    <t>ISS25000613</t>
  </si>
  <si>
    <t>194</t>
  </si>
  <si>
    <t>195</t>
  </si>
  <si>
    <t>28313M86J00    BUSH, SELECT CABLE</t>
  </si>
  <si>
    <t>44.06</t>
  </si>
  <si>
    <t>196</t>
  </si>
  <si>
    <t>LINGAMPALLI DURGA PRASADA RAO</t>
  </si>
  <si>
    <t>JC25000582</t>
  </si>
  <si>
    <t>AP31CB9696</t>
  </si>
  <si>
    <t>ISS25000703</t>
  </si>
  <si>
    <t>197</t>
  </si>
  <si>
    <t>ISS25000809</t>
  </si>
  <si>
    <t>198</t>
  </si>
  <si>
    <t>990J0M76MS0-010    CABIN AIR FILTER CELERIO</t>
  </si>
  <si>
    <t>GSATYA NARAYANA</t>
  </si>
  <si>
    <t>ISS25000606</t>
  </si>
  <si>
    <t>AC Filter</t>
  </si>
  <si>
    <t>199</t>
  </si>
  <si>
    <t>ISS25000612</t>
  </si>
  <si>
    <t>402.34</t>
  </si>
  <si>
    <t>200</t>
  </si>
  <si>
    <t>SAHEELA SHANTHA KUMARI DEVADH</t>
  </si>
  <si>
    <t>JC25000548</t>
  </si>
  <si>
    <t>TN75AV8401</t>
  </si>
  <si>
    <t>ISS25000624</t>
  </si>
  <si>
    <t>201</t>
  </si>
  <si>
    <t>202</t>
  </si>
  <si>
    <t>990J0M56RS0-010    CABIN AIR FILTER PM 2.5 SWIFT/BALEN</t>
  </si>
  <si>
    <t>ARUNAKUMAR  ANANTATMULA</t>
  </si>
  <si>
    <t>01-JUN-25</t>
  </si>
  <si>
    <t>ISS25000553</t>
  </si>
  <si>
    <t>507.62</t>
  </si>
  <si>
    <t>203</t>
  </si>
  <si>
    <t>ISS25000564</t>
  </si>
  <si>
    <t>204</t>
  </si>
  <si>
    <t>ISS25000581</t>
  </si>
  <si>
    <t>205</t>
  </si>
  <si>
    <t>206</t>
  </si>
  <si>
    <t>207</t>
  </si>
  <si>
    <t>208</t>
  </si>
  <si>
    <t>209</t>
  </si>
  <si>
    <t>ISS25000643</t>
  </si>
  <si>
    <t>210</t>
  </si>
  <si>
    <t>211</t>
  </si>
  <si>
    <t>JC25000616</t>
  </si>
  <si>
    <t>ISS25000723</t>
  </si>
  <si>
    <t>212</t>
  </si>
  <si>
    <t>JYOTHI KRISHNA SASAPU</t>
  </si>
  <si>
    <t>ISS25000768</t>
  </si>
  <si>
    <t>213</t>
  </si>
  <si>
    <t>SARIPALLI SARASWATHI</t>
  </si>
  <si>
    <t>ISS25000842</t>
  </si>
  <si>
    <t>214</t>
  </si>
  <si>
    <t>215</t>
  </si>
  <si>
    <t>ISS25000874</t>
  </si>
  <si>
    <t>216</t>
  </si>
  <si>
    <t>990J0M67LS0-010    CABIN AIR FILTER, WAGON R</t>
  </si>
  <si>
    <t>ISS25000735</t>
  </si>
  <si>
    <t>289.06</t>
  </si>
  <si>
    <t>217</t>
  </si>
  <si>
    <t>23710M67L01    CABLE ASSY,CLUTCH RH</t>
  </si>
  <si>
    <t>218</t>
  </si>
  <si>
    <t>54402M68P00    CABLE,PARKING BRAKE,L</t>
  </si>
  <si>
    <t>THAVDU LINGALA</t>
  </si>
  <si>
    <t>JC25000585</t>
  </si>
  <si>
    <t>ISS25000671</t>
  </si>
  <si>
    <t>425.78</t>
  </si>
  <si>
    <t>219</t>
  </si>
  <si>
    <t>54401M68P00    CABLE,PARKING BRAKE,R</t>
  </si>
  <si>
    <t>562.5</t>
  </si>
  <si>
    <t>220</t>
  </si>
  <si>
    <t>17550M79F00    CAP, WATER INLET</t>
  </si>
  <si>
    <t>ISS25000795</t>
  </si>
  <si>
    <t>221</t>
  </si>
  <si>
    <t>17561M79F00    CAP, WATER THERMO</t>
  </si>
  <si>
    <t>O APPALANAIDU</t>
  </si>
  <si>
    <t>JC25000324</t>
  </si>
  <si>
    <t>AP31BD8521</t>
  </si>
  <si>
    <t>ISS25000614</t>
  </si>
  <si>
    <t>62.5</t>
  </si>
  <si>
    <t>222</t>
  </si>
  <si>
    <t>71712M64MA0-5PK    CAP,FRONT BUMPER</t>
  </si>
  <si>
    <t>19.53</t>
  </si>
  <si>
    <t>223</t>
  </si>
  <si>
    <t>71712M69T00-5PK    CAP,FRONT BUMPER</t>
  </si>
  <si>
    <t>16.4</t>
  </si>
  <si>
    <t>224</t>
  </si>
  <si>
    <t>12761M86J01    CHAIN COMP,TIMING</t>
  </si>
  <si>
    <t>1054.68</t>
  </si>
  <si>
    <t>225</t>
  </si>
  <si>
    <t>08331M31249    CIRCLIP</t>
  </si>
  <si>
    <t>ISS25000699</t>
  </si>
  <si>
    <t>6.76</t>
  </si>
  <si>
    <t>226</t>
  </si>
  <si>
    <t>09409M07L01    CLIP</t>
  </si>
  <si>
    <t>KANCHARAPU VENKATA RAJESH</t>
  </si>
  <si>
    <t>JC25000461</t>
  </si>
  <si>
    <t>AP39AE1248</t>
  </si>
  <si>
    <t>ISS25000573</t>
  </si>
  <si>
    <t>210.9</t>
  </si>
  <si>
    <t>227</t>
  </si>
  <si>
    <t>70.3</t>
  </si>
  <si>
    <t>228</t>
  </si>
  <si>
    <t>229</t>
  </si>
  <si>
    <t>230</t>
  </si>
  <si>
    <t>231</t>
  </si>
  <si>
    <t>232</t>
  </si>
  <si>
    <t>105.45</t>
  </si>
  <si>
    <t>233</t>
  </si>
  <si>
    <t>56.24</t>
  </si>
  <si>
    <t>234</t>
  </si>
  <si>
    <t>235</t>
  </si>
  <si>
    <t>236</t>
  </si>
  <si>
    <t>AKELLA VENKATA SURYAKUMAR</t>
  </si>
  <si>
    <t>JC25000599</t>
  </si>
  <si>
    <t>AP39EV8704</t>
  </si>
  <si>
    <t>ISS25000700</t>
  </si>
  <si>
    <t>28.12</t>
  </si>
  <si>
    <t>237</t>
  </si>
  <si>
    <t>238</t>
  </si>
  <si>
    <t>239</t>
  </si>
  <si>
    <t>SRINIVASARAJU  KALIDINDI</t>
  </si>
  <si>
    <t>JC25000626</t>
  </si>
  <si>
    <t>AP31EF1477</t>
  </si>
  <si>
    <t>ISS25000729</t>
  </si>
  <si>
    <t>240</t>
  </si>
  <si>
    <t>ISS25000762</t>
  </si>
  <si>
    <t>241</t>
  </si>
  <si>
    <t>RAJ KUMAR JAIN</t>
  </si>
  <si>
    <t>JC25000670</t>
  </si>
  <si>
    <t>AP31DT7379</t>
  </si>
  <si>
    <t>ISS25000791</t>
  </si>
  <si>
    <t>242</t>
  </si>
  <si>
    <t>243</t>
  </si>
  <si>
    <t>63.27</t>
  </si>
  <si>
    <t>244</t>
  </si>
  <si>
    <t>245</t>
  </si>
  <si>
    <t>246</t>
  </si>
  <si>
    <t>ISS25000823</t>
  </si>
  <si>
    <t>140.6</t>
  </si>
  <si>
    <t>247</t>
  </si>
  <si>
    <t>248</t>
  </si>
  <si>
    <t>09409M08006    CLIP</t>
  </si>
  <si>
    <t>PALANKI LAKSHMOJI RAO</t>
  </si>
  <si>
    <t>JC25000487</t>
  </si>
  <si>
    <t>AP39HG9328</t>
  </si>
  <si>
    <t>ISS25000568</t>
  </si>
  <si>
    <t>81.9</t>
  </si>
  <si>
    <t>249</t>
  </si>
  <si>
    <t>ISS25000574</t>
  </si>
  <si>
    <t>250</t>
  </si>
  <si>
    <t>251</t>
  </si>
  <si>
    <t>252</t>
  </si>
  <si>
    <t>ISS25000688</t>
  </si>
  <si>
    <t>253</t>
  </si>
  <si>
    <t>254</t>
  </si>
  <si>
    <t>09409M06314    CLIP,FRONT DOOR TRIM</t>
  </si>
  <si>
    <t>78.1</t>
  </si>
  <si>
    <t>255</t>
  </si>
  <si>
    <t>256</t>
  </si>
  <si>
    <t>22400M67KC1    CLUTCH DISC NEW WAGON-R 2010</t>
  </si>
  <si>
    <t>1035.15</t>
  </si>
  <si>
    <t>257</t>
  </si>
  <si>
    <t>95310M68P01    CONDENSER ASSY</t>
  </si>
  <si>
    <t>3741.4</t>
  </si>
  <si>
    <t>258</t>
  </si>
  <si>
    <t>ISS25000677</t>
  </si>
  <si>
    <t>259</t>
  </si>
  <si>
    <t>95310M69R00    CONDENSER ASSY</t>
  </si>
  <si>
    <t>ISS25000860</t>
  </si>
  <si>
    <t>3476.56</t>
  </si>
  <si>
    <t>260</t>
  </si>
  <si>
    <t>95310M75T00    CONDENSER ASSY</t>
  </si>
  <si>
    <t>2781.25</t>
  </si>
  <si>
    <t>261</t>
  </si>
  <si>
    <t>74400M83PC0-5PK    CONTROL UNIT, HVAC (BLACK)</t>
  </si>
  <si>
    <t>JC25000674</t>
  </si>
  <si>
    <t>ISS25000790</t>
  </si>
  <si>
    <t>1055.93</t>
  </si>
  <si>
    <t>262</t>
  </si>
  <si>
    <t>33920M75J21    CONTROLLER ASSY,EPI-A/C</t>
  </si>
  <si>
    <t>ISS25000859</t>
  </si>
  <si>
    <t>8419.49</t>
  </si>
  <si>
    <t>263</t>
  </si>
  <si>
    <t>99000M24120-966    COOLANT PREMIX GOLDEN YELLOW</t>
  </si>
  <si>
    <t>573.8026</t>
  </si>
  <si>
    <t>264</t>
  </si>
  <si>
    <t>470.33</t>
  </si>
  <si>
    <t>265</t>
  </si>
  <si>
    <t>517.363</t>
  </si>
  <si>
    <t>266</t>
  </si>
  <si>
    <t>742.37</t>
  </si>
  <si>
    <t>267</t>
  </si>
  <si>
    <t>268</t>
  </si>
  <si>
    <t>269</t>
  </si>
  <si>
    <t>270</t>
  </si>
  <si>
    <t>217.37</t>
  </si>
  <si>
    <t>271</t>
  </si>
  <si>
    <t>272</t>
  </si>
  <si>
    <t>273</t>
  </si>
  <si>
    <t>274</t>
  </si>
  <si>
    <t>ISS25000760</t>
  </si>
  <si>
    <t>275</t>
  </si>
  <si>
    <t>276</t>
  </si>
  <si>
    <t>277</t>
  </si>
  <si>
    <t>278</t>
  </si>
  <si>
    <t>564.396</t>
  </si>
  <si>
    <t>279</t>
  </si>
  <si>
    <t>280</t>
  </si>
  <si>
    <t>281</t>
  </si>
  <si>
    <t>282</t>
  </si>
  <si>
    <t>283</t>
  </si>
  <si>
    <t>ISS25000864</t>
  </si>
  <si>
    <t>284</t>
  </si>
  <si>
    <t>285</t>
  </si>
  <si>
    <t>99000M24120-965    COOLANT PREMIX GREEN</t>
  </si>
  <si>
    <t>618.64</t>
  </si>
  <si>
    <t>286</t>
  </si>
  <si>
    <t>927.96</t>
  </si>
  <si>
    <t>287</t>
  </si>
  <si>
    <t>288</t>
  </si>
  <si>
    <t>289</t>
  </si>
  <si>
    <t>290</t>
  </si>
  <si>
    <t>291</t>
  </si>
  <si>
    <t>292</t>
  </si>
  <si>
    <t>293</t>
  </si>
  <si>
    <t>JC25000733</t>
  </si>
  <si>
    <t>ISS25000862</t>
  </si>
  <si>
    <t>294</t>
  </si>
  <si>
    <t>74120M55R00    CORE S/ASSY, HTR</t>
  </si>
  <si>
    <t>ISS25000635</t>
  </si>
  <si>
    <t>1442.96</t>
  </si>
  <si>
    <t>295</t>
  </si>
  <si>
    <t>22100M67KC0    COVER ASSY,CLUTCH</t>
  </si>
  <si>
    <t>800.78</t>
  </si>
  <si>
    <t>296</t>
  </si>
  <si>
    <t>22100M82S00    COVER ASSY,CLUTCH</t>
  </si>
  <si>
    <t>ISS25000781</t>
  </si>
  <si>
    <t>1222.65</t>
  </si>
  <si>
    <t>297</t>
  </si>
  <si>
    <t>22100M86J40    COVER ASSY,CLUTCH</t>
  </si>
  <si>
    <t>1125</t>
  </si>
  <si>
    <t>298</t>
  </si>
  <si>
    <t>72410M54T01    COVER COMP ENGINE UNDER</t>
  </si>
  <si>
    <t>299</t>
  </si>
  <si>
    <t>72422M68P01    COVER, ENGINE UNDER SIDE, L</t>
  </si>
  <si>
    <t>257.81</t>
  </si>
  <si>
    <t>300</t>
  </si>
  <si>
    <t>301</t>
  </si>
  <si>
    <t>72421M68P01    COVER,ENGINE UNDER SIDE,R</t>
  </si>
  <si>
    <t>515.62</t>
  </si>
  <si>
    <t>302</t>
  </si>
  <si>
    <t>23820M79J20    CYLINDER ASSY,CLUTCH OPERATING</t>
  </si>
  <si>
    <t>2957.03</t>
  </si>
  <si>
    <t>303</t>
  </si>
  <si>
    <t>990J0M53MS0-010    Cabin Air Filter Alto800</t>
  </si>
  <si>
    <t>JC25000528</t>
  </si>
  <si>
    <t>ISS25000607</t>
  </si>
  <si>
    <t>304</t>
  </si>
  <si>
    <t>ISS25000648</t>
  </si>
  <si>
    <t>305</t>
  </si>
  <si>
    <t>ISS25000852</t>
  </si>
  <si>
    <t>306</t>
  </si>
  <si>
    <t>99000M24120-460    DG SEALANT SET WITHOUT PRIMER</t>
  </si>
  <si>
    <t>THEDLAPU SURYA PRAKASH</t>
  </si>
  <si>
    <t>JC25000492</t>
  </si>
  <si>
    <t>AP39SM1629</t>
  </si>
  <si>
    <t>ISS25000580</t>
  </si>
  <si>
    <t>669.49</t>
  </si>
  <si>
    <t>307</t>
  </si>
  <si>
    <t>NIRANJI MOHAN RAO P</t>
  </si>
  <si>
    <t>JC25000518</t>
  </si>
  <si>
    <t>AP39HK2259</t>
  </si>
  <si>
    <t>ISS25000597</t>
  </si>
  <si>
    <t>308</t>
  </si>
  <si>
    <t>309</t>
  </si>
  <si>
    <t>ISS25000771</t>
  </si>
  <si>
    <t>310</t>
  </si>
  <si>
    <t>311</t>
  </si>
  <si>
    <t>22400M82S00    DISC ,CLUTCH</t>
  </si>
  <si>
    <t>1285.15</t>
  </si>
  <si>
    <t>312</t>
  </si>
  <si>
    <t>22400M86J43    DISC CLUTCH</t>
  </si>
  <si>
    <t>ISS25000698</t>
  </si>
  <si>
    <t>313</t>
  </si>
  <si>
    <t>314</t>
  </si>
  <si>
    <t>90900M10164    DISTILLED WATER</t>
  </si>
  <si>
    <t>ISS25000552</t>
  </si>
  <si>
    <t>15.62</t>
  </si>
  <si>
    <t>315</t>
  </si>
  <si>
    <t>K  RAMESH</t>
  </si>
  <si>
    <t>JC25000473</t>
  </si>
  <si>
    <t>AP40CQ3030</t>
  </si>
  <si>
    <t>ISS25000554</t>
  </si>
  <si>
    <t>316</t>
  </si>
  <si>
    <t>UPPULURI VENKATA RAO</t>
  </si>
  <si>
    <t>JC25000484</t>
  </si>
  <si>
    <t>TEMP04225</t>
  </si>
  <si>
    <t>ISS25000559</t>
  </si>
  <si>
    <t>317</t>
  </si>
  <si>
    <t>31.24</t>
  </si>
  <si>
    <t>318</t>
  </si>
  <si>
    <t>MOHAMMED AFTAB IBRAHIM</t>
  </si>
  <si>
    <t>JC25000490</t>
  </si>
  <si>
    <t>AP40FK7854</t>
  </si>
  <si>
    <t>ISS25000567</t>
  </si>
  <si>
    <t>319</t>
  </si>
  <si>
    <t>GOTTIPALLI SAI KUMAR</t>
  </si>
  <si>
    <t>JC25000488</t>
  </si>
  <si>
    <t>TEMP620443</t>
  </si>
  <si>
    <t>ISS25000569</t>
  </si>
  <si>
    <t>320</t>
  </si>
  <si>
    <t>SAI HARSHA TRAVELS</t>
  </si>
  <si>
    <t>JC25000485</t>
  </si>
  <si>
    <t>AP39UD1381</t>
  </si>
  <si>
    <t>ISS25000571</t>
  </si>
  <si>
    <t>321</t>
  </si>
  <si>
    <t>322</t>
  </si>
  <si>
    <t>AVALA RAMA KRISHNA</t>
  </si>
  <si>
    <t>JC25000502</t>
  </si>
  <si>
    <t>AP40EE5569</t>
  </si>
  <si>
    <t>ISS25000579</t>
  </si>
  <si>
    <t>323</t>
  </si>
  <si>
    <t>JC25000506</t>
  </si>
  <si>
    <t>ISS25000582</t>
  </si>
  <si>
    <t>324</t>
  </si>
  <si>
    <t>JC25000509</t>
  </si>
  <si>
    <t>ISS25000585</t>
  </si>
  <si>
    <t>325</t>
  </si>
  <si>
    <t>326</t>
  </si>
  <si>
    <t>327</t>
  </si>
  <si>
    <t>VASANTHA APARNA</t>
  </si>
  <si>
    <t>JC25000521</t>
  </si>
  <si>
    <t>TEMPA598783</t>
  </si>
  <si>
    <t>ISS25000595</t>
  </si>
  <si>
    <t>328</t>
  </si>
  <si>
    <t>329</t>
  </si>
  <si>
    <t>330</t>
  </si>
  <si>
    <t>331</t>
  </si>
  <si>
    <t>332</t>
  </si>
  <si>
    <t>MARUPALLI NARAYANA GANGADHAR</t>
  </si>
  <si>
    <t>JC25000541</t>
  </si>
  <si>
    <t>AP40DC5815</t>
  </si>
  <si>
    <t>ISS25000617</t>
  </si>
  <si>
    <t>333</t>
  </si>
  <si>
    <t>334</t>
  </si>
  <si>
    <t>GOGADA KASULAMMA</t>
  </si>
  <si>
    <t>JC25000543</t>
  </si>
  <si>
    <t>AP40EW3283</t>
  </si>
  <si>
    <t>ISS25000620</t>
  </si>
  <si>
    <t>335</t>
  </si>
  <si>
    <t>336</t>
  </si>
  <si>
    <t>ISS25000623</t>
  </si>
  <si>
    <t>337</t>
  </si>
  <si>
    <t>338</t>
  </si>
  <si>
    <t>339</t>
  </si>
  <si>
    <t>340</t>
  </si>
  <si>
    <t>341</t>
  </si>
  <si>
    <t>ISS25000637</t>
  </si>
  <si>
    <t>342</t>
  </si>
  <si>
    <t>343</t>
  </si>
  <si>
    <t>JC25000568</t>
  </si>
  <si>
    <t>ISS25000661</t>
  </si>
  <si>
    <t>344</t>
  </si>
  <si>
    <t>ISS25000664</t>
  </si>
  <si>
    <t>345</t>
  </si>
  <si>
    <t>346</t>
  </si>
  <si>
    <t>ISS25000676</t>
  </si>
  <si>
    <t>347</t>
  </si>
  <si>
    <t>348</t>
  </si>
  <si>
    <t>ISS25000687</t>
  </si>
  <si>
    <t>349</t>
  </si>
  <si>
    <t>ISS25000689</t>
  </si>
  <si>
    <t>350</t>
  </si>
  <si>
    <t>KALIGONA LAKSHMI SAI SARATH CHA</t>
  </si>
  <si>
    <t>JC25000593</t>
  </si>
  <si>
    <t>AP39JM7000</t>
  </si>
  <si>
    <t>ISS25000691</t>
  </si>
  <si>
    <t>351</t>
  </si>
  <si>
    <t>KROVI  MAHANTH</t>
  </si>
  <si>
    <t>ISS25000701</t>
  </si>
  <si>
    <t>352</t>
  </si>
  <si>
    <t>DEVERA SUMAN NAIDU</t>
  </si>
  <si>
    <t>JC25000613</t>
  </si>
  <si>
    <t>AP40ET5807</t>
  </si>
  <si>
    <t>ISS25000711</t>
  </si>
  <si>
    <t>353</t>
  </si>
  <si>
    <t>ISS25000720</t>
  </si>
  <si>
    <t>354</t>
  </si>
  <si>
    <t>355</t>
  </si>
  <si>
    <t>356</t>
  </si>
  <si>
    <t>KUNDRA KRISHNA VENI SANDHYARAN</t>
  </si>
  <si>
    <t>ISS25000732</t>
  </si>
  <si>
    <t>357</t>
  </si>
  <si>
    <t>ANANTH KUMAR BARATAM</t>
  </si>
  <si>
    <t>JC25000634</t>
  </si>
  <si>
    <t>AP39SZ5472</t>
  </si>
  <si>
    <t>ISS25000750</t>
  </si>
  <si>
    <t>358</t>
  </si>
  <si>
    <t>ISS25000754</t>
  </si>
  <si>
    <t>359</t>
  </si>
  <si>
    <t>GAJJALA RAMIREDDY CHENNA REDD</t>
  </si>
  <si>
    <t>ISS25000755</t>
  </si>
  <si>
    <t>360</t>
  </si>
  <si>
    <t>361</t>
  </si>
  <si>
    <t>DASARI  PYDIMNAIDU</t>
  </si>
  <si>
    <t>JC25000645</t>
  </si>
  <si>
    <t>AP40FH6579</t>
  </si>
  <si>
    <t>21-JUN-25</t>
  </si>
  <si>
    <t>ISS25000766</t>
  </si>
  <si>
    <t>362</t>
  </si>
  <si>
    <t>363</t>
  </si>
  <si>
    <t>ISS25000778</t>
  </si>
  <si>
    <t>364</t>
  </si>
  <si>
    <t>365</t>
  </si>
  <si>
    <t>366</t>
  </si>
  <si>
    <t>367</t>
  </si>
  <si>
    <t>JAGRUTHI MUTUALLY AIDED COOPER</t>
  </si>
  <si>
    <t>JC25000693</t>
  </si>
  <si>
    <t>TEMP4439450</t>
  </si>
  <si>
    <t>ISS25000802</t>
  </si>
  <si>
    <t>368</t>
  </si>
  <si>
    <t>369</t>
  </si>
  <si>
    <t>370</t>
  </si>
  <si>
    <t>371</t>
  </si>
  <si>
    <t>ISS25000828</t>
  </si>
  <si>
    <t>372</t>
  </si>
  <si>
    <t>373</t>
  </si>
  <si>
    <t>ISS25000839</t>
  </si>
  <si>
    <t>374</t>
  </si>
  <si>
    <t>375</t>
  </si>
  <si>
    <t>ISS25000847</t>
  </si>
  <si>
    <t>376</t>
  </si>
  <si>
    <t>377</t>
  </si>
  <si>
    <t>PYLA AVINASH</t>
  </si>
  <si>
    <t>JC25000728</t>
  </si>
  <si>
    <t>TEMPA515085</t>
  </si>
  <si>
    <t>ISS25000868</t>
  </si>
  <si>
    <t>378</t>
  </si>
  <si>
    <t>ISS25000869</t>
  </si>
  <si>
    <t>379</t>
  </si>
  <si>
    <t>BUDDHA  PRUDHIVEESH</t>
  </si>
  <si>
    <t>JC25000730</t>
  </si>
  <si>
    <t>AP40EX0550</t>
  </si>
  <si>
    <t>ISS25000871</t>
  </si>
  <si>
    <t>380</t>
  </si>
  <si>
    <t>381</t>
  </si>
  <si>
    <t>G RAVI KUMAR</t>
  </si>
  <si>
    <t>JC25000684</t>
  </si>
  <si>
    <t>AP39FP6655</t>
  </si>
  <si>
    <t>ISS25000800</t>
  </si>
  <si>
    <t>382</t>
  </si>
  <si>
    <t>383</t>
  </si>
  <si>
    <t>ISS25000835</t>
  </si>
  <si>
    <t>384</t>
  </si>
  <si>
    <t>385</t>
  </si>
  <si>
    <t>43511M68P00    DRUM,BRAKE REAR</t>
  </si>
  <si>
    <t>2195.3</t>
  </si>
  <si>
    <t>386</t>
  </si>
  <si>
    <t>9999VMN0W16-IDT    ECSTAR NEXA 0W16 IEH - IDEMITSU</t>
  </si>
  <si>
    <t>ISS25000675</t>
  </si>
  <si>
    <t>306.096</t>
  </si>
  <si>
    <t>387</t>
  </si>
  <si>
    <t>1180.656</t>
  </si>
  <si>
    <t>388</t>
  </si>
  <si>
    <t>9999EM00W16-SHL    ECSTAR PETROL 0W16 - SHELL</t>
  </si>
  <si>
    <t>1505.049</t>
  </si>
  <si>
    <t>389</t>
  </si>
  <si>
    <t>1342.341</t>
  </si>
  <si>
    <t>390</t>
  </si>
  <si>
    <t>1260.987</t>
  </si>
  <si>
    <t>391</t>
  </si>
  <si>
    <t>ISS25000562</t>
  </si>
  <si>
    <t>392</t>
  </si>
  <si>
    <t>393</t>
  </si>
  <si>
    <t>394</t>
  </si>
  <si>
    <t>1179.633</t>
  </si>
  <si>
    <t>395</t>
  </si>
  <si>
    <t>1301.664</t>
  </si>
  <si>
    <t>396</t>
  </si>
  <si>
    <t>397</t>
  </si>
  <si>
    <t>1138.956</t>
  </si>
  <si>
    <t>398</t>
  </si>
  <si>
    <t>1019.063</t>
  </si>
  <si>
    <t>399</t>
  </si>
  <si>
    <t>40.677</t>
  </si>
  <si>
    <t>400</t>
  </si>
  <si>
    <t>401</t>
  </si>
  <si>
    <t>AMMA GRAPHICS</t>
  </si>
  <si>
    <t>JC25000595</t>
  </si>
  <si>
    <t>AP39UW2056</t>
  </si>
  <si>
    <t>ISS25000697</t>
  </si>
  <si>
    <t>402</t>
  </si>
  <si>
    <t>403</t>
  </si>
  <si>
    <t>404</t>
  </si>
  <si>
    <t>405</t>
  </si>
  <si>
    <t>JC25000677</t>
  </si>
  <si>
    <t>ISS25000792</t>
  </si>
  <si>
    <t>406</t>
  </si>
  <si>
    <t>407</t>
  </si>
  <si>
    <t>408</t>
  </si>
  <si>
    <t>409</t>
  </si>
  <si>
    <t>1098.279</t>
  </si>
  <si>
    <t>410</t>
  </si>
  <si>
    <t>RAJU  GUNNU</t>
  </si>
  <si>
    <t>JC25000734</t>
  </si>
  <si>
    <t>AP39UE6394</t>
  </si>
  <si>
    <t>ISS25000866</t>
  </si>
  <si>
    <t>411</t>
  </si>
  <si>
    <t>ISS25000873</t>
  </si>
  <si>
    <t>935.571</t>
  </si>
  <si>
    <t>412</t>
  </si>
  <si>
    <t>R ANAND</t>
  </si>
  <si>
    <t>JC25000678</t>
  </si>
  <si>
    <t>KA04MF6064</t>
  </si>
  <si>
    <t>ISS25000875</t>
  </si>
  <si>
    <t>413</t>
  </si>
  <si>
    <t>ISS25000880</t>
  </si>
  <si>
    <t>414</t>
  </si>
  <si>
    <t>16510M86J20    ELEMENT OIL FILTER</t>
  </si>
  <si>
    <t>330.5</t>
  </si>
  <si>
    <t>415</t>
  </si>
  <si>
    <t>BEJJAM VIJAYA BHASKAR</t>
  </si>
  <si>
    <t>JC25000513</t>
  </si>
  <si>
    <t>AP07EB6677</t>
  </si>
  <si>
    <t>ISS25000590</t>
  </si>
  <si>
    <t>416</t>
  </si>
  <si>
    <t>417</t>
  </si>
  <si>
    <t>418</t>
  </si>
  <si>
    <t>419</t>
  </si>
  <si>
    <t>420</t>
  </si>
  <si>
    <t>421</t>
  </si>
  <si>
    <t>422</t>
  </si>
  <si>
    <t>423</t>
  </si>
  <si>
    <t>13780M55R50    ELEMENT, AIR CLEANER</t>
  </si>
  <si>
    <t>424</t>
  </si>
  <si>
    <t>13780M68P01    ELEMENT, AIR CLEANER</t>
  </si>
  <si>
    <t>258.47</t>
  </si>
  <si>
    <t>425</t>
  </si>
  <si>
    <t>254.83</t>
  </si>
  <si>
    <t>426</t>
  </si>
  <si>
    <t>427</t>
  </si>
  <si>
    <t>428</t>
  </si>
  <si>
    <t>429</t>
  </si>
  <si>
    <t>430</t>
  </si>
  <si>
    <t>13780M65L00    ELEMENT,AIR CLEANER</t>
  </si>
  <si>
    <t>431</t>
  </si>
  <si>
    <t>13780M67L00    ELEMENT,AIR CLEANER</t>
  </si>
  <si>
    <t>186.44</t>
  </si>
  <si>
    <t>432</t>
  </si>
  <si>
    <t>13780M68PA0    ELEMENT,AIR CLEANER</t>
  </si>
  <si>
    <t>433</t>
  </si>
  <si>
    <t>13780M76SA0    ELEMENT,AIR CLEANER</t>
  </si>
  <si>
    <t>220.33</t>
  </si>
  <si>
    <t>434</t>
  </si>
  <si>
    <t>435</t>
  </si>
  <si>
    <t>436</t>
  </si>
  <si>
    <t>437</t>
  </si>
  <si>
    <t>13780M76TB0    ELEMENT,AIR CLEANER</t>
  </si>
  <si>
    <t>438</t>
  </si>
  <si>
    <t>439</t>
  </si>
  <si>
    <t>13780M81R10    ELEMENT,AIR CLEANER</t>
  </si>
  <si>
    <t>440</t>
  </si>
  <si>
    <t>13780M82P50    ELEMENT,AIR CLEANER</t>
  </si>
  <si>
    <t>441</t>
  </si>
  <si>
    <t>13780M86J00    ELEMENT,AIR CLEANER</t>
  </si>
  <si>
    <t>241.52</t>
  </si>
  <si>
    <t>442</t>
  </si>
  <si>
    <t>15411M55KD0    ELEMENT,FUEL FILTER</t>
  </si>
  <si>
    <t>1059.32</t>
  </si>
  <si>
    <t>443</t>
  </si>
  <si>
    <t>15411M69P00    ELEMENT,FUEL FILTER</t>
  </si>
  <si>
    <t>1439.83</t>
  </si>
  <si>
    <t>444</t>
  </si>
  <si>
    <t>445</t>
  </si>
  <si>
    <t>77821M75J00-0PG    EMBLEM (MARUTI SUZUKI)</t>
  </si>
  <si>
    <t>109.37</t>
  </si>
  <si>
    <t>446</t>
  </si>
  <si>
    <t>77831M79M00-0PG    EMBLEM,CIAZ (CHROME)</t>
  </si>
  <si>
    <t>82.03</t>
  </si>
  <si>
    <t>447</t>
  </si>
  <si>
    <t>77811M54GC0-0PG    EMBLEM,MARK(S)(CHROME)</t>
  </si>
  <si>
    <t>117.18</t>
  </si>
  <si>
    <t>448</t>
  </si>
  <si>
    <t>449</t>
  </si>
  <si>
    <t>77861M82R00-BVV    EMBLEM,REAR(SMART HYBRID)</t>
  </si>
  <si>
    <t>105.46</t>
  </si>
  <si>
    <t>450</t>
  </si>
  <si>
    <t>33610A83PA0    EXIDE N55(ISS)</t>
  </si>
  <si>
    <t>ISS25000702</t>
  </si>
  <si>
    <t>5917.96</t>
  </si>
  <si>
    <t>451</t>
  </si>
  <si>
    <t>17100M82P50    FAN ASSY ENG, COOLING</t>
  </si>
  <si>
    <t>3902.34</t>
  </si>
  <si>
    <t>452</t>
  </si>
  <si>
    <t>17100M69R10    FAN ASSY, ENG CLG</t>
  </si>
  <si>
    <t>3621.09</t>
  </si>
  <si>
    <t>453</t>
  </si>
  <si>
    <t>17100M67L00    FAN ASSY,ENG CLG</t>
  </si>
  <si>
    <t>JC25000480</t>
  </si>
  <si>
    <t>ISS25000555</t>
  </si>
  <si>
    <t>2785.15</t>
  </si>
  <si>
    <t>454</t>
  </si>
  <si>
    <t>I SUDHAKAR</t>
  </si>
  <si>
    <t>JC25000499</t>
  </si>
  <si>
    <t>AP31CF1244</t>
  </si>
  <si>
    <t>ISS25000633</t>
  </si>
  <si>
    <t>455</t>
  </si>
  <si>
    <t>16510M68K20    FILTER ASSY OIL</t>
  </si>
  <si>
    <t>83.89</t>
  </si>
  <si>
    <t>456</t>
  </si>
  <si>
    <t>457</t>
  </si>
  <si>
    <t>458</t>
  </si>
  <si>
    <t>459</t>
  </si>
  <si>
    <t>460</t>
  </si>
  <si>
    <t>461</t>
  </si>
  <si>
    <t>P SAI SUJEET</t>
  </si>
  <si>
    <t>JC25000612</t>
  </si>
  <si>
    <t>AP39MM4087</t>
  </si>
  <si>
    <t>ISS25000712</t>
  </si>
  <si>
    <t>462</t>
  </si>
  <si>
    <t>ISS25000716</t>
  </si>
  <si>
    <t>463</t>
  </si>
  <si>
    <t>464</t>
  </si>
  <si>
    <t>465</t>
  </si>
  <si>
    <t>466</t>
  </si>
  <si>
    <t>467</t>
  </si>
  <si>
    <t>468</t>
  </si>
  <si>
    <t>469</t>
  </si>
  <si>
    <t>16510M68K10    FILTER ASSY, OIL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</si>
  <si>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</si>
  <si>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</si>
  <si>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</si>
  <si>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</si>
  <si>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</si>
  <si>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</si>
  <si>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</si>
  <si>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</si>
  <si>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</si>
  <si>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</si>
  <si>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</si>
  <si>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</si>
  <si>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</si>
  <si>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</si>
  <si>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81.38</t>
  </si>
  <si>
    <t>484</t>
  </si>
  <si>
    <t>485</t>
  </si>
  <si>
    <t>486</t>
  </si>
  <si>
    <t>487</t>
  </si>
  <si>
    <t>488</t>
  </si>
  <si>
    <t>16510M65L10    FILTER ASSY,OIL</t>
  </si>
  <si>
    <t>489</t>
  </si>
  <si>
    <t>490</t>
  </si>
  <si>
    <t>491</t>
  </si>
  <si>
    <t>492</t>
  </si>
  <si>
    <t>493</t>
  </si>
  <si>
    <t>ISS25000672</t>
  </si>
  <si>
    <t>494</t>
  </si>
  <si>
    <t>495</t>
  </si>
  <si>
    <t>496</t>
  </si>
  <si>
    <t>JC25000623</t>
  </si>
  <si>
    <t>ISS25000751</t>
  </si>
  <si>
    <t>497</t>
  </si>
  <si>
    <t>498</t>
  </si>
  <si>
    <t>499</t>
  </si>
  <si>
    <t>501</t>
  </si>
  <si>
    <t>502</t>
  </si>
  <si>
    <t>503</t>
  </si>
  <si>
    <t>504</t>
  </si>
  <si>
    <t>505</t>
  </si>
  <si>
    <t>506</t>
  </si>
  <si>
    <t>16510M68K00    FILTER ASSY,OIL</t>
  </si>
  <si>
    <t>507</t>
  </si>
  <si>
    <t>508</t>
  </si>
  <si>
    <t>509</t>
  </si>
  <si>
    <t>510</t>
  </si>
  <si>
    <t>511</t>
  </si>
  <si>
    <t>512</t>
  </si>
  <si>
    <t>513</t>
  </si>
  <si>
    <t>514</t>
  </si>
  <si>
    <t>K SUMAN KALYAN</t>
  </si>
  <si>
    <t>JC25000706</t>
  </si>
  <si>
    <t>AP31K9</t>
  </si>
  <si>
    <t>ISS25000845</t>
  </si>
  <si>
    <t>515</t>
  </si>
  <si>
    <t>MAHADASU GANESH</t>
  </si>
  <si>
    <t>JC25000723</t>
  </si>
  <si>
    <t>AP39UW3525</t>
  </si>
  <si>
    <t>ISS25000856</t>
  </si>
  <si>
    <t>516</t>
  </si>
  <si>
    <t>15410M79F10    FILTER COMP, FUEL</t>
  </si>
  <si>
    <t>517</t>
  </si>
  <si>
    <t>518</t>
  </si>
  <si>
    <t>15410M65MC0    FILTER COMP,FUEL</t>
  </si>
  <si>
    <t>461.86</t>
  </si>
  <si>
    <t>519</t>
  </si>
  <si>
    <t>226.06</t>
  </si>
  <si>
    <t>520</t>
  </si>
  <si>
    <t>15410M66T00    FILTER COMP,FUEL</t>
  </si>
  <si>
    <t>338.98</t>
  </si>
  <si>
    <t>521</t>
  </si>
  <si>
    <t>522</t>
  </si>
  <si>
    <t>523</t>
  </si>
  <si>
    <t>524</t>
  </si>
  <si>
    <t>15410M68P00    FILTER, FUEL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</si>
  <si>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</si>
  <si>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</si>
  <si>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</si>
  <si>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</si>
  <si>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</si>
  <si>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</si>
  <si>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</si>
  <si>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</si>
  <si>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</si>
  <si>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T9091M51000-900    FILTER, OIL</t>
  </si>
  <si>
    <t>449.15</t>
  </si>
  <si>
    <t>534</t>
  </si>
  <si>
    <t>12620M68K12    FLYWHEEL COMP</t>
  </si>
  <si>
    <t>2105.93</t>
  </si>
  <si>
    <t>535</t>
  </si>
  <si>
    <t>12620M86J30    FLYWHEEL COMP</t>
  </si>
  <si>
    <t>2287.28</t>
  </si>
  <si>
    <t>536</t>
  </si>
  <si>
    <t>83940M55R10    GARNISH COMP,BACK DOOR LOWER</t>
  </si>
  <si>
    <t>ISS25000789</t>
  </si>
  <si>
    <t>64.06</t>
  </si>
  <si>
    <t>537</t>
  </si>
  <si>
    <t>71781M85S10-5PK    GARNISH, FRONT BUMPER CTR</t>
  </si>
  <si>
    <t>JC25000446</t>
  </si>
  <si>
    <t>ISS25000578</t>
  </si>
  <si>
    <t>421.87</t>
  </si>
  <si>
    <t>538</t>
  </si>
  <si>
    <t>77230M74K00-0PG    GARNISH, TRUNK LID (CHROME)</t>
  </si>
  <si>
    <t>ISS25000717</t>
  </si>
  <si>
    <t>978.9</t>
  </si>
  <si>
    <t>539</t>
  </si>
  <si>
    <t>71745M75T00    GARNISH,FR BUMPER LICENSE</t>
  </si>
  <si>
    <t>203.12</t>
  </si>
  <si>
    <t>540</t>
  </si>
  <si>
    <t>71771M74T00-PER    GARNISH,FR BUMPER LOWER</t>
  </si>
  <si>
    <t>382.81</t>
  </si>
  <si>
    <t>541</t>
  </si>
  <si>
    <t>09168M14012    GASKET</t>
  </si>
  <si>
    <t>9.32</t>
  </si>
  <si>
    <t>542</t>
  </si>
  <si>
    <t>8.47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</si>
  <si>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</si>
  <si>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</si>
  <si>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</si>
  <si>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</si>
  <si>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</si>
  <si>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</si>
  <si>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</si>
  <si>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</si>
  <si>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</si>
  <si>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</si>
  <si>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</si>
  <si>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</si>
  <si>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</si>
  <si>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</si>
  <si>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</si>
  <si>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</si>
  <si>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</si>
  <si>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</si>
  <si>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</si>
  <si>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</si>
  <si>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</si>
  <si>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</si>
  <si>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ISS25000645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</si>
  <si>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</si>
  <si>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</si>
  <si>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</si>
  <si>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</si>
  <si>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</si>
  <si>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</si>
  <si>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</si>
  <si>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</si>
  <si>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</si>
  <si>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</si>
  <si>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</si>
  <si>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</si>
  <si>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</si>
  <si>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</si>
  <si>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ISS25000761</t>
  </si>
  <si>
    <t>579</t>
  </si>
  <si>
    <t>580</t>
  </si>
  <si>
    <t>581</t>
  </si>
  <si>
    <t>582</t>
  </si>
  <si>
    <t>583</t>
  </si>
  <si>
    <t>584</t>
  </si>
  <si>
    <t>585</t>
  </si>
  <si>
    <t>586</t>
  </si>
  <si>
    <t>ISS25000813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</si>
  <si>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</si>
  <si>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</si>
  <si>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</si>
  <si>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</si>
  <si>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</si>
  <si>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</si>
  <si>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</si>
  <si>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</si>
  <si>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</si>
  <si>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</si>
  <si>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</si>
  <si>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</si>
  <si>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</si>
  <si>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</si>
  <si>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</si>
  <si>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11392M86J20    GASKET</t>
  </si>
  <si>
    <t>30.5</t>
  </si>
  <si>
    <t>602</t>
  </si>
  <si>
    <t>16119M86J30    GASKET OIL PUMP</t>
  </si>
  <si>
    <t>610.16</t>
  </si>
  <si>
    <t>603</t>
  </si>
  <si>
    <t>14182M78180    GASKET, EXHAUST PIPE</t>
  </si>
  <si>
    <t>37.28</t>
  </si>
  <si>
    <t>604</t>
  </si>
  <si>
    <t>17431M73041    GASKET, WATER PUMP</t>
  </si>
  <si>
    <t>ISS25000584</t>
  </si>
  <si>
    <t>605</t>
  </si>
  <si>
    <t>11189M79G30    GASKET,CYLINDER HEAD COVER(F8D)(ALT</t>
  </si>
  <si>
    <t>93.22</t>
  </si>
  <si>
    <t>606</t>
  </si>
  <si>
    <t>13119M84410    GASKET,INTAKE MANIFOLD(CAR/ALTO F8D</t>
  </si>
  <si>
    <t>18.64</t>
  </si>
  <si>
    <t>607</t>
  </si>
  <si>
    <t>608</t>
  </si>
  <si>
    <t>609</t>
  </si>
  <si>
    <t>17699M53F11    GASKET,THERMOCASE(NON-ASBESTOS)</t>
  </si>
  <si>
    <t>610</t>
  </si>
  <si>
    <t>611</t>
  </si>
  <si>
    <t>17569M82011    GASKET,WATER THERMOSTATE CAP(NON AS</t>
  </si>
  <si>
    <t>612</t>
  </si>
  <si>
    <t>613</t>
  </si>
  <si>
    <t>31400M76M00    GENERATOR ASSY</t>
  </si>
  <si>
    <t>CHANDURI SATYA</t>
  </si>
  <si>
    <t>JC25000497</t>
  </si>
  <si>
    <t>AP31DL2954</t>
  </si>
  <si>
    <t>ISS25000649</t>
  </si>
  <si>
    <t>8000</t>
  </si>
  <si>
    <t>614</t>
  </si>
  <si>
    <t>990J0M999CV-GM1    GERM TERMINATOR - UPHOLSTERY CLEANE</t>
  </si>
  <si>
    <t>ISS25000877</t>
  </si>
  <si>
    <t>2923.68</t>
  </si>
  <si>
    <t>615</t>
  </si>
  <si>
    <t>84570M66T10    GLASS COMP,BACK DOOR WINDOW</t>
  </si>
  <si>
    <t>2613.28</t>
  </si>
  <si>
    <t>616</t>
  </si>
  <si>
    <t>84051M72R25    GLASS SET,WINDSHIELD</t>
  </si>
  <si>
    <t>5211.86</t>
  </si>
  <si>
    <t>617</t>
  </si>
  <si>
    <t>84055M82P01    GLASS SET,WINDSHIELD</t>
  </si>
  <si>
    <t>4949.15</t>
  </si>
  <si>
    <t>618</t>
  </si>
  <si>
    <t>84570M67L10    GLASS,BACK DOOR WINDOW</t>
  </si>
  <si>
    <t>1910.15</t>
  </si>
  <si>
    <t>619</t>
  </si>
  <si>
    <t>99000M25020    GREASE, CALIPER ASSY</t>
  </si>
  <si>
    <t>64.4</t>
  </si>
  <si>
    <t>620</t>
  </si>
  <si>
    <t>62.7</t>
  </si>
  <si>
    <t>621</t>
  </si>
  <si>
    <t>94.05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</si>
  <si>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</si>
  <si>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</si>
  <si>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</si>
  <si>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</si>
  <si>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</si>
  <si>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</si>
  <si>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</si>
  <si>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</si>
  <si>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</si>
  <si>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</si>
  <si>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</si>
  <si>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</si>
  <si>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</si>
  <si>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</si>
  <si>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</si>
  <si>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</si>
  <si>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ISS25000654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</si>
  <si>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</si>
  <si>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</si>
  <si>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</si>
  <si>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</si>
  <si>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</si>
  <si>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</si>
  <si>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</si>
  <si>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</si>
  <si>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</si>
  <si>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</si>
  <si>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</si>
  <si>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</si>
  <si>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</si>
  <si>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</si>
  <si>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</si>
  <si>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</si>
  <si>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</si>
  <si>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</si>
  <si>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</si>
  <si>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</si>
  <si>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</si>
  <si>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</si>
  <si>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</si>
  <si>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</si>
  <si>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</si>
  <si>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</si>
  <si>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</si>
  <si>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</si>
  <si>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71740M69R00-C48    GRILLE COMP,RADIATOR UPPER</t>
  </si>
  <si>
    <t>1023.43</t>
  </si>
  <si>
    <t>666</t>
  </si>
  <si>
    <t>667</t>
  </si>
  <si>
    <t>71741M72K00    GRILLE, RADIATOR (BLACK)</t>
  </si>
  <si>
    <t>464.84</t>
  </si>
  <si>
    <t>668</t>
  </si>
  <si>
    <t>71721M72K00-5PK    GRILLE, RADIATOR LOWER (BLACK)</t>
  </si>
  <si>
    <t>669</t>
  </si>
  <si>
    <t>71721M75T00-5PK    GRILLE,RADIATOR LOWER</t>
  </si>
  <si>
    <t>312.5</t>
  </si>
  <si>
    <t>670</t>
  </si>
  <si>
    <t>71741M75T10-W9K    GRILLE,RADIATOR UPPER</t>
  </si>
  <si>
    <t>3093.75</t>
  </si>
  <si>
    <t>671</t>
  </si>
  <si>
    <t>77220M66T00-5PK    GUARD ASSY,FR FENDER SPLASH,L</t>
  </si>
  <si>
    <t>457.03</t>
  </si>
  <si>
    <t>672</t>
  </si>
  <si>
    <t>77220M82P00-5PK    GUARD ASSY,FR FENDER SPLASH,L</t>
  </si>
  <si>
    <t>KUTIKUPPALA MURALI KRISHNA</t>
  </si>
  <si>
    <t>JC25000756</t>
  </si>
  <si>
    <t>AP39BY6870</t>
  </si>
  <si>
    <t>ISS25000881</t>
  </si>
  <si>
    <t>488.28</t>
  </si>
  <si>
    <t>673</t>
  </si>
  <si>
    <t>77540M74T00-5PK    GUARD ASSY,RR DOOR SPLASH,L</t>
  </si>
  <si>
    <t>KOLLI ANITHA</t>
  </si>
  <si>
    <t>JC25000671</t>
  </si>
  <si>
    <t>AP40DT8444</t>
  </si>
  <si>
    <t>ISS25000818</t>
  </si>
  <si>
    <t>339.84</t>
  </si>
  <si>
    <t>674</t>
  </si>
  <si>
    <t>77260M74T00-5PK    GUARD ASSY,RR FENDER SPLASH,L</t>
  </si>
  <si>
    <t>675</t>
  </si>
  <si>
    <t>71771M69R00-5PK    GUIDE,GRILLE AIR</t>
  </si>
  <si>
    <t>656.25</t>
  </si>
  <si>
    <t>676</t>
  </si>
  <si>
    <t>12771M86J20    GUIDE,TIMING CHAIN</t>
  </si>
  <si>
    <t>242.85</t>
  </si>
  <si>
    <t>677</t>
  </si>
  <si>
    <t>82802M81A60-5PK    HANDLE OTSIDE , ALTO, WAGON R</t>
  </si>
  <si>
    <t>ISS25000634</t>
  </si>
  <si>
    <t>113.28</t>
  </si>
  <si>
    <t>678</t>
  </si>
  <si>
    <t>82801M81A60-5PK    HANDLE OUTSIDE ,ALTO , WAGON R )</t>
  </si>
  <si>
    <t>679</t>
  </si>
  <si>
    <t>680</t>
  </si>
  <si>
    <t>82820M68P50-0PG    HANDLE, FRONT DOOR OUT LH</t>
  </si>
  <si>
    <t>K ADHINARAYANA</t>
  </si>
  <si>
    <t>JC25000511</t>
  </si>
  <si>
    <t>AP35AP2299</t>
  </si>
  <si>
    <t>ISS25000588</t>
  </si>
  <si>
    <t>605.46</t>
  </si>
  <si>
    <t>681</t>
  </si>
  <si>
    <t>82810M68P40-0PG    HANDLE, FRONT DOOR OUT RH</t>
  </si>
  <si>
    <t>ISS25000774</t>
  </si>
  <si>
    <t>682</t>
  </si>
  <si>
    <t>990J0M999G9-070    HANGING CARD PERFUME-LEMON</t>
  </si>
  <si>
    <t>ISS25000824</t>
  </si>
  <si>
    <t>127.1</t>
  </si>
  <si>
    <t>683</t>
  </si>
  <si>
    <t>ISS25000825</t>
  </si>
  <si>
    <t>684</t>
  </si>
  <si>
    <t>ISS25000826</t>
  </si>
  <si>
    <t>685</t>
  </si>
  <si>
    <t>ISS25000827</t>
  </si>
  <si>
    <t>686</t>
  </si>
  <si>
    <t>687</t>
  </si>
  <si>
    <t>688</t>
  </si>
  <si>
    <t>35100M85S01    HEADLAMP ASSY, RH</t>
  </si>
  <si>
    <t>ISS25000787</t>
  </si>
  <si>
    <t>19830.5</t>
  </si>
  <si>
    <t>689</t>
  </si>
  <si>
    <t>35300M81R00    HEADLAMP ASSY,L</t>
  </si>
  <si>
    <t>690</t>
  </si>
  <si>
    <t>35300M55R10    HEADLAMP ASSY,LH</t>
  </si>
  <si>
    <t>2483.05</t>
  </si>
  <si>
    <t>691</t>
  </si>
  <si>
    <t>35300M75T11    HEADLAMP ASSY,LH</t>
  </si>
  <si>
    <t>4173.72</t>
  </si>
  <si>
    <t>692</t>
  </si>
  <si>
    <t>35100M75T11    HEADLAMP ASSY,RH</t>
  </si>
  <si>
    <t>4135.59</t>
  </si>
  <si>
    <t>693</t>
  </si>
  <si>
    <t>35300M66T11    HEADLAMP ASSYL</t>
  </si>
  <si>
    <t>20338.98</t>
  </si>
  <si>
    <t>694</t>
  </si>
  <si>
    <t>57420M75T00    HINGE COMP,FRONT HOOD,L</t>
  </si>
  <si>
    <t>695</t>
  </si>
  <si>
    <t>57410M69R00    HINGE COMP,FRONT HOOD,R</t>
  </si>
  <si>
    <t>273.43</t>
  </si>
  <si>
    <t>696</t>
  </si>
  <si>
    <t>57410M75T00    HINGE COMP,FRONT HOOD,R</t>
  </si>
  <si>
    <t>697</t>
  </si>
  <si>
    <t>65820M74K01    HINGE COMP,TRUNK LID,L</t>
  </si>
  <si>
    <t>285.15</t>
  </si>
  <si>
    <t>698</t>
  </si>
  <si>
    <t>65810M74K01    HINGE COMP,TRUNK LID,R</t>
  </si>
  <si>
    <t>699</t>
  </si>
  <si>
    <t>99000M24121-085    HINGE RELIEF WAX</t>
  </si>
  <si>
    <t>ISS25000604</t>
  </si>
  <si>
    <t>203.38</t>
  </si>
  <si>
    <t>700</t>
  </si>
  <si>
    <t>211.86</t>
  </si>
  <si>
    <t>701</t>
  </si>
  <si>
    <t>702</t>
  </si>
  <si>
    <t>703</t>
  </si>
  <si>
    <t>71731M55R00    HOLDER, FR BPR SIDE, R</t>
  </si>
  <si>
    <t>57.03</t>
  </si>
  <si>
    <t>704</t>
  </si>
  <si>
    <t>71732M75J00    HOLDER, FR BUMPER SIDE LH</t>
  </si>
  <si>
    <t>75.78</t>
  </si>
  <si>
    <t>705</t>
  </si>
  <si>
    <t>71731M67L00    HOLDER, FR BUMPER SIDE RH</t>
  </si>
  <si>
    <t>ISS25000752</t>
  </si>
  <si>
    <t>706</t>
  </si>
  <si>
    <t>71731M75J00    HOLDER, FR BUMPER SIDE RH</t>
  </si>
  <si>
    <t>707</t>
  </si>
  <si>
    <t>71732M55R00    HOLDER, FR BUMPER SIDE, L</t>
  </si>
  <si>
    <t>53.9</t>
  </si>
  <si>
    <t>708</t>
  </si>
  <si>
    <t>71822M74K00    HOLDER, RR BUMPER SIDE LH</t>
  </si>
  <si>
    <t>167.96</t>
  </si>
  <si>
    <t>709</t>
  </si>
  <si>
    <t>71822M75L00    HOLDER, RR BUMPER SIDE LH</t>
  </si>
  <si>
    <t>93.75</t>
  </si>
  <si>
    <t>710</t>
  </si>
  <si>
    <t>71821M74K00    HOLDER, RR BUMPER SIDE RH</t>
  </si>
  <si>
    <t>711</t>
  </si>
  <si>
    <t>71821M75L00    HOLDER, RR BUMPER SIDE RH</t>
  </si>
  <si>
    <t>712</t>
  </si>
  <si>
    <t>71822M56R00    HOLDER, RR BUMPER SIDE, L</t>
  </si>
  <si>
    <t>77.34</t>
  </si>
  <si>
    <t>713</t>
  </si>
  <si>
    <t>71821M56R00    HOLDER, RR BUMPER SIDE, R</t>
  </si>
  <si>
    <t>714</t>
  </si>
  <si>
    <t>71732M66T00    HOLDER,FR BUMPER SIDE,L</t>
  </si>
  <si>
    <t>43.75</t>
  </si>
  <si>
    <t>715</t>
  </si>
  <si>
    <t>716</t>
  </si>
  <si>
    <t>71732M69R00    HOLDER,FR BUMPER SIDE,L</t>
  </si>
  <si>
    <t>53.12</t>
  </si>
  <si>
    <t>717</t>
  </si>
  <si>
    <t>718</t>
  </si>
  <si>
    <t>719</t>
  </si>
  <si>
    <t>71732M75T00    HOLDER,FR BUMPER SIDE,L</t>
  </si>
  <si>
    <t>47.65</t>
  </si>
  <si>
    <t>720</t>
  </si>
  <si>
    <t>71732M81R00    HOLDER,FR BUMPER SIDE,L</t>
  </si>
  <si>
    <t>721</t>
  </si>
  <si>
    <t>71731M66T00    HOLDER,FR BUMPER SIDE,R</t>
  </si>
  <si>
    <t>722</t>
  </si>
  <si>
    <t>723</t>
  </si>
  <si>
    <t>71731M69R00    HOLDER,FR BUMPER SIDE,R</t>
  </si>
  <si>
    <t>724</t>
  </si>
  <si>
    <t>725</t>
  </si>
  <si>
    <t>71731M75T00    HOLDER,FR BUMPER SIDE,R</t>
  </si>
  <si>
    <t>726</t>
  </si>
  <si>
    <t>72312M68K00    HOLDER,FRONT HOOD STAY</t>
  </si>
  <si>
    <t>17.18</t>
  </si>
  <si>
    <t>727</t>
  </si>
  <si>
    <t>71822M55R00    HOLDER,RR BUMPER SIDE,L</t>
  </si>
  <si>
    <t>36.71</t>
  </si>
  <si>
    <t>728</t>
  </si>
  <si>
    <t>71822M69R00    HOLDER,RR BUMPER SIDE,L</t>
  </si>
  <si>
    <t>ISS25000670</t>
  </si>
  <si>
    <t>729</t>
  </si>
  <si>
    <t>71821M55R00    HOLDER,RR BUMPER SIDE,R</t>
  </si>
  <si>
    <t>38.28</t>
  </si>
  <si>
    <t>730</t>
  </si>
  <si>
    <t>71732M82P01    HOLDERFR BUMPER SIDER</t>
  </si>
  <si>
    <t>731</t>
  </si>
  <si>
    <t>38500M53M10    HORN ASSY</t>
  </si>
  <si>
    <t>ISS25000753</t>
  </si>
  <si>
    <t>292.37</t>
  </si>
  <si>
    <t>732</t>
  </si>
  <si>
    <t>38500M55R10    HORN ASSY, HIGH PITCHED</t>
  </si>
  <si>
    <t>313.55</t>
  </si>
  <si>
    <t>733</t>
  </si>
  <si>
    <t>38500M55R00    HORN ASSY, LOW PITCHED</t>
  </si>
  <si>
    <t>734</t>
  </si>
  <si>
    <t>38500M68P01    HORN ASSY, LOW PITCHED</t>
  </si>
  <si>
    <t>T HEMANTH KUMAR</t>
  </si>
  <si>
    <t>JC25000563</t>
  </si>
  <si>
    <t>AP39MH3232</t>
  </si>
  <si>
    <t>ISS25000658</t>
  </si>
  <si>
    <t>288.13</t>
  </si>
  <si>
    <t>735</t>
  </si>
  <si>
    <t>38500M68P11    HORN ASSY,HIGH PITCHED</t>
  </si>
  <si>
    <t>JC25000547</t>
  </si>
  <si>
    <t>ISS25000627</t>
  </si>
  <si>
    <t>736</t>
  </si>
  <si>
    <t>737</t>
  </si>
  <si>
    <t>38500M82P11    HORN ASSY,HIGH PITCHED</t>
  </si>
  <si>
    <t>ISS25000742</t>
  </si>
  <si>
    <t>738</t>
  </si>
  <si>
    <t>38500M82P01    HORN ASSY,LOW PITCHED</t>
  </si>
  <si>
    <t>739</t>
  </si>
  <si>
    <t>275.42</t>
  </si>
  <si>
    <t>740</t>
  </si>
  <si>
    <t>90900M10029    HORN THIMBLE</t>
  </si>
  <si>
    <t>741</t>
  </si>
  <si>
    <t>38491M79020    HOSE</t>
  </si>
  <si>
    <t>742</t>
  </si>
  <si>
    <t>51550M55R02    HOSE COMP FR BRAKE FLEXI</t>
  </si>
  <si>
    <t>MURALI KRISHNA CHIMALAPATI</t>
  </si>
  <si>
    <t>JC25000640</t>
  </si>
  <si>
    <t>AP39L0699</t>
  </si>
  <si>
    <t>ISS25000765</t>
  </si>
  <si>
    <t>743</t>
  </si>
  <si>
    <t>24400M56RA0    HUB ASSY, LOW SPEED SYNC</t>
  </si>
  <si>
    <t>1617.18</t>
  </si>
  <si>
    <t>744</t>
  </si>
  <si>
    <t>15710M68K10    INJECTOR ASSY, FUEL</t>
  </si>
  <si>
    <t>ISS25000836</t>
  </si>
  <si>
    <t>1148.43</t>
  </si>
  <si>
    <t>745</t>
  </si>
  <si>
    <t>42420M82P00    JOINT COMP,FR STABILIZER BAR</t>
  </si>
  <si>
    <t>480.46</t>
  </si>
  <si>
    <t>746</t>
  </si>
  <si>
    <t>37141M79M01    KEY ASSY IGNITION</t>
  </si>
  <si>
    <t>MANGA CHANDRA SEKHAR</t>
  </si>
  <si>
    <t>JC25000630</t>
  </si>
  <si>
    <t>AP39ED6116</t>
  </si>
  <si>
    <t>ISS25000736</t>
  </si>
  <si>
    <t>1516.94</t>
  </si>
  <si>
    <t>747</t>
  </si>
  <si>
    <t>24471M50R00    KEY,SYNCHRONIZER</t>
  </si>
  <si>
    <t>159.36</t>
  </si>
  <si>
    <t>748</t>
  </si>
  <si>
    <t>28113M79M41-C48    KNOB SUB-ASSY, SHIFT LEVER</t>
  </si>
  <si>
    <t>ISS25000721</t>
  </si>
  <si>
    <t>328.12</t>
  </si>
  <si>
    <t>749</t>
  </si>
  <si>
    <t>K RAJENDRA KUMAR</t>
  </si>
  <si>
    <t>JC25000715</t>
  </si>
  <si>
    <t>AP31ET0069</t>
  </si>
  <si>
    <t>ISS25000838</t>
  </si>
  <si>
    <t>750</t>
  </si>
  <si>
    <t>82982M65D00    KNOB, INSIDE LOCK</t>
  </si>
  <si>
    <t>PAPPALASWAMYNAIDU</t>
  </si>
  <si>
    <t>JC25000639</t>
  </si>
  <si>
    <t>AP30AS8869</t>
  </si>
  <si>
    <t>ISS25000763</t>
  </si>
  <si>
    <t>46.8</t>
  </si>
  <si>
    <t>751</t>
  </si>
  <si>
    <t>28113M67L21-GJL    KNOB,GEAR SHIFT CONT LEVER</t>
  </si>
  <si>
    <t>P KALYANARAO NAIDU</t>
  </si>
  <si>
    <t>ISS25000667</t>
  </si>
  <si>
    <t>371.09</t>
  </si>
  <si>
    <t>752</t>
  </si>
  <si>
    <t>36410M67K00    LAMP ASSY, SIDE TURN</t>
  </si>
  <si>
    <t>ISS25000663</t>
  </si>
  <si>
    <t>245.76</t>
  </si>
  <si>
    <t>753</t>
  </si>
  <si>
    <t>35701M82R00    LAMP ASSY, TAIL, RH</t>
  </si>
  <si>
    <t>2271.18</t>
  </si>
  <si>
    <t>754</t>
  </si>
  <si>
    <t>35910M55K00    LAMP ASSY,LICENSE</t>
  </si>
  <si>
    <t>194.9</t>
  </si>
  <si>
    <t>755</t>
  </si>
  <si>
    <t>36570M75J00    LAMP ASSY,RR FOG</t>
  </si>
  <si>
    <t>ISS25000739</t>
  </si>
  <si>
    <t>756</t>
  </si>
  <si>
    <t>36410M75F30    LAMP ASSY,SIDE TURN SIGNAL</t>
  </si>
  <si>
    <t>ISS25000810</t>
  </si>
  <si>
    <t>101.69</t>
  </si>
  <si>
    <t>757</t>
  </si>
  <si>
    <t>35650M82R00    LAMP UNIT, RR COMB RH</t>
  </si>
  <si>
    <t>2957.62</t>
  </si>
  <si>
    <t>758</t>
  </si>
  <si>
    <t>KOMBATHULA SURYANARAYANA</t>
  </si>
  <si>
    <t>JC25000620</t>
  </si>
  <si>
    <t>AP31EV7969</t>
  </si>
  <si>
    <t>ISS25000772</t>
  </si>
  <si>
    <t>759</t>
  </si>
  <si>
    <t>35651M75L00    LAMP UNIT, RR COMB RH</t>
  </si>
  <si>
    <t>906.77</t>
  </si>
  <si>
    <t>760</t>
  </si>
  <si>
    <t>35671M75610    LAMP UNIT, RR COMBINATION LH</t>
  </si>
  <si>
    <t>1538.13</t>
  </si>
  <si>
    <t>761</t>
  </si>
  <si>
    <t>35750M67L00    LAMP UNIT, RR COMBINATION LH</t>
  </si>
  <si>
    <t>762</t>
  </si>
  <si>
    <t>35650M67L00    LAMP UNIT, RR COMBINATION RH</t>
  </si>
  <si>
    <t>763</t>
  </si>
  <si>
    <t>764</t>
  </si>
  <si>
    <t>35651M74K00    LAMP UNIT, RR COMBINATION RH</t>
  </si>
  <si>
    <t>1559.32</t>
  </si>
  <si>
    <t>765</t>
  </si>
  <si>
    <t>35651M75610    LAMP UNIT, RR COMBINATION RH</t>
  </si>
  <si>
    <t>766</t>
  </si>
  <si>
    <t>35750M56R00    LAMP,  UNIT RR COMB LH</t>
  </si>
  <si>
    <t>2110.16</t>
  </si>
  <si>
    <t>767</t>
  </si>
  <si>
    <t>82201M68P44    LATCH ASSY,FR DR,R</t>
  </si>
  <si>
    <t>ISS25000855</t>
  </si>
  <si>
    <t>864.4</t>
  </si>
  <si>
    <t>768</t>
  </si>
  <si>
    <t>82110M75T20    LATCH COMP,HOOD</t>
  </si>
  <si>
    <t>648.43</t>
  </si>
  <si>
    <t>769</t>
  </si>
  <si>
    <t>12811M86J20    LEVER,TIMING CHAIN TENSIONER</t>
  </si>
  <si>
    <t>191.4</t>
  </si>
  <si>
    <t>770</t>
  </si>
  <si>
    <t>72480M55R00    LINING COMP, FRONT FENDER, L</t>
  </si>
  <si>
    <t>511.71</t>
  </si>
  <si>
    <t>771</t>
  </si>
  <si>
    <t>72470M55R00    LINING COMP, FRONT FENDER, R</t>
  </si>
  <si>
    <t>772</t>
  </si>
  <si>
    <t>72470M54T00    LINING COMP,FRONT FENDER,R</t>
  </si>
  <si>
    <t>554.68</t>
  </si>
  <si>
    <t>773</t>
  </si>
  <si>
    <t>72322M75J11    LINING,FR FENDER,L</t>
  </si>
  <si>
    <t>774</t>
  </si>
  <si>
    <t>72321M75J11    LINING,FR FENDER,R</t>
  </si>
  <si>
    <t>775</t>
  </si>
  <si>
    <t>72322M74R10    LINING,FRONT FENDER,L</t>
  </si>
  <si>
    <t>691.4</t>
  </si>
  <si>
    <t>776</t>
  </si>
  <si>
    <t>72322M76M01    LINING,FRONT FENDER,L</t>
  </si>
  <si>
    <t>ISS25000566</t>
  </si>
  <si>
    <t>246.09</t>
  </si>
  <si>
    <t>777</t>
  </si>
  <si>
    <t>72321M68P00    LINING,FRONT FENDER,R</t>
  </si>
  <si>
    <t>378.9</t>
  </si>
  <si>
    <t>778</t>
  </si>
  <si>
    <t>99000M24120-331    LIQUID GASKET(THREE BOND-1215) 100</t>
  </si>
  <si>
    <t>779</t>
  </si>
  <si>
    <t>ISS25000798</t>
  </si>
  <si>
    <t>780</t>
  </si>
  <si>
    <t>781</t>
  </si>
  <si>
    <t>37019M65M11    LOCK SET,STEERING</t>
  </si>
  <si>
    <t>4227.11</t>
  </si>
  <si>
    <t>782</t>
  </si>
  <si>
    <t>73610M65M10-C48    LOUVER COMP,CTR VENT</t>
  </si>
  <si>
    <t>363.28</t>
  </si>
  <si>
    <t>783</t>
  </si>
  <si>
    <t>73630M66R00-AQS    LOUVER COMP,SIDE VENT</t>
  </si>
  <si>
    <t>784</t>
  </si>
  <si>
    <t>99000M24120-879    MASKING TAPE ( 24 MM*30 MTRS)</t>
  </si>
  <si>
    <t>105.08</t>
  </si>
  <si>
    <t>785</t>
  </si>
  <si>
    <t>786</t>
  </si>
  <si>
    <t>157.62</t>
  </si>
  <si>
    <t>787</t>
  </si>
  <si>
    <t>788</t>
  </si>
  <si>
    <t>58270M69R00    MEMBER COMP,FR BUMPER</t>
  </si>
  <si>
    <t>144.53</t>
  </si>
  <si>
    <t>789</t>
  </si>
  <si>
    <t>58270M75T00    MEMBER COMP,FRONT BUMPER</t>
  </si>
  <si>
    <t>773.43</t>
  </si>
  <si>
    <t>790</t>
  </si>
  <si>
    <t>58230M75T00    MEMBER COMP,HOOD LOCK</t>
  </si>
  <si>
    <t>843.75</t>
  </si>
  <si>
    <t>791</t>
  </si>
  <si>
    <t>99999MD5W40-SHL    MGDO (5W40) SHELL</t>
  </si>
  <si>
    <t>ISS25000561</t>
  </si>
  <si>
    <t>1865.239</t>
  </si>
  <si>
    <t>792</t>
  </si>
  <si>
    <t>1925.408</t>
  </si>
  <si>
    <t>793</t>
  </si>
  <si>
    <t>794</t>
  </si>
  <si>
    <t>99000M24120-978    MGP RUST SMASH</t>
  </si>
  <si>
    <t>795</t>
  </si>
  <si>
    <t>796</t>
  </si>
  <si>
    <t>797</t>
  </si>
  <si>
    <t>798</t>
  </si>
  <si>
    <t>ISS25000715</t>
  </si>
  <si>
    <t>799</t>
  </si>
  <si>
    <t>800</t>
  </si>
  <si>
    <t>801</t>
  </si>
  <si>
    <t>46.61</t>
  </si>
  <si>
    <t>802</t>
  </si>
  <si>
    <t>803</t>
  </si>
  <si>
    <t>804</t>
  </si>
  <si>
    <t>ISS25000808</t>
  </si>
  <si>
    <t>805</t>
  </si>
  <si>
    <t>806</t>
  </si>
  <si>
    <t>807</t>
  </si>
  <si>
    <t>808</t>
  </si>
  <si>
    <t>84701M69RA0-5PK    MIRROR ASSY,OUT REAR VIEW,R</t>
  </si>
  <si>
    <t>2245.76</t>
  </si>
  <si>
    <t>809</t>
  </si>
  <si>
    <t>84611M72R02    MOLDING WINDSHIELD</t>
  </si>
  <si>
    <t>296.87</t>
  </si>
  <si>
    <t>810</t>
  </si>
  <si>
    <t>84611M82P01    MOLDINGWINDSHIELD</t>
  </si>
  <si>
    <t>355.46</t>
  </si>
  <si>
    <t>811</t>
  </si>
  <si>
    <t>38410M75J10    MOTOR&amp;PUMP ASSY,WINDSHIELD</t>
  </si>
  <si>
    <t>ISS25000743</t>
  </si>
  <si>
    <t>265.62</t>
  </si>
  <si>
    <t>812</t>
  </si>
  <si>
    <t>42431M82P00    MOUNT,STABILIZER BAR</t>
  </si>
  <si>
    <t>122.02</t>
  </si>
  <si>
    <t>813</t>
  </si>
  <si>
    <t>11620M67L10    MOUNTING COMP, ENG LH</t>
  </si>
  <si>
    <t>ISS25000709</t>
  </si>
  <si>
    <t>960.93</t>
  </si>
  <si>
    <t>814</t>
  </si>
  <si>
    <t>11710M67L10    MOUNTING COMP, ENG RR</t>
  </si>
  <si>
    <t>878.9</t>
  </si>
  <si>
    <t>815</t>
  </si>
  <si>
    <t>816</t>
  </si>
  <si>
    <t>11620M67L00    MOUNTING,ENG LH</t>
  </si>
  <si>
    <t>812.5</t>
  </si>
  <si>
    <t>817</t>
  </si>
  <si>
    <t>11610M67L00    MOUNTING,ENG RH</t>
  </si>
  <si>
    <t>777.34</t>
  </si>
  <si>
    <t>818</t>
  </si>
  <si>
    <t>819</t>
  </si>
  <si>
    <t>14300M53M00    MUFFLER COMP</t>
  </si>
  <si>
    <t>2789.06</t>
  </si>
  <si>
    <t>820</t>
  </si>
  <si>
    <t>08316M1005A    NUT</t>
  </si>
  <si>
    <t>4.2</t>
  </si>
  <si>
    <t>821</t>
  </si>
  <si>
    <t>08316M1006A    NUT</t>
  </si>
  <si>
    <t>822</t>
  </si>
  <si>
    <t>08316M1008A    NUT</t>
  </si>
  <si>
    <t>31.2</t>
  </si>
  <si>
    <t>823</t>
  </si>
  <si>
    <t>08316M1010A    NUT</t>
  </si>
  <si>
    <t>824</t>
  </si>
  <si>
    <t>825</t>
  </si>
  <si>
    <t>09283M35047    OIL SEAL,35X47X6,ALTO EXP GCC</t>
  </si>
  <si>
    <t>826</t>
  </si>
  <si>
    <t>827</t>
  </si>
  <si>
    <t>55810M75J30    PAD ASSY SET</t>
  </si>
  <si>
    <t>1421.87</t>
  </si>
  <si>
    <t>828</t>
  </si>
  <si>
    <t>55210M79F00    PAD FR DISC BRAKE(1 PCS)</t>
  </si>
  <si>
    <t>1062.48</t>
  </si>
  <si>
    <t>829</t>
  </si>
  <si>
    <t>830</t>
  </si>
  <si>
    <t>55810M55R01    PAD SET</t>
  </si>
  <si>
    <t>1726.56</t>
  </si>
  <si>
    <t>831</t>
  </si>
  <si>
    <t>55810M62S00    PAD SET</t>
  </si>
  <si>
    <t>1405.46</t>
  </si>
  <si>
    <t>832</t>
  </si>
  <si>
    <t>55810M65M00    PAD SET,DISC BRAKE</t>
  </si>
  <si>
    <t>ISS25000788</t>
  </si>
  <si>
    <t>2343.75</t>
  </si>
  <si>
    <t>833</t>
  </si>
  <si>
    <t>65700M82R00    PANEL  ASSY  TRUNK LID</t>
  </si>
  <si>
    <t>3905.46</t>
  </si>
  <si>
    <t>834</t>
  </si>
  <si>
    <t>68001M68P04    PANEL ASSY FRONT DOOR RH</t>
  </si>
  <si>
    <t>5117.18</t>
  </si>
  <si>
    <t>835</t>
  </si>
  <si>
    <t>65700M74K01    PANEL ASSY, TRUNK LID</t>
  </si>
  <si>
    <t>6014.84</t>
  </si>
  <si>
    <t>836</t>
  </si>
  <si>
    <t>68002M66T01    PANEL ASSYF,RONT DOOR,LH</t>
  </si>
  <si>
    <t>7109.37</t>
  </si>
  <si>
    <t>837</t>
  </si>
  <si>
    <t>57300M75T00    PANEL COMP,FRONT HOOD</t>
  </si>
  <si>
    <t>ISS25000746</t>
  </si>
  <si>
    <t>838</t>
  </si>
  <si>
    <t>64120M74K01    PANEL COMP,RR LAMP HOUSE,R</t>
  </si>
  <si>
    <t>839</t>
  </si>
  <si>
    <t>64100M74K00-P31    PANEL QTR R</t>
  </si>
  <si>
    <t>840</t>
  </si>
  <si>
    <t>65500M74K00    PANEL, BACK</t>
  </si>
  <si>
    <t>2101.56</t>
  </si>
  <si>
    <t>841</t>
  </si>
  <si>
    <t>57300M82P00    PANEL, FRONT HOOD</t>
  </si>
  <si>
    <t>5929.68</t>
  </si>
  <si>
    <t>842</t>
  </si>
  <si>
    <t>61512M74K00    PANEL, RR FLOOR RR</t>
  </si>
  <si>
    <t>843</t>
  </si>
  <si>
    <t>57711M55R10    PANEL,FRONT FENDER,L</t>
  </si>
  <si>
    <t>1249.21</t>
  </si>
  <si>
    <t>844</t>
  </si>
  <si>
    <t>845</t>
  </si>
  <si>
    <t>57711M75T10    PANEL,FRONT FENDER,L</t>
  </si>
  <si>
    <t>ISS25000747</t>
  </si>
  <si>
    <t>1136.71</t>
  </si>
  <si>
    <t>846</t>
  </si>
  <si>
    <t>57711M81R10    PANEL,FRONT FENDER,L</t>
  </si>
  <si>
    <t>1328.12</t>
  </si>
  <si>
    <t>847</t>
  </si>
  <si>
    <t>57611M69R00    PANEL,FRONT FENDER,R</t>
  </si>
  <si>
    <t>848</t>
  </si>
  <si>
    <t>57611M75T10    PANEL,FRONT FENDER,R</t>
  </si>
  <si>
    <t>849</t>
  </si>
  <si>
    <t>57711M69R10    PANL,FRONT FENDER,L</t>
  </si>
  <si>
    <t>ISS25000611</t>
  </si>
  <si>
    <t>850</t>
  </si>
  <si>
    <t>55191M76G10    PIN,FR BRAKE CALIPER</t>
  </si>
  <si>
    <t>851</t>
  </si>
  <si>
    <t>14190M53M00    PIPE COMP,EXH</t>
  </si>
  <si>
    <t>2015.62</t>
  </si>
  <si>
    <t>852</t>
  </si>
  <si>
    <t>16590M86J30    PLUG ASSY, OIL DRAIN</t>
  </si>
  <si>
    <t>85.93</t>
  </si>
  <si>
    <t>853</t>
  </si>
  <si>
    <t>854</t>
  </si>
  <si>
    <t>855</t>
  </si>
  <si>
    <t>856</t>
  </si>
  <si>
    <t>857</t>
  </si>
  <si>
    <t>11518M63J30    PLUG OIL DRAIN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</si>
  <si>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</si>
  <si>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</si>
  <si>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</si>
  <si>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</si>
  <si>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</si>
  <si>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</si>
  <si>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</si>
  <si>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</si>
  <si>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</si>
  <si>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</si>
  <si>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</si>
  <si>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</si>
  <si>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</si>
  <si>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</si>
  <si>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</si>
  <si>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</si>
  <si>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</si>
  <si>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</si>
  <si>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</si>
  <si>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</si>
  <si>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</si>
  <si>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</si>
  <si>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</si>
  <si>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</si>
  <si>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</si>
  <si>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</si>
  <si>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</si>
  <si>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</si>
  <si>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</si>
  <si>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</si>
  <si>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</si>
  <si>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</si>
  <si>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</si>
  <si>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11518-63J20    PLUG, OIL DRAIN</t>
  </si>
  <si>
    <t>97.65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</si>
  <si>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</si>
  <si>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</si>
  <si>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</si>
  <si>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</si>
  <si>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</si>
  <si>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</si>
  <si>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</si>
  <si>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</si>
  <si>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</si>
  <si>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</si>
  <si>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</si>
  <si>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</si>
  <si>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09482M00609    PLUG,SPARK</t>
  </si>
  <si>
    <t>292.95</t>
  </si>
  <si>
    <t>903</t>
  </si>
  <si>
    <t>904</t>
  </si>
  <si>
    <t>905</t>
  </si>
  <si>
    <t>990J0M69RTE-210    PM2.5 + PERF- A SEG</t>
  </si>
  <si>
    <t>906</t>
  </si>
  <si>
    <t>990J0M82PTE-220    PM2.5 FILTER + PERFUME-C SEG</t>
  </si>
  <si>
    <t>572.03</t>
  </si>
  <si>
    <t>907</t>
  </si>
  <si>
    <t>908</t>
  </si>
  <si>
    <t>909</t>
  </si>
  <si>
    <t>910</t>
  </si>
  <si>
    <t>ISS25000817</t>
  </si>
  <si>
    <t>911</t>
  </si>
  <si>
    <t>ISS25000841</t>
  </si>
  <si>
    <t>912</t>
  </si>
  <si>
    <t>68002M55R02    PNL ASSY,FRONT DOOR,L</t>
  </si>
  <si>
    <t>5351.56</t>
  </si>
  <si>
    <t>913</t>
  </si>
  <si>
    <t>57300M69R01    PNL FRONT HOOD</t>
  </si>
  <si>
    <t>3203.12</t>
  </si>
  <si>
    <t>914</t>
  </si>
  <si>
    <t>915</t>
  </si>
  <si>
    <t>57711M66T00    PNL,FRONT FENDER,L</t>
  </si>
  <si>
    <t>916</t>
  </si>
  <si>
    <t>99000M24121-053    PREMIUM FOAM WASH-FIBER CLOTH</t>
  </si>
  <si>
    <t>94.28</t>
  </si>
  <si>
    <t>917</t>
  </si>
  <si>
    <t>918</t>
  </si>
  <si>
    <t>919</t>
  </si>
  <si>
    <t>ISS25000657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</si>
  <si>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</si>
  <si>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</si>
  <si>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</si>
  <si>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</si>
  <si>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</si>
  <si>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</si>
  <si>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</si>
  <si>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</si>
  <si>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</si>
  <si>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</si>
  <si>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</si>
  <si>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</si>
  <si>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</si>
  <si>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ISS25000794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</si>
  <si>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</si>
  <si>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</si>
  <si>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</si>
  <si>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</si>
  <si>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</si>
  <si>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</si>
  <si>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</si>
  <si>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</si>
  <si>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</si>
  <si>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</si>
  <si>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</si>
  <si>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38410M65M10    PUMP ASSY, RR</t>
  </si>
  <si>
    <t>944</t>
  </si>
  <si>
    <t>17400M67L24    PUMP ASSY,WATER</t>
  </si>
  <si>
    <t>1483.59</t>
  </si>
  <si>
    <t>945</t>
  </si>
  <si>
    <t>17400M86J31    PUMP ASSY,WATER</t>
  </si>
  <si>
    <t>1960.93</t>
  </si>
  <si>
    <t>946</t>
  </si>
  <si>
    <t>17700M50U00    RADIATOR ASSY</t>
  </si>
  <si>
    <t>SUNKARA PAVAN KUMAR</t>
  </si>
  <si>
    <t>JC25000507</t>
  </si>
  <si>
    <t>AP39UW2095</t>
  </si>
  <si>
    <t>ISS25000583</t>
  </si>
  <si>
    <t>4530.46</t>
  </si>
  <si>
    <t>947</t>
  </si>
  <si>
    <t>17700M66R00    RADIATOR ASSY</t>
  </si>
  <si>
    <t>2421.87</t>
  </si>
  <si>
    <t>948</t>
  </si>
  <si>
    <t>17700M79F20    RADIATOR ASSY</t>
  </si>
  <si>
    <t>949</t>
  </si>
  <si>
    <t>2265.62</t>
  </si>
  <si>
    <t>950</t>
  </si>
  <si>
    <t>83401M67L02    REGULATOR ASSY,FRONT WINDOW,R</t>
  </si>
  <si>
    <t>G UDAY KRISHNA</t>
  </si>
  <si>
    <t>JC25000542</t>
  </si>
  <si>
    <t>AP30AM4533</t>
  </si>
  <si>
    <t>ISS25000619</t>
  </si>
  <si>
    <t>1507.81</t>
  </si>
  <si>
    <t>951</t>
  </si>
  <si>
    <t>24430M50R00    RING ASSY,1ST &amp; 2ND GEAR SYNC</t>
  </si>
  <si>
    <t>2171.86</t>
  </si>
  <si>
    <t>952</t>
  </si>
  <si>
    <t>39251M74LA0    ROD,ANTENNA</t>
  </si>
  <si>
    <t>228.81</t>
  </si>
  <si>
    <t>953</t>
  </si>
  <si>
    <t>954</t>
  </si>
  <si>
    <t>955</t>
  </si>
  <si>
    <t>956</t>
  </si>
  <si>
    <t>957</t>
  </si>
  <si>
    <t>990J0M999H2-260    SCREEN WASH 50</t>
  </si>
  <si>
    <t>28.8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</si>
  <si>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</si>
  <si>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</si>
  <si>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</si>
  <si>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</si>
  <si>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</si>
  <si>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</si>
  <si>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</si>
  <si>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</si>
  <si>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</si>
  <si>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</si>
  <si>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</si>
  <si>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</si>
  <si>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</si>
  <si>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</si>
  <si>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</si>
  <si>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</si>
  <si>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</si>
  <si>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</si>
  <si>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</si>
  <si>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</si>
  <si>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</si>
  <si>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</si>
  <si>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</si>
  <si>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</si>
  <si>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</si>
  <si>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</si>
  <si>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</si>
  <si>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</si>
  <si>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</si>
  <si>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</si>
  <si>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</si>
  <si>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</si>
  <si>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</si>
  <si>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</si>
  <si>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</si>
  <si>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</si>
  <si>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</si>
  <si>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</si>
  <si>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</si>
  <si>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</si>
  <si>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</si>
  <si>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</si>
  <si>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</si>
  <si>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</si>
  <si>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</si>
  <si>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</si>
  <si>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</si>
  <si>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</si>
  <si>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</si>
  <si>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</si>
  <si>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</si>
  <si>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</si>
  <si>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</si>
  <si>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</si>
  <si>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</si>
  <si>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</si>
  <si>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</si>
  <si>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</si>
  <si>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</si>
  <si>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</si>
  <si>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</si>
  <si>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</si>
  <si>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</si>
  <si>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</si>
  <si>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</si>
  <si>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</si>
  <si>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</si>
  <si>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</si>
  <si>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16115M86J20    SEAL,CSHAFT OIL FRONT</t>
  </si>
  <si>
    <t>1026</t>
  </si>
  <si>
    <t>37735M68P01-5PK    SENSOR ASSY, PARK (BLACK)</t>
  </si>
  <si>
    <t>ISS25000593</t>
  </si>
  <si>
    <t>953.38</t>
  </si>
  <si>
    <t>1027</t>
  </si>
  <si>
    <t>ISS25000660</t>
  </si>
  <si>
    <t>1028</t>
  </si>
  <si>
    <t>34960M68P00    SENSOR ASSY, SPEED</t>
  </si>
  <si>
    <t>ARYA SOMAYAJULA NEELA VENI</t>
  </si>
  <si>
    <t>ISS25000738</t>
  </si>
  <si>
    <t>636.71</t>
  </si>
  <si>
    <t>1029</t>
  </si>
  <si>
    <t>37735M79M01-5PK    SENSOR ASSY,PARK</t>
  </si>
  <si>
    <t>1030</t>
  </si>
  <si>
    <t>2000</t>
  </si>
  <si>
    <t>1031</t>
  </si>
  <si>
    <t>18213M54T01    SENSOR,OXYGEN</t>
  </si>
  <si>
    <t>1635.59</t>
  </si>
  <si>
    <t>1032</t>
  </si>
  <si>
    <t>11180M86J30    SEPARATOR ASSY, OIL</t>
  </si>
  <si>
    <t>292.96</t>
  </si>
  <si>
    <t>1033</t>
  </si>
  <si>
    <t>44102M67LA2    SHAFT ASSY,FRONT DRIVE,L</t>
  </si>
  <si>
    <t>4882.81</t>
  </si>
  <si>
    <t>1034</t>
  </si>
  <si>
    <t>53200M68P00    SHOE SET</t>
  </si>
  <si>
    <t>1561.71</t>
  </si>
  <si>
    <t>1035</t>
  </si>
  <si>
    <t>55850M55K01    SLIDING PIN SET</t>
  </si>
  <si>
    <t>406.76</t>
  </si>
  <si>
    <t>1036</t>
  </si>
  <si>
    <t>55850M68P01    SLIDING PIN SET</t>
  </si>
  <si>
    <t>449.14</t>
  </si>
  <si>
    <t>1037</t>
  </si>
  <si>
    <t>1038</t>
  </si>
  <si>
    <t>1039</t>
  </si>
  <si>
    <t>09482M00636    SPARK PLUG</t>
  </si>
  <si>
    <t>671.84</t>
  </si>
  <si>
    <t>1040</t>
  </si>
  <si>
    <t>503.88</t>
  </si>
  <si>
    <t>1041</t>
  </si>
  <si>
    <t>1042</t>
  </si>
  <si>
    <t>1043</t>
  </si>
  <si>
    <t>1044</t>
  </si>
  <si>
    <t>1045</t>
  </si>
  <si>
    <t>09482M00448    SPARK PLUG  NGK</t>
  </si>
  <si>
    <t>349.2</t>
  </si>
  <si>
    <t>1046</t>
  </si>
  <si>
    <t>ISS25000646</t>
  </si>
  <si>
    <t>1047</t>
  </si>
  <si>
    <t>465.6</t>
  </si>
  <si>
    <t>1048</t>
  </si>
  <si>
    <t>1049</t>
  </si>
  <si>
    <t>99000M24120-751    STABILIZER BUSH KIT(ALTO/WAGON-R)</t>
  </si>
  <si>
    <t>1050</t>
  </si>
  <si>
    <t>42251M67L00    STOPPER,REAR BUMP</t>
  </si>
  <si>
    <t>828.12</t>
  </si>
  <si>
    <t>1051</t>
  </si>
  <si>
    <t>41069M69R04    STRUT SET FRONT SPNSN RH</t>
  </si>
  <si>
    <t>3109.37</t>
  </si>
  <si>
    <t>1052</t>
  </si>
  <si>
    <t>41068M82P50    STRUT SET,FRONT SPNSN,L</t>
  </si>
  <si>
    <t>5233.59</t>
  </si>
  <si>
    <t>1053</t>
  </si>
  <si>
    <t>99000M99280    SUPER CLEANER(480</t>
  </si>
  <si>
    <t>ISS25000608</t>
  </si>
  <si>
    <t>Super Cleaner</t>
  </si>
  <si>
    <t>1054</t>
  </si>
  <si>
    <t>ISS25000609</t>
  </si>
  <si>
    <t>1055</t>
  </si>
  <si>
    <t>ISS25000610</t>
  </si>
  <si>
    <t>1056</t>
  </si>
  <si>
    <t>ISS25000626</t>
  </si>
  <si>
    <t>1057</t>
  </si>
  <si>
    <t>ISS25000638</t>
  </si>
  <si>
    <t>1058</t>
  </si>
  <si>
    <t>ISS25000639</t>
  </si>
  <si>
    <t>1059</t>
  </si>
  <si>
    <t>ISS25000668</t>
  </si>
  <si>
    <t>1060</t>
  </si>
  <si>
    <t>ISS25000707</t>
  </si>
  <si>
    <t>1061</t>
  </si>
  <si>
    <t>ISS25000757</t>
  </si>
  <si>
    <t>1062</t>
  </si>
  <si>
    <t>ISS25000758</t>
  </si>
  <si>
    <t>1063</t>
  </si>
  <si>
    <t>ISS25000769</t>
  </si>
  <si>
    <t>1064</t>
  </si>
  <si>
    <t>1065</t>
  </si>
  <si>
    <t>ISS25000820</t>
  </si>
  <si>
    <t>1066</t>
  </si>
  <si>
    <t>ISS25000853</t>
  </si>
  <si>
    <t>1067</t>
  </si>
  <si>
    <t>ISS25000872</t>
  </si>
  <si>
    <t>1068</t>
  </si>
  <si>
    <t>ISS25000879</t>
  </si>
  <si>
    <t>4067.7</t>
  </si>
  <si>
    <t>1069</t>
  </si>
  <si>
    <t>37290M56R00    SWITCH ASSY, ENGINE START</t>
  </si>
  <si>
    <t>1511.71</t>
  </si>
  <si>
    <t>1070</t>
  </si>
  <si>
    <t>99999MS5W30-CAS    SYNTHETIC OIL(5W30)-CASTROL</t>
  </si>
  <si>
    <t>1739.463</t>
  </si>
  <si>
    <t>1071</t>
  </si>
  <si>
    <t>1528.619</t>
  </si>
  <si>
    <t>1072</t>
  </si>
  <si>
    <t>1073</t>
  </si>
  <si>
    <t>1074</t>
  </si>
  <si>
    <t>1075</t>
  </si>
  <si>
    <t>1475.908</t>
  </si>
  <si>
    <t>1076</t>
  </si>
  <si>
    <t>1077</t>
  </si>
  <si>
    <t>1581.33</t>
  </si>
  <si>
    <t>1078</t>
  </si>
  <si>
    <t>1634.041</t>
  </si>
  <si>
    <t>1079</t>
  </si>
  <si>
    <t>1080</t>
  </si>
  <si>
    <t>1081</t>
  </si>
  <si>
    <t>1082</t>
  </si>
  <si>
    <t>1083</t>
  </si>
  <si>
    <t>1686.752</t>
  </si>
  <si>
    <t>1084</t>
  </si>
  <si>
    <t>1950.307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</si>
  <si>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</si>
  <si>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</si>
  <si>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</si>
  <si>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</si>
  <si>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</si>
  <si>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</si>
  <si>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</si>
  <si>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</si>
  <si>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</si>
  <si>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</si>
  <si>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</si>
  <si>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1423.197</t>
  </si>
  <si>
    <t>1096</t>
  </si>
  <si>
    <t>1097</t>
  </si>
  <si>
    <t>1098</t>
  </si>
  <si>
    <t>99999MS5W40-CAS    SYNTHETIC OIL(5W40)-CASTROL</t>
  </si>
  <si>
    <t>3189.152</t>
  </si>
  <si>
    <t>1099</t>
  </si>
  <si>
    <t>99999MS5W40-SHL    SYNTHETIC OIL(5W40)-SHELL</t>
  </si>
  <si>
    <t>3232.512</t>
  </si>
  <si>
    <t>1100</t>
  </si>
  <si>
    <t>3333.528</t>
  </si>
  <si>
    <t>1101</t>
  </si>
  <si>
    <t>1102</t>
  </si>
  <si>
    <t>3131.496</t>
  </si>
  <si>
    <t>1103</t>
  </si>
  <si>
    <t>1104</t>
  </si>
  <si>
    <t>1105</t>
  </si>
  <si>
    <t>1106</t>
  </si>
  <si>
    <t>83921M68P00-0CB    TAPE, FRONT DOOR OUTER ROOF</t>
  </si>
  <si>
    <t>233.05</t>
  </si>
  <si>
    <t>1107</t>
  </si>
  <si>
    <t>83923M56R00-0CB    TAPE, FRONT DOOR OUTER RR, R</t>
  </si>
  <si>
    <t>194.91</t>
  </si>
  <si>
    <t>1108</t>
  </si>
  <si>
    <t>83922M55R00-0CB    TAPE,FRONT DOOR OUTER FR,L</t>
  </si>
  <si>
    <t>ISS25000737</t>
  </si>
  <si>
    <t>131.35</t>
  </si>
  <si>
    <t>1109</t>
  </si>
  <si>
    <t>83924M55R00-0CB    TAPE,FRONT DOOR OUTER RR,L</t>
  </si>
  <si>
    <t>1110</t>
  </si>
  <si>
    <t>83923M68P00-0CB    TAPE,FRONT DOOR OUTER RR,R(BL</t>
  </si>
  <si>
    <t>ISS25000858</t>
  </si>
  <si>
    <t>165.25</t>
  </si>
  <si>
    <t>1111</t>
  </si>
  <si>
    <t>83924M66T00-0CB    TAPE,FRONT DOOR OUTER UPR,L</t>
  </si>
  <si>
    <t>1112</t>
  </si>
  <si>
    <t>17540M86J22    TENSIONER ASSY,BELT</t>
  </si>
  <si>
    <t>1335.93</t>
  </si>
  <si>
    <t>1113</t>
  </si>
  <si>
    <t>17670M85030    THERMOSTAT COMP,WATER,82 C</t>
  </si>
  <si>
    <t>1114</t>
  </si>
  <si>
    <t>1115</t>
  </si>
  <si>
    <t>1116</t>
  </si>
  <si>
    <t>35321M69R00    UNIT HEAD LAMP LH</t>
  </si>
  <si>
    <t>2220.33</t>
  </si>
  <si>
    <t>1117</t>
  </si>
  <si>
    <t>35121M69R00    UNIT HEAD LAMP RH</t>
  </si>
  <si>
    <t>1118</t>
  </si>
  <si>
    <t>ISS25000616</t>
  </si>
  <si>
    <t>1119</t>
  </si>
  <si>
    <t>1120</t>
  </si>
  <si>
    <t>35320M75J00    UNIT, HEADLAMP LH</t>
  </si>
  <si>
    <t>2440.67</t>
  </si>
  <si>
    <t>1121</t>
  </si>
  <si>
    <t>35321M67L00    UNIT, HEADLAMP LH</t>
  </si>
  <si>
    <t>2059.32</t>
  </si>
  <si>
    <t>1122</t>
  </si>
  <si>
    <t>35120M75J00    UNIT, HEADLAMP RH</t>
  </si>
  <si>
    <t>1123</t>
  </si>
  <si>
    <t>ISS25000849</t>
  </si>
  <si>
    <t>1124</t>
  </si>
  <si>
    <t>84681M74K00    WEATHERSTRIP, TRUNK LID</t>
  </si>
  <si>
    <t>43222M79G10    WEIGHT,WHEEL BALANCE(10GRAM)</t>
  </si>
  <si>
    <t>121.05</t>
  </si>
  <si>
    <t>1126</t>
  </si>
  <si>
    <t>ISS25000764</t>
  </si>
  <si>
    <t>1127</t>
  </si>
  <si>
    <t>1128</t>
  </si>
  <si>
    <t>43227M79G30    WEIGHT,WHEEL BALANCE(35GRAM)</t>
  </si>
  <si>
    <t>32.03</t>
  </si>
  <si>
    <t>1129</t>
  </si>
  <si>
    <t>43222M82P10    WEIGHT,WHEEL BALANCE(60GRAM)</t>
  </si>
  <si>
    <t>92.96</t>
  </si>
  <si>
    <t>1130</t>
  </si>
  <si>
    <t>53402M79GC1    WHEEL CYLINDER ASSY</t>
  </si>
  <si>
    <t>1131</t>
  </si>
  <si>
    <t>09140M12040    WHEEL NUT</t>
  </si>
  <si>
    <t>8.59</t>
  </si>
  <si>
    <t>1132</t>
  </si>
  <si>
    <t>1133</t>
  </si>
  <si>
    <t>1134</t>
  </si>
  <si>
    <t>99000M24120-853    WIPER KIT (DR+AS) NEW WAGON R</t>
  </si>
  <si>
    <t>1135</t>
  </si>
  <si>
    <t>SAI LAKSHMI ADARI</t>
  </si>
  <si>
    <t>JC25000698</t>
  </si>
  <si>
    <t>AP31DJ9732</t>
  </si>
  <si>
    <t>ISS25000805</t>
  </si>
  <si>
    <t>1136</t>
  </si>
  <si>
    <t>99000M24120-852    WIPER KIT (DR+AS) OLD SWIFT</t>
  </si>
  <si>
    <t>1137</t>
  </si>
  <si>
    <t>1138</t>
  </si>
  <si>
    <t>90900M12610    WIRE 4 MM(METER)</t>
  </si>
  <si>
    <t>21.87</t>
  </si>
  <si>
    <t>1139</t>
  </si>
  <si>
    <t>ISS25000741</t>
  </si>
  <si>
    <t>65.61</t>
  </si>
  <si>
    <t>Note: Before finalizing or submitting, cross-check all the details once again as per the new updates. (It's Mandatory)</t>
  </si>
  <si>
    <t>ACCESSORIES INCENTIVE REPORT FOR THE MONTH OF JUN-2025</t>
  </si>
  <si>
    <t>Categorized Accessory Amount</t>
  </si>
  <si>
    <t>Category-Based Incentives</t>
  </si>
  <si>
    <t>Bulbs</t>
  </si>
  <si>
    <t>Perfumes</t>
  </si>
  <si>
    <t>AC
Filters</t>
  </si>
  <si>
    <t>Super
Cleaner</t>
  </si>
  <si>
    <t>AC Vent</t>
  </si>
  <si>
    <t>Total</t>
  </si>
  <si>
    <t>AC Vent
Incentive</t>
  </si>
  <si>
    <t>Accessories
Incentive</t>
  </si>
  <si>
    <t>Total
 Incentive</t>
  </si>
  <si>
    <t>-</t>
  </si>
  <si>
    <t>Incentive</t>
  </si>
  <si>
    <t>W.M/ Spears INCENTIVE JUNE MA POLICY</t>
  </si>
  <si>
    <t xml:space="preserve">CWS,GWK,KPD,SKLM,VZM,NHR SLABS AS PER POLICY </t>
  </si>
  <si>
    <t>REMAING SMALL LOCATION</t>
  </si>
  <si>
    <t>Accessories sale</t>
  </si>
  <si>
    <t>SLABS</t>
  </si>
  <si>
    <t>PER CAR</t>
  </si>
  <si>
    <t>INCENTIVE</t>
  </si>
  <si>
    <t>Accessories sale ( ser store)</t>
  </si>
  <si>
    <t xml:space="preserve">1ST </t>
  </si>
  <si>
    <t>451-480</t>
  </si>
  <si>
    <t>Net sale</t>
  </si>
  <si>
    <t xml:space="preserve">2ND </t>
  </si>
  <si>
    <t>481- ABOVE</t>
  </si>
  <si>
    <t>Load</t>
  </si>
  <si>
    <t>Slab</t>
  </si>
  <si>
    <t>SPEARS</t>
  </si>
  <si>
    <t>&lt;30% @ 3/-</t>
  </si>
  <si>
    <t>&gt;30% @ 5/-</t>
  </si>
  <si>
    <t>P/Car for W.m (Incentive)</t>
  </si>
  <si>
    <t>451-ABOVE</t>
  </si>
  <si>
    <t>NOTE : MUST SHOULD LOAD , PER CAR AND SPEARS INCHARGES AC FILTERS/PERFUMES INCENTIVES PLEASE CONFIRM WITH THE LINE MANAGERS</t>
  </si>
  <si>
    <t>No Of Ac Filters to Spears</t>
  </si>
  <si>
    <t>Persentage Of Ac Filters to Spears</t>
  </si>
  <si>
    <t>NAME</t>
  </si>
  <si>
    <t>W.M SERVICE 40%</t>
  </si>
  <si>
    <t>CLUSTER HEAD SER 10%</t>
  </si>
  <si>
    <t>AWM SER / FI 15%</t>
  </si>
  <si>
    <t>BSM / INCHARGE 15%</t>
  </si>
  <si>
    <t>B/S CLUSTER / INCHARGE 10%</t>
  </si>
  <si>
    <t>CCM 10%</t>
  </si>
  <si>
    <t>Srl.</t>
  </si>
  <si>
    <t>Type of Service</t>
  </si>
  <si>
    <t>WASHING INCENTIVE</t>
  </si>
  <si>
    <t>1ST FREE SERVICE</t>
  </si>
  <si>
    <t>2ND FREE SERVICE</t>
  </si>
  <si>
    <t>3RD FREE SERVICE</t>
  </si>
  <si>
    <t>4RD FREE SERVICE</t>
  </si>
  <si>
    <t>PAID SERVICE</t>
  </si>
  <si>
    <t>TRUE VALUE PMS</t>
  </si>
  <si>
    <t>TRUE VALUE 1ND</t>
  </si>
  <si>
    <t>TRUE VALUE 2RD</t>
  </si>
  <si>
    <t>PAID WASHING</t>
  </si>
  <si>
    <t>YENDADA Workshop</t>
  </si>
  <si>
    <t xml:space="preserve">No.of  Total Vehicles </t>
  </si>
  <si>
    <t>Per Vehicle Incentive</t>
  </si>
  <si>
    <t>Total Psf Complaints (per complaint 10/- deduction)</t>
  </si>
  <si>
    <t>Distrubution Amount</t>
  </si>
  <si>
    <t>Vehicles Due amount Deductions</t>
  </si>
  <si>
    <t>Finally Distrubution Amount</t>
  </si>
  <si>
    <t>Appointment No</t>
  </si>
  <si>
    <t>Appointed On</t>
  </si>
  <si>
    <t>Appointment Type</t>
  </si>
  <si>
    <t>Appointment Date -Time</t>
  </si>
  <si>
    <t>Registration No</t>
  </si>
  <si>
    <t>Model</t>
  </si>
  <si>
    <t>Modified Date</t>
  </si>
  <si>
    <t>S.A. Name</t>
  </si>
  <si>
    <t>SB25000045</t>
  </si>
  <si>
    <t>Service Reminder</t>
  </si>
  <si>
    <t>FS</t>
  </si>
  <si>
    <t>SB25000052</t>
  </si>
  <si>
    <t>PMS</t>
  </si>
  <si>
    <t>SB25000093</t>
  </si>
  <si>
    <t>SB25000143</t>
  </si>
  <si>
    <t>SB25000144</t>
  </si>
  <si>
    <t>SB25000151</t>
  </si>
  <si>
    <t>SB25000158</t>
  </si>
  <si>
    <t>SB25000161</t>
  </si>
  <si>
    <t>HyperLocal Leads</t>
  </si>
  <si>
    <t>SB25000162</t>
  </si>
  <si>
    <t>SB25000163</t>
  </si>
  <si>
    <t>DZIRE TOUR DIESEL</t>
  </si>
  <si>
    <t>SB25000168</t>
  </si>
  <si>
    <t>SB25000169</t>
  </si>
  <si>
    <t>SB25000170</t>
  </si>
  <si>
    <t>SB25000173</t>
  </si>
  <si>
    <t>SB25000176</t>
  </si>
  <si>
    <t>SB25000177</t>
  </si>
  <si>
    <t>SB25000181</t>
  </si>
  <si>
    <t>SB25000182</t>
  </si>
  <si>
    <t>Mobile</t>
  </si>
  <si>
    <t>NEW WAGON R 1L CNG</t>
  </si>
  <si>
    <t>SB25000186</t>
  </si>
  <si>
    <t>SB25000187</t>
  </si>
  <si>
    <t>SB25000188</t>
  </si>
  <si>
    <t>SB25000189</t>
  </si>
  <si>
    <t>SB25000190</t>
  </si>
  <si>
    <t>SB25000191</t>
  </si>
  <si>
    <t>SB25000193</t>
  </si>
  <si>
    <t>DAZZLING NEW DZIRE</t>
  </si>
  <si>
    <t>SB25000194</t>
  </si>
  <si>
    <t>SB25000196</t>
  </si>
  <si>
    <t>SB25000197</t>
  </si>
  <si>
    <t>SB25000198</t>
  </si>
  <si>
    <t>TRUE VALUE 1ST</t>
  </si>
  <si>
    <t>SB25000199</t>
  </si>
  <si>
    <t>SB25000200</t>
  </si>
  <si>
    <t>ALTO</t>
  </si>
  <si>
    <t>SB25000201</t>
  </si>
  <si>
    <t>SB25000202</t>
  </si>
  <si>
    <t>SB25000203</t>
  </si>
  <si>
    <t>SB25000204</t>
  </si>
  <si>
    <t>SB25000205</t>
  </si>
  <si>
    <t>SB25000206</t>
  </si>
  <si>
    <t>SB25000207</t>
  </si>
  <si>
    <t>SB25000208</t>
  </si>
  <si>
    <t>SB25000211</t>
  </si>
  <si>
    <t>SB25000212</t>
  </si>
  <si>
    <t>SB25000213</t>
  </si>
  <si>
    <t>SB25000217</t>
  </si>
  <si>
    <t>SB25000218</t>
  </si>
  <si>
    <t>SB25000222</t>
  </si>
  <si>
    <t>SB25000224</t>
  </si>
  <si>
    <t>AP16BF4274</t>
  </si>
  <si>
    <t>WAGON R</t>
  </si>
  <si>
    <t>SB25000226</t>
  </si>
  <si>
    <t>SB25000227</t>
  </si>
  <si>
    <t>SB25000228</t>
  </si>
  <si>
    <t>SWIFT NEW/  DZIRE NEW DIESEL</t>
  </si>
  <si>
    <t>SB25000229</t>
  </si>
  <si>
    <t>SB25000230</t>
  </si>
  <si>
    <t>SB25000233</t>
  </si>
  <si>
    <t>SB25000236</t>
  </si>
  <si>
    <t>SB25000237</t>
  </si>
  <si>
    <t>SAME DAY APPOINTMENTS SUMMARY - SMRE WISE (FREE + PAID) - OTHER WORKSHOPS</t>
  </si>
  <si>
    <t>SMR E NAME</t>
  </si>
  <si>
    <t>DATA TYPE</t>
  </si>
  <si>
    <t>TOTAL  PMS CONVRS Service Reminder &amp; Refferals</t>
  </si>
  <si>
    <t>TOTAL F.S CONVR</t>
  </si>
  <si>
    <t>TOTAL(PMS+F.S)</t>
  </si>
  <si>
    <t>NOS</t>
  </si>
  <si>
    <t>PMS 1X Rs 25</t>
  </si>
  <si>
    <t>1 X Rs.20</t>
  </si>
  <si>
    <t>INC AMT</t>
  </si>
  <si>
    <t>FREE &amp; PAID</t>
  </si>
  <si>
    <t>JUNE</t>
  </si>
  <si>
    <t>MA013501</t>
  </si>
  <si>
    <t>PUNEETH RAJ</t>
  </si>
  <si>
    <t>RAJITHASRI</t>
  </si>
  <si>
    <t>MA015837</t>
  </si>
  <si>
    <t>G JAGADESH</t>
  </si>
  <si>
    <t>MA018238</t>
  </si>
  <si>
    <t>MA012697</t>
  </si>
  <si>
    <t>K SRINU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</si>
</sst>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 * #,##0.00_ ;_ * \-#,##0.00_ ;_ * &quot;-&quot;??_ ;_ @_ "/>
    <numFmt numFmtId="164" formatCode="0_ "/>
  </numFmts>
  <fonts count="4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b/>
      <sz val="8"/>
      <name val="Arial"/>
      <family val="2"/>
    </font>
    <font>
      <b/>
      <sz val="10"/>
      <color indexed="8"/>
      <name val="Calibri"/>
      <family val="2"/>
      <scheme val="minor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1"/>
      <name val="Arial"/>
      <family val="2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b/>
      <sz val="8"/>
      <name val="helvetica"/>
    </font>
    <font>
      <b/>
      <sz val="12"/>
      <color indexed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10000"/>
      <name val="Calibri"/>
      <family val="2"/>
    </font>
    <font>
      <sz val="10"/>
      <color theme="1"/>
      <name val="Bookman Old Style"/>
      <family val="1"/>
    </font>
    <font>
      <b/>
      <sz val="11"/>
      <color rgb="FF010000"/>
      <name val="Calibri"/>
      <family val="2"/>
    </font>
    <font>
      <sz val="10"/>
      <color rgb="FF010000"/>
      <name val="Bookman Old Style"/>
      <family val="1"/>
    </font>
    <font>
      <b/>
      <sz val="20"/>
      <color rgb="FFC00000"/>
      <name val="Bookman Old Style"/>
      <family val="1"/>
    </font>
    <font>
      <b/>
      <sz val="12"/>
      <color rgb="FFFFFFFF"/>
      <name val="Bookman Old Style"/>
      <family val="1"/>
    </font>
    <font>
      <b/>
      <sz val="10"/>
      <color rgb="FF140A80"/>
      <name val="Bookman Old Style"/>
      <family val="1"/>
    </font>
    <font>
      <b/>
      <sz val="12"/>
      <color rgb="FFFF0000"/>
      <name val="Bookman Old Style"/>
      <family val="1"/>
    </font>
    <font>
      <sz val="11"/>
      <name val="Bookman Old Style"/>
      <family val="1"/>
    </font>
    <font>
      <b/>
      <sz val="14"/>
      <color indexed="8"/>
      <name val="Calibri"/>
      <family val="2"/>
      <scheme val="minor"/>
    </font>
    <font>
      <b/>
      <i/>
      <u/>
      <sz val="14"/>
      <color rgb="FFFF0000"/>
      <name val="Arial"/>
      <family val="2"/>
    </font>
    <font>
      <b/>
      <sz val="10"/>
      <color indexed="8"/>
      <name val="Bookman Old Style"/>
      <family val="1"/>
    </font>
    <font>
      <b/>
      <sz val="10"/>
      <color theme="1"/>
      <name val="Bookman Old Style"/>
      <family val="1"/>
    </font>
    <font>
      <b/>
      <sz val="11"/>
      <color theme="1"/>
      <name val="Bookman Old Style"/>
      <family val="1"/>
    </font>
    <font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</font>
    <font>
      <b/>
      <u/>
      <sz val="1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0D9EA8"/>
        <bgColor indexed="64"/>
      </patternFill>
    </fill>
    <fill>
      <patternFill patternType="solid">
        <fgColor rgb="FFF2B611"/>
        <bgColor indexed="64"/>
      </patternFill>
    </fill>
    <fill>
      <patternFill patternType="solid">
        <fgColor rgb="FF9DE4F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7">
    <border>
      <left/>
      <right/>
      <top/>
      <bottom/>
      <diagonal/>
    </border>
    <border>
      <left/>
      <right/>
      <top style="thin">
        <color theme="4" tint="-0.249977111117893"/>
      </top>
      <bottom style="medium">
        <color theme="4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9">
    <xf numFmtId="0" fontId="0" fillId="0" borderId="0"/>
    <xf numFmtId="0" fontId="4" fillId="0" borderId="0"/>
    <xf numFmtId="0" fontId="4" fillId="0" borderId="0"/>
    <xf numFmtId="0" fontId="16" fillId="0" borderId="0"/>
    <xf numFmtId="0" fontId="17" fillId="0" borderId="0"/>
    <xf numFmtId="43" fontId="22" fillId="0" borderId="0" applyFont="0" applyFill="0" applyBorder="0" applyAlignment="0" applyProtection="0"/>
    <xf numFmtId="9" fontId="22" fillId="0" borderId="0" applyFont="0" applyFill="0" applyBorder="0" applyAlignment="0" applyProtection="0"/>
    <xf numFmtId="0" fontId="17" fillId="0" borderId="0"/>
    <xf numFmtId="0" fontId="45" fillId="0" borderId="0" applyNumberFormat="0" applyFill="0" applyBorder="0" applyAlignment="0" applyProtection="0">
      <alignment vertical="top"/>
      <protection locked="0"/>
    </xf>
  </cellStyleXfs>
  <cellXfs count="268">
    <xf numFmtId="0" fontId="0" fillId="0" borderId="0" xfId="0"/>
    <xf numFmtId="15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1" fillId="4" borderId="1" xfId="0" applyNumberFormat="1" applyFont="1" applyFill="1" applyBorder="1"/>
    <xf numFmtId="1" fontId="7" fillId="4" borderId="2" xfId="0" applyNumberFormat="1" applyFont="1" applyFill="1" applyBorder="1" applyAlignment="1">
      <alignment horizontal="center" vertical="center"/>
    </xf>
    <xf numFmtId="0" fontId="1" fillId="0" borderId="2" xfId="0" applyFont="1" applyBorder="1"/>
    <xf numFmtId="0" fontId="8" fillId="0" borderId="2" xfId="0" applyFont="1" applyBorder="1"/>
    <xf numFmtId="0" fontId="1" fillId="5" borderId="2" xfId="0" applyFont="1" applyFill="1" applyBorder="1"/>
    <xf numFmtId="0" fontId="1" fillId="5" borderId="2" xfId="0" applyFont="1" applyFill="1" applyBorder="1" applyAlignment="1">
      <alignment horizontal="center"/>
    </xf>
    <xf numFmtId="17" fontId="1" fillId="5" borderId="2" xfId="1" applyNumberFormat="1" applyFont="1" applyFill="1" applyBorder="1" applyAlignment="1">
      <alignment horizontal="center"/>
    </xf>
    <xf numFmtId="9" fontId="1" fillId="5" borderId="2" xfId="1" applyNumberFormat="1" applyFont="1" applyFill="1" applyBorder="1" applyAlignment="1">
      <alignment horizontal="center"/>
    </xf>
    <xf numFmtId="0" fontId="1" fillId="5" borderId="1" xfId="0" applyNumberFormat="1" applyFont="1" applyFill="1" applyBorder="1"/>
    <xf numFmtId="0" fontId="1" fillId="5" borderId="2" xfId="1" applyFont="1" applyFill="1" applyBorder="1" applyAlignment="1">
      <alignment horizontal="center"/>
    </xf>
    <xf numFmtId="0" fontId="1" fillId="0" borderId="2" xfId="0" applyFont="1" applyBorder="1" applyAlignment="1"/>
    <xf numFmtId="0" fontId="1" fillId="0" borderId="2" xfId="1" applyFont="1" applyBorder="1" applyAlignment="1">
      <alignment horizontal="center"/>
    </xf>
    <xf numFmtId="1" fontId="9" fillId="0" borderId="2" xfId="1" applyNumberFormat="1" applyFont="1" applyBorder="1" applyAlignment="1">
      <alignment horizontal="center"/>
    </xf>
    <xf numFmtId="0" fontId="1" fillId="3" borderId="2" xfId="1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14" fontId="0" fillId="0" borderId="0" xfId="0" applyNumberFormat="1"/>
    <xf numFmtId="0" fontId="0" fillId="7" borderId="0" xfId="0" applyFill="1" applyAlignment="1">
      <alignment horizontal="left"/>
    </xf>
    <xf numFmtId="0" fontId="0" fillId="7" borderId="0" xfId="0" applyNumberFormat="1" applyFill="1"/>
    <xf numFmtId="0" fontId="1" fillId="8" borderId="2" xfId="2" applyFont="1" applyFill="1" applyBorder="1" applyAlignment="1">
      <alignment horizontal="center" vertical="center" wrapText="1"/>
    </xf>
    <xf numFmtId="0" fontId="1" fillId="8" borderId="2" xfId="2" applyFont="1" applyFill="1" applyBorder="1" applyAlignment="1">
      <alignment horizontal="center" vertical="center"/>
    </xf>
    <xf numFmtId="0" fontId="1" fillId="8" borderId="2" xfId="2" applyFont="1" applyFill="1" applyBorder="1" applyAlignment="1">
      <alignment horizontal="center" vertical="center" textRotation="90" wrapText="1"/>
    </xf>
    <xf numFmtId="0" fontId="1" fillId="0" borderId="2" xfId="0" applyFont="1" applyFill="1" applyBorder="1"/>
    <xf numFmtId="0" fontId="11" fillId="0" borderId="2" xfId="0" applyFont="1" applyFill="1" applyBorder="1"/>
    <xf numFmtId="0" fontId="1" fillId="0" borderId="2" xfId="0" applyFont="1" applyBorder="1" applyAlignment="1">
      <alignment horizontal="center"/>
    </xf>
    <xf numFmtId="1" fontId="10" fillId="3" borderId="2" xfId="2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1" fontId="10" fillId="3" borderId="2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3" fontId="1" fillId="8" borderId="2" xfId="0" applyNumberFormat="1" applyFont="1" applyFill="1" applyBorder="1" applyAlignment="1">
      <alignment horizontal="center" vertical="center"/>
    </xf>
    <xf numFmtId="1" fontId="10" fillId="8" borderId="2" xfId="0" applyNumberFormat="1" applyFont="1" applyFill="1" applyBorder="1" applyAlignment="1">
      <alignment horizontal="center" vertical="center"/>
    </xf>
    <xf numFmtId="0" fontId="0" fillId="0" borderId="0" xfId="0" applyFill="1"/>
    <xf numFmtId="0" fontId="8" fillId="7" borderId="0" xfId="0" applyFont="1" applyFill="1"/>
    <xf numFmtId="0" fontId="10" fillId="5" borderId="0" xfId="0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8" fillId="9" borderId="2" xfId="0" applyFont="1" applyFill="1" applyBorder="1" applyAlignment="1">
      <alignment horizontal="center"/>
    </xf>
    <xf numFmtId="0" fontId="14" fillId="0" borderId="0" xfId="0" applyFont="1"/>
    <xf numFmtId="0" fontId="1" fillId="0" borderId="0" xfId="0" applyNumberFormat="1" applyFont="1"/>
    <xf numFmtId="0" fontId="15" fillId="0" borderId="2" xfId="0" applyFont="1" applyBorder="1" applyAlignment="1">
      <alignment horizontal="left"/>
    </xf>
    <xf numFmtId="0" fontId="1" fillId="10" borderId="2" xfId="0" applyFont="1" applyFill="1" applyBorder="1" applyAlignment="1">
      <alignment horizontal="left"/>
    </xf>
    <xf numFmtId="0" fontId="15" fillId="5" borderId="7" xfId="3" applyFont="1" applyFill="1" applyBorder="1" applyAlignment="1">
      <alignment horizontal="left" vertical="center"/>
    </xf>
    <xf numFmtId="0" fontId="15" fillId="5" borderId="7" xfId="3" applyFont="1" applyFill="1" applyBorder="1" applyAlignment="1">
      <alignment horizontal="center" vertical="center"/>
    </xf>
    <xf numFmtId="2" fontId="15" fillId="5" borderId="7" xfId="3" applyNumberFormat="1" applyFont="1" applyFill="1" applyBorder="1" applyAlignment="1">
      <alignment horizontal="center" vertical="center"/>
    </xf>
    <xf numFmtId="0" fontId="14" fillId="5" borderId="7" xfId="4" applyFont="1" applyFill="1" applyBorder="1" applyAlignment="1">
      <alignment horizontal="center"/>
    </xf>
    <xf numFmtId="0" fontId="15" fillId="5" borderId="8" xfId="3" applyFont="1" applyFill="1" applyBorder="1" applyAlignment="1">
      <alignment horizontal="center" vertical="center"/>
    </xf>
    <xf numFmtId="0" fontId="18" fillId="0" borderId="2" xfId="0" applyFont="1" applyBorder="1" applyAlignment="1">
      <alignment horizontal="left"/>
    </xf>
    <xf numFmtId="0" fontId="1" fillId="3" borderId="2" xfId="3" applyNumberFormat="1" applyFont="1" applyFill="1" applyBorder="1" applyAlignment="1">
      <alignment horizontal="center" vertical="center"/>
    </xf>
    <xf numFmtId="1" fontId="9" fillId="0" borderId="2" xfId="3" applyNumberFormat="1" applyFont="1" applyBorder="1" applyAlignment="1">
      <alignment horizontal="center" vertical="center"/>
    </xf>
    <xf numFmtId="0" fontId="17" fillId="0" borderId="0" xfId="4" applyFont="1" applyBorder="1"/>
    <xf numFmtId="0" fontId="0" fillId="0" borderId="0" xfId="0" applyBorder="1"/>
    <xf numFmtId="0" fontId="14" fillId="0" borderId="0" xfId="4" applyFont="1" applyBorder="1"/>
    <xf numFmtId="0" fontId="1" fillId="0" borderId="0" xfId="0" applyFont="1" applyBorder="1"/>
    <xf numFmtId="0" fontId="19" fillId="4" borderId="2" xfId="4" applyFont="1" applyFill="1" applyBorder="1" applyAlignment="1">
      <alignment horizontal="left"/>
    </xf>
    <xf numFmtId="0" fontId="8" fillId="4" borderId="2" xfId="3" applyNumberFormat="1" applyFont="1" applyFill="1" applyBorder="1" applyAlignment="1">
      <alignment horizontal="center" vertical="center"/>
    </xf>
    <xf numFmtId="1" fontId="7" fillId="4" borderId="2" xfId="3" applyNumberFormat="1" applyFont="1" applyFill="1" applyBorder="1" applyAlignment="1">
      <alignment horizontal="center" vertical="center"/>
    </xf>
    <xf numFmtId="0" fontId="17" fillId="0" borderId="0" xfId="4" applyFont="1"/>
    <xf numFmtId="0" fontId="0" fillId="2" borderId="2" xfId="0" applyFill="1" applyBorder="1"/>
    <xf numFmtId="0" fontId="8" fillId="9" borderId="2" xfId="0" applyFont="1" applyFill="1" applyBorder="1" applyAlignment="1"/>
    <xf numFmtId="0" fontId="8" fillId="0" borderId="2" xfId="0" applyFont="1" applyBorder="1" applyAlignment="1"/>
    <xf numFmtId="0" fontId="15" fillId="0" borderId="2" xfId="0" applyNumberFormat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8" fillId="10" borderId="2" xfId="0" applyFont="1" applyFill="1" applyBorder="1" applyAlignment="1">
      <alignment horizontal="left"/>
    </xf>
    <xf numFmtId="1" fontId="20" fillId="7" borderId="0" xfId="0" applyNumberFormat="1" applyFont="1" applyFill="1"/>
    <xf numFmtId="0" fontId="1" fillId="3" borderId="0" xfId="0" applyFont="1" applyFill="1" applyBorder="1" applyAlignment="1">
      <alignment horizontal="center" vertical="center"/>
    </xf>
    <xf numFmtId="0" fontId="23" fillId="0" borderId="0" xfId="0" applyFont="1" applyAlignment="1">
      <alignment horizontal="left"/>
    </xf>
    <xf numFmtId="0" fontId="24" fillId="0" borderId="0" xfId="0" applyFont="1" applyFill="1"/>
    <xf numFmtId="0" fontId="23" fillId="0" borderId="0" xfId="0" applyFont="1" applyAlignment="1">
      <alignment horizontal="right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right"/>
    </xf>
    <xf numFmtId="0" fontId="26" fillId="0" borderId="0" xfId="0" applyFont="1" applyFill="1" applyAlignment="1">
      <alignment horizontal="left"/>
    </xf>
    <xf numFmtId="0" fontId="26" fillId="0" borderId="0" xfId="0" applyFont="1" applyFill="1" applyAlignment="1">
      <alignment horizontal="right"/>
    </xf>
    <xf numFmtId="0" fontId="24" fillId="0" borderId="2" xfId="0" applyFont="1" applyFill="1" applyBorder="1" applyAlignment="1">
      <alignment horizontal="center"/>
    </xf>
    <xf numFmtId="0" fontId="28" fillId="11" borderId="2" xfId="0" applyFont="1" applyFill="1" applyBorder="1" applyAlignment="1">
      <alignment horizontal="center"/>
    </xf>
    <xf numFmtId="0" fontId="29" fillId="12" borderId="2" xfId="0" applyFont="1" applyFill="1" applyBorder="1" applyAlignment="1">
      <alignment horizontal="center" vertical="center"/>
    </xf>
    <xf numFmtId="0" fontId="29" fillId="12" borderId="2" xfId="0" applyFont="1" applyFill="1" applyBorder="1" applyAlignment="1">
      <alignment horizontal="center" vertical="center" wrapText="1"/>
    </xf>
    <xf numFmtId="0" fontId="24" fillId="0" borderId="2" xfId="0" applyFont="1" applyFill="1" applyBorder="1"/>
    <xf numFmtId="43" fontId="24" fillId="0" borderId="2" xfId="5" applyFont="1" applyFill="1" applyBorder="1"/>
    <xf numFmtId="0" fontId="24" fillId="13" borderId="2" xfId="0" applyFont="1" applyFill="1" applyBorder="1"/>
    <xf numFmtId="43" fontId="24" fillId="13" borderId="2" xfId="5" applyFont="1" applyFill="1" applyBorder="1"/>
    <xf numFmtId="0" fontId="30" fillId="13" borderId="2" xfId="0" applyFont="1" applyFill="1" applyBorder="1"/>
    <xf numFmtId="43" fontId="31" fillId="0" borderId="0" xfId="5" applyFont="1" applyFill="1" applyBorder="1"/>
    <xf numFmtId="0" fontId="6" fillId="0" borderId="12" xfId="0" applyFont="1" applyBorder="1" applyAlignment="1">
      <alignment horizontal="center" vertical="center" wrapText="1"/>
    </xf>
    <xf numFmtId="1" fontId="16" fillId="0" borderId="2" xfId="4" applyNumberFormat="1" applyFont="1" applyBorder="1"/>
    <xf numFmtId="1" fontId="0" fillId="0" borderId="0" xfId="0" applyNumberFormat="1" applyAlignment="1">
      <alignment horizontal="center"/>
    </xf>
    <xf numFmtId="1" fontId="17" fillId="0" borderId="2" xfId="4" applyNumberFormat="1" applyBorder="1"/>
    <xf numFmtId="1" fontId="16" fillId="0" borderId="13" xfId="0" applyNumberFormat="1" applyFont="1" applyBorder="1" applyAlignment="1">
      <alignment horizontal="center"/>
    </xf>
    <xf numFmtId="1" fontId="16" fillId="0" borderId="7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/>
    </xf>
    <xf numFmtId="1" fontId="16" fillId="0" borderId="14" xfId="0" applyNumberFormat="1" applyFont="1" applyBorder="1" applyAlignment="1">
      <alignment horizontal="center"/>
    </xf>
    <xf numFmtId="1" fontId="16" fillId="0" borderId="2" xfId="4" applyNumberFormat="1" applyFont="1" applyFill="1" applyBorder="1"/>
    <xf numFmtId="1" fontId="16" fillId="0" borderId="15" xfId="0" applyNumberFormat="1" applyFont="1" applyBorder="1" applyAlignment="1">
      <alignment horizontal="center"/>
    </xf>
    <xf numFmtId="1" fontId="16" fillId="0" borderId="2" xfId="0" applyNumberFormat="1" applyFon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1" fontId="2" fillId="0" borderId="2" xfId="4" applyNumberFormat="1" applyFont="1" applyBorder="1" applyAlignment="1">
      <alignment horizontal="center"/>
    </xf>
    <xf numFmtId="1" fontId="16" fillId="0" borderId="17" xfId="0" applyNumberFormat="1" applyFont="1" applyBorder="1" applyAlignment="1">
      <alignment horizontal="center"/>
    </xf>
    <xf numFmtId="1" fontId="16" fillId="0" borderId="18" xfId="0" applyNumberFormat="1" applyFont="1" applyBorder="1" applyAlignment="1">
      <alignment horizontal="center"/>
    </xf>
    <xf numFmtId="1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14" fillId="0" borderId="0" xfId="4" applyFont="1" applyAlignment="1">
      <alignment horizontal="center"/>
    </xf>
    <xf numFmtId="1" fontId="2" fillId="0" borderId="21" xfId="4" applyNumberFormat="1" applyFont="1" applyBorder="1" applyAlignment="1">
      <alignment horizontal="center"/>
    </xf>
    <xf numFmtId="1" fontId="16" fillId="0" borderId="4" xfId="4" applyNumberFormat="1" applyFont="1" applyFill="1" applyBorder="1"/>
    <xf numFmtId="1" fontId="7" fillId="7" borderId="12" xfId="4" applyNumberFormat="1" applyFont="1" applyFill="1" applyBorder="1" applyAlignment="1">
      <alignment horizontal="center"/>
    </xf>
    <xf numFmtId="1" fontId="9" fillId="0" borderId="2" xfId="4" applyNumberFormat="1" applyFont="1" applyBorder="1" applyAlignment="1">
      <alignment horizontal="center"/>
    </xf>
    <xf numFmtId="1" fontId="32" fillId="0" borderId="12" xfId="4" applyNumberFormat="1" applyFont="1" applyBorder="1" applyAlignment="1">
      <alignment horizontal="center"/>
    </xf>
    <xf numFmtId="1" fontId="16" fillId="0" borderId="2" xfId="0" applyNumberFormat="1" applyFont="1" applyFill="1" applyBorder="1"/>
    <xf numFmtId="1" fontId="0" fillId="0" borderId="2" xfId="0" applyNumberFormat="1" applyBorder="1" applyAlignment="1">
      <alignment horizontal="center"/>
    </xf>
    <xf numFmtId="1" fontId="34" fillId="7" borderId="2" xfId="1" applyNumberFormat="1" applyFont="1" applyFill="1" applyBorder="1" applyAlignment="1">
      <alignment horizontal="center" vertical="center"/>
    </xf>
    <xf numFmtId="1" fontId="2" fillId="7" borderId="21" xfId="0" applyNumberFormat="1" applyFont="1" applyFill="1" applyBorder="1"/>
    <xf numFmtId="9" fontId="0" fillId="0" borderId="21" xfId="6" applyFont="1" applyBorder="1"/>
    <xf numFmtId="1" fontId="2" fillId="0" borderId="21" xfId="0" applyNumberFormat="1" applyFont="1" applyBorder="1" applyAlignment="1">
      <alignment horizontal="center"/>
    </xf>
    <xf numFmtId="1" fontId="16" fillId="0" borderId="27" xfId="4" applyNumberFormat="1" applyFont="1" applyFill="1" applyBorder="1"/>
    <xf numFmtId="1" fontId="16" fillId="0" borderId="28" xfId="4" applyNumberFormat="1" applyFont="1" applyBorder="1"/>
    <xf numFmtId="1" fontId="2" fillId="0" borderId="28" xfId="4" applyNumberFormat="1" applyFont="1" applyBorder="1" applyAlignment="1">
      <alignment horizontal="center"/>
    </xf>
    <xf numFmtId="1" fontId="9" fillId="7" borderId="29" xfId="4" applyNumberFormat="1" applyFont="1" applyFill="1" applyBorder="1" applyAlignment="1">
      <alignment horizontal="center"/>
    </xf>
    <xf numFmtId="1" fontId="2" fillId="0" borderId="30" xfId="4" applyNumberFormat="1" applyFont="1" applyBorder="1"/>
    <xf numFmtId="0" fontId="2" fillId="0" borderId="31" xfId="4" applyFont="1" applyBorder="1"/>
    <xf numFmtId="1" fontId="2" fillId="0" borderId="31" xfId="4" applyNumberFormat="1" applyFont="1" applyBorder="1" applyAlignment="1">
      <alignment horizontal="center"/>
    </xf>
    <xf numFmtId="1" fontId="9" fillId="3" borderId="32" xfId="4" applyNumberFormat="1" applyFont="1" applyFill="1" applyBorder="1" applyAlignment="1">
      <alignment horizontal="center"/>
    </xf>
    <xf numFmtId="1" fontId="2" fillId="0" borderId="15" xfId="4" applyNumberFormat="1" applyFont="1" applyBorder="1"/>
    <xf numFmtId="0" fontId="2" fillId="0" borderId="2" xfId="4" applyFont="1" applyBorder="1"/>
    <xf numFmtId="1" fontId="9" fillId="3" borderId="16" xfId="4" applyNumberFormat="1" applyFont="1" applyFill="1" applyBorder="1" applyAlignment="1">
      <alignment horizontal="center"/>
    </xf>
    <xf numFmtId="0" fontId="2" fillId="0" borderId="2" xfId="4" applyFont="1" applyBorder="1" applyAlignment="1">
      <alignment horizontal="left"/>
    </xf>
    <xf numFmtId="1" fontId="2" fillId="0" borderId="17" xfId="4" applyNumberFormat="1" applyFont="1" applyBorder="1"/>
    <xf numFmtId="0" fontId="2" fillId="0" borderId="18" xfId="4" applyFont="1" applyBorder="1" applyAlignment="1">
      <alignment horizontal="left" vertical="center"/>
    </xf>
    <xf numFmtId="1" fontId="9" fillId="0" borderId="18" xfId="4" applyNumberFormat="1" applyFont="1" applyBorder="1" applyAlignment="1">
      <alignment horizontal="center"/>
    </xf>
    <xf numFmtId="1" fontId="9" fillId="0" borderId="20" xfId="4" applyNumberFormat="1" applyFont="1" applyBorder="1" applyAlignment="1">
      <alignment horizontal="center"/>
    </xf>
    <xf numFmtId="1" fontId="7" fillId="0" borderId="12" xfId="4" applyNumberFormat="1" applyFont="1" applyBorder="1" applyAlignment="1">
      <alignment horizontal="center"/>
    </xf>
    <xf numFmtId="1" fontId="9" fillId="7" borderId="2" xfId="4" applyNumberFormat="1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35" fillId="0" borderId="2" xfId="0" applyFont="1" applyFill="1" applyBorder="1"/>
    <xf numFmtId="0" fontId="36" fillId="7" borderId="2" xfId="0" applyFont="1" applyFill="1" applyBorder="1"/>
    <xf numFmtId="0" fontId="21" fillId="4" borderId="4" xfId="0" applyFont="1" applyFill="1" applyBorder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/>
    </xf>
    <xf numFmtId="1" fontId="33" fillId="7" borderId="22" xfId="0" applyNumberFormat="1" applyFont="1" applyFill="1" applyBorder="1" applyAlignment="1">
      <alignment horizontal="center" vertical="center" wrapText="1"/>
    </xf>
    <xf numFmtId="1" fontId="33" fillId="7" borderId="23" xfId="0" applyNumberFormat="1" applyFont="1" applyFill="1" applyBorder="1" applyAlignment="1">
      <alignment horizontal="center" vertical="center" wrapText="1"/>
    </xf>
    <xf numFmtId="1" fontId="33" fillId="7" borderId="24" xfId="0" applyNumberFormat="1" applyFont="1" applyFill="1" applyBorder="1" applyAlignment="1">
      <alignment horizontal="center" vertical="center" wrapText="1"/>
    </xf>
    <xf numFmtId="1" fontId="33" fillId="7" borderId="25" xfId="0" applyNumberFormat="1" applyFont="1" applyFill="1" applyBorder="1" applyAlignment="1">
      <alignment horizontal="center" vertical="center" wrapText="1"/>
    </xf>
    <xf numFmtId="1" fontId="33" fillId="7" borderId="0" xfId="0" applyNumberFormat="1" applyFont="1" applyFill="1" applyBorder="1" applyAlignment="1">
      <alignment horizontal="center" vertical="center" wrapText="1"/>
    </xf>
    <xf numFmtId="1" fontId="33" fillId="7" borderId="26" xfId="0" applyNumberFormat="1" applyFont="1" applyFill="1" applyBorder="1" applyAlignment="1">
      <alignment horizontal="center" vertical="center" wrapText="1"/>
    </xf>
    <xf numFmtId="1" fontId="33" fillId="7" borderId="33" xfId="0" applyNumberFormat="1" applyFont="1" applyFill="1" applyBorder="1" applyAlignment="1">
      <alignment horizontal="center" vertical="center" wrapText="1"/>
    </xf>
    <xf numFmtId="1" fontId="33" fillId="7" borderId="34" xfId="0" applyNumberFormat="1" applyFont="1" applyFill="1" applyBorder="1" applyAlignment="1">
      <alignment horizontal="center" vertical="center" wrapText="1"/>
    </xf>
    <xf numFmtId="1" fontId="33" fillId="7" borderId="35" xfId="0" applyNumberFormat="1" applyFont="1" applyFill="1" applyBorder="1" applyAlignment="1">
      <alignment horizontal="center" vertical="center" wrapText="1"/>
    </xf>
    <xf numFmtId="1" fontId="9" fillId="0" borderId="9" xfId="4" applyNumberFormat="1" applyFont="1" applyFill="1" applyBorder="1" applyAlignment="1">
      <alignment vertical="center"/>
    </xf>
    <xf numFmtId="1" fontId="9" fillId="0" borderId="10" xfId="4" applyNumberFormat="1" applyFont="1" applyFill="1" applyBorder="1" applyAlignment="1">
      <alignment vertical="center"/>
    </xf>
    <xf numFmtId="1" fontId="9" fillId="0" borderId="11" xfId="4" applyNumberFormat="1" applyFont="1" applyFill="1" applyBorder="1" applyAlignment="1">
      <alignment vertical="center"/>
    </xf>
    <xf numFmtId="0" fontId="24" fillId="0" borderId="0" xfId="0" applyFont="1" applyFill="1"/>
    <xf numFmtId="0" fontId="27" fillId="0" borderId="2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8" fillId="11" borderId="2" xfId="0" applyFont="1" applyFill="1" applyBorder="1" applyAlignment="1">
      <alignment horizontal="center"/>
    </xf>
    <xf numFmtId="1" fontId="9" fillId="14" borderId="4" xfId="4" applyNumberFormat="1" applyFont="1" applyFill="1" applyBorder="1" applyAlignment="1">
      <alignment horizontal="center" vertical="center"/>
    </xf>
    <xf numFmtId="1" fontId="9" fillId="14" borderId="5" xfId="4" applyNumberFormat="1" applyFont="1" applyFill="1" applyBorder="1" applyAlignment="1">
      <alignment horizontal="center" vertical="center"/>
    </xf>
    <xf numFmtId="1" fontId="9" fillId="14" borderId="6" xfId="4" applyNumberFormat="1" applyFont="1" applyFill="1" applyBorder="1" applyAlignment="1">
      <alignment horizontal="center" vertical="center"/>
    </xf>
    <xf numFmtId="1" fontId="9" fillId="0" borderId="9" xfId="0" applyNumberFormat="1" applyFont="1" applyBorder="1" applyAlignment="1">
      <alignment horizontal="center" vertical="center" wrapText="1"/>
    </xf>
    <xf numFmtId="1" fontId="9" fillId="0" borderId="10" xfId="0" applyNumberFormat="1" applyFont="1" applyBorder="1" applyAlignment="1">
      <alignment horizontal="center" vertical="center" wrapText="1"/>
    </xf>
    <xf numFmtId="1" fontId="9" fillId="0" borderId="11" xfId="0" applyNumberFormat="1" applyFont="1" applyBorder="1" applyAlignment="1">
      <alignment horizontal="center" vertical="center" wrapText="1"/>
    </xf>
    <xf numFmtId="0" fontId="6" fillId="15" borderId="2" xfId="7" applyFont="1" applyFill="1" applyBorder="1" applyAlignment="1">
      <alignment horizontal="center" vertical="center"/>
    </xf>
    <xf numFmtId="49" fontId="6" fillId="15" borderId="2" xfId="7" applyNumberFormat="1" applyFont="1" applyFill="1" applyBorder="1" applyAlignment="1">
      <alignment horizontal="center" vertical="center"/>
    </xf>
    <xf numFmtId="49" fontId="38" fillId="15" borderId="2" xfId="7" applyNumberFormat="1" applyFont="1" applyFill="1" applyBorder="1" applyAlignment="1">
      <alignment horizontal="center" vertical="center"/>
    </xf>
    <xf numFmtId="0" fontId="8" fillId="7" borderId="36" xfId="0" applyFont="1" applyFill="1" applyBorder="1" applyAlignment="1">
      <alignment horizontal="center" vertical="center"/>
    </xf>
    <xf numFmtId="0" fontId="8" fillId="7" borderId="23" xfId="0" applyFont="1" applyFill="1" applyBorder="1" applyAlignment="1">
      <alignment horizontal="center" vertical="center"/>
    </xf>
    <xf numFmtId="0" fontId="8" fillId="7" borderId="24" xfId="0" applyFont="1" applyFill="1" applyBorder="1" applyAlignment="1">
      <alignment horizontal="center" vertical="center"/>
    </xf>
    <xf numFmtId="0" fontId="6" fillId="15" borderId="21" xfId="7" applyFont="1" applyFill="1" applyBorder="1" applyAlignment="1">
      <alignment horizontal="center" vertical="center"/>
    </xf>
    <xf numFmtId="49" fontId="6" fillId="15" borderId="21" xfId="7" applyNumberFormat="1" applyFont="1" applyFill="1" applyBorder="1" applyAlignment="1">
      <alignment horizontal="center" vertical="center"/>
    </xf>
    <xf numFmtId="49" fontId="38" fillId="15" borderId="21" xfId="7" applyNumberFormat="1" applyFont="1" applyFill="1" applyBorder="1" applyAlignment="1">
      <alignment horizontal="center" vertical="center"/>
    </xf>
    <xf numFmtId="0" fontId="8" fillId="7" borderId="37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38" xfId="0" applyFont="1" applyFill="1" applyBorder="1" applyAlignment="1">
      <alignment horizontal="center" vertical="center"/>
    </xf>
    <xf numFmtId="164" fontId="6" fillId="0" borderId="2" xfId="7" applyNumberFormat="1" applyFont="1" applyBorder="1" applyAlignment="1">
      <alignment horizontal="center" vertical="center"/>
    </xf>
    <xf numFmtId="0" fontId="6" fillId="0" borderId="2" xfId="7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/>
    </xf>
    <xf numFmtId="164" fontId="15" fillId="0" borderId="2" xfId="7" applyNumberFormat="1" applyFont="1" applyFill="1" applyBorder="1" applyAlignment="1">
      <alignment horizontal="center" vertical="center"/>
    </xf>
    <xf numFmtId="0" fontId="1" fillId="0" borderId="39" xfId="0" applyFont="1" applyFill="1" applyBorder="1" applyAlignment="1">
      <alignment horizontal="center" vertical="center"/>
    </xf>
    <xf numFmtId="0" fontId="1" fillId="0" borderId="18" xfId="0" applyFont="1" applyFill="1" applyBorder="1" applyAlignment="1">
      <alignment horizontal="center" vertical="center"/>
    </xf>
    <xf numFmtId="0" fontId="11" fillId="0" borderId="18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6" fillId="0" borderId="4" xfId="7" applyFont="1" applyBorder="1" applyAlignment="1">
      <alignment horizontal="center" vertical="center"/>
    </xf>
    <xf numFmtId="164" fontId="15" fillId="0" borderId="6" xfId="7" applyNumberFormat="1" applyFont="1" applyFill="1" applyBorder="1" applyAlignment="1">
      <alignment horizontal="center" vertical="center"/>
    </xf>
    <xf numFmtId="0" fontId="1" fillId="0" borderId="7" xfId="0" applyNumberFormat="1" applyFont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32" fillId="0" borderId="2" xfId="7" applyFont="1" applyBorder="1" applyAlignment="1">
      <alignment horizontal="center" vertical="center"/>
    </xf>
    <xf numFmtId="164" fontId="32" fillId="0" borderId="2" xfId="7" applyNumberFormat="1" applyFont="1" applyBorder="1" applyAlignment="1">
      <alignment horizontal="center" vertical="center"/>
    </xf>
    <xf numFmtId="0" fontId="21" fillId="0" borderId="2" xfId="7" applyFont="1" applyBorder="1" applyAlignment="1">
      <alignment horizontal="center" vertical="center" wrapText="1"/>
    </xf>
    <xf numFmtId="164" fontId="39" fillId="0" borderId="2" xfId="7" applyNumberFormat="1" applyFont="1" applyBorder="1" applyAlignment="1">
      <alignment horizontal="center" vertical="center"/>
    </xf>
    <xf numFmtId="0" fontId="38" fillId="0" borderId="2" xfId="7" applyFont="1" applyBorder="1" applyAlignment="1">
      <alignment horizontal="center" vertical="center"/>
    </xf>
    <xf numFmtId="0" fontId="38" fillId="0" borderId="2" xfId="7" applyFont="1" applyBorder="1" applyAlignment="1">
      <alignment horizontal="left" vertical="center"/>
    </xf>
    <xf numFmtId="164" fontId="38" fillId="0" borderId="2" xfId="7" applyNumberFormat="1" applyFont="1" applyBorder="1" applyAlignment="1">
      <alignment horizontal="center" vertical="center"/>
    </xf>
    <xf numFmtId="0" fontId="40" fillId="0" borderId="2" xfId="7" applyFont="1" applyBorder="1" applyAlignment="1">
      <alignment horizontal="left" vertical="center" wrapText="1"/>
    </xf>
    <xf numFmtId="0" fontId="38" fillId="7" borderId="2" xfId="7" applyFont="1" applyFill="1" applyBorder="1" applyAlignment="1">
      <alignment horizontal="center" vertical="center"/>
    </xf>
    <xf numFmtId="0" fontId="38" fillId="0" borderId="2" xfId="7" applyFont="1" applyBorder="1" applyAlignment="1">
      <alignment horizontal="left" vertical="center"/>
    </xf>
    <xf numFmtId="0" fontId="10" fillId="0" borderId="2" xfId="7" applyFont="1" applyBorder="1" applyAlignment="1">
      <alignment horizontal="center" vertical="center"/>
    </xf>
    <xf numFmtId="0" fontId="1" fillId="0" borderId="2" xfId="7" applyFont="1" applyBorder="1" applyAlignment="1">
      <alignment vertical="center"/>
    </xf>
    <xf numFmtId="0" fontId="41" fillId="0" borderId="2" xfId="7" applyFont="1" applyBorder="1" applyAlignment="1">
      <alignment horizontal="center" vertical="center" wrapText="1"/>
    </xf>
    <xf numFmtId="0" fontId="1" fillId="0" borderId="2" xfId="7" applyFont="1" applyBorder="1" applyAlignment="1">
      <alignment horizontal="center" vertical="center" wrapText="1"/>
    </xf>
    <xf numFmtId="0" fontId="8" fillId="0" borderId="2" xfId="7" applyFont="1" applyBorder="1" applyAlignment="1">
      <alignment horizontal="center" vertical="center"/>
    </xf>
    <xf numFmtId="0" fontId="1" fillId="0" borderId="2" xfId="7" applyFont="1" applyBorder="1" applyAlignment="1">
      <alignment horizontal="center" vertical="center"/>
    </xf>
    <xf numFmtId="0" fontId="20" fillId="0" borderId="2" xfId="7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  <xf numFmtId="15" fontId="37" fillId="0" borderId="0" xfId="0" applyNumberFormat="1" applyFont="1" applyAlignment="1">
      <alignment horizontal="center"/>
    </xf>
    <xf numFmtId="22" fontId="37" fillId="0" borderId="0" xfId="0" applyNumberFormat="1" applyFont="1" applyAlignment="1">
      <alignment horizontal="center"/>
    </xf>
    <xf numFmtId="0" fontId="1" fillId="7" borderId="12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15" fontId="13" fillId="0" borderId="0" xfId="0" applyNumberFormat="1" applyFont="1" applyAlignment="1">
      <alignment horizontal="center"/>
    </xf>
    <xf numFmtId="22" fontId="13" fillId="0" borderId="0" xfId="0" applyNumberFormat="1" applyFont="1" applyAlignment="1">
      <alignment horizontal="center"/>
    </xf>
    <xf numFmtId="15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42" fillId="16" borderId="2" xfId="0" applyFont="1" applyFill="1" applyBorder="1" applyAlignment="1">
      <alignment horizontal="center" vertical="center" wrapText="1"/>
    </xf>
    <xf numFmtId="0" fontId="42" fillId="16" borderId="21" xfId="0" applyFont="1" applyFill="1" applyBorder="1" applyAlignment="1">
      <alignment horizontal="center" vertical="center" wrapText="1"/>
    </xf>
    <xf numFmtId="0" fontId="43" fillId="3" borderId="2" xfId="0" applyFont="1" applyFill="1" applyBorder="1" applyAlignment="1">
      <alignment horizontal="center" vertical="center" wrapText="1"/>
    </xf>
    <xf numFmtId="0" fontId="43" fillId="3" borderId="4" xfId="0" applyFont="1" applyFill="1" applyBorder="1" applyAlignment="1">
      <alignment horizontal="center" vertical="center" wrapText="1"/>
    </xf>
    <xf numFmtId="0" fontId="44" fillId="17" borderId="40" xfId="0" applyFont="1" applyFill="1" applyBorder="1" applyAlignment="1">
      <alignment horizontal="center" vertical="center" wrapText="1"/>
    </xf>
    <xf numFmtId="0" fontId="44" fillId="17" borderId="41" xfId="0" applyFont="1" applyFill="1" applyBorder="1" applyAlignment="1">
      <alignment horizontal="center" vertical="center" wrapText="1"/>
    </xf>
    <xf numFmtId="0" fontId="44" fillId="17" borderId="32" xfId="0" applyFont="1" applyFill="1" applyBorder="1" applyAlignment="1">
      <alignment horizontal="center" vertical="center" wrapText="1"/>
    </xf>
    <xf numFmtId="0" fontId="44" fillId="18" borderId="40" xfId="0" applyFont="1" applyFill="1" applyBorder="1" applyAlignment="1">
      <alignment horizontal="center" vertical="center" wrapText="1"/>
    </xf>
    <xf numFmtId="0" fontId="44" fillId="18" borderId="41" xfId="0" applyFont="1" applyFill="1" applyBorder="1" applyAlignment="1">
      <alignment horizontal="center" vertical="center" wrapText="1"/>
    </xf>
    <xf numFmtId="0" fontId="44" fillId="18" borderId="32" xfId="0" applyFont="1" applyFill="1" applyBorder="1" applyAlignment="1">
      <alignment horizontal="center" vertical="center" wrapText="1"/>
    </xf>
    <xf numFmtId="0" fontId="43" fillId="17" borderId="42" xfId="0" applyFont="1" applyFill="1" applyBorder="1" applyAlignment="1">
      <alignment horizontal="center" vertical="center" wrapText="1"/>
    </xf>
    <xf numFmtId="0" fontId="46" fillId="17" borderId="9" xfId="8" applyFont="1" applyFill="1" applyBorder="1" applyAlignment="1" applyProtection="1">
      <alignment horizontal="center" vertical="center" wrapText="1"/>
    </xf>
    <xf numFmtId="0" fontId="46" fillId="17" borderId="10" xfId="8" applyFont="1" applyFill="1" applyBorder="1" applyAlignment="1" applyProtection="1">
      <alignment horizontal="center" vertical="center" wrapText="1"/>
    </xf>
    <xf numFmtId="0" fontId="46" fillId="17" borderId="11" xfId="8" applyFont="1" applyFill="1" applyBorder="1" applyAlignment="1" applyProtection="1">
      <alignment horizontal="center" vertical="center" wrapText="1"/>
    </xf>
    <xf numFmtId="0" fontId="1" fillId="7" borderId="43" xfId="0" applyFont="1" applyFill="1" applyBorder="1" applyAlignment="1">
      <alignment horizontal="center" vertical="center" wrapText="1"/>
    </xf>
    <xf numFmtId="0" fontId="43" fillId="18" borderId="30" xfId="0" applyFont="1" applyFill="1" applyBorder="1" applyAlignment="1">
      <alignment horizontal="center" vertical="center" wrapText="1"/>
    </xf>
    <xf numFmtId="0" fontId="46" fillId="18" borderId="31" xfId="8" applyFont="1" applyFill="1" applyBorder="1" applyAlignment="1" applyProtection="1">
      <alignment horizontal="center" vertical="center" wrapText="1"/>
    </xf>
    <xf numFmtId="0" fontId="46" fillId="7" borderId="32" xfId="8" applyFont="1" applyFill="1" applyBorder="1" applyAlignment="1" applyProtection="1">
      <alignment horizontal="center" vertical="center" wrapText="1"/>
    </xf>
    <xf numFmtId="0" fontId="1" fillId="18" borderId="43" xfId="0" applyFont="1" applyFill="1" applyBorder="1" applyAlignment="1">
      <alignment horizontal="center" vertical="center" wrapText="1"/>
    </xf>
    <xf numFmtId="0" fontId="43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17" borderId="44" xfId="0" applyFont="1" applyFill="1" applyBorder="1" applyAlignment="1">
      <alignment horizontal="center" vertical="center" wrapText="1"/>
    </xf>
    <xf numFmtId="0" fontId="2" fillId="17" borderId="9" xfId="0" applyFont="1" applyFill="1" applyBorder="1" applyAlignment="1">
      <alignment horizontal="center" vertical="center" wrapText="1"/>
    </xf>
    <xf numFmtId="0" fontId="2" fillId="17" borderId="10" xfId="0" applyFont="1" applyFill="1" applyBorder="1" applyAlignment="1">
      <alignment horizontal="center" vertical="center" wrapText="1"/>
    </xf>
    <xf numFmtId="0" fontId="2" fillId="17" borderId="11" xfId="0" applyFont="1" applyFill="1" applyBorder="1" applyAlignment="1">
      <alignment horizontal="center" vertical="center" wrapText="1"/>
    </xf>
    <xf numFmtId="0" fontId="2" fillId="7" borderId="45" xfId="0" applyFont="1" applyFill="1" applyBorder="1" applyAlignment="1">
      <alignment horizontal="center" vertical="center" wrapText="1"/>
    </xf>
    <xf numFmtId="0" fontId="2" fillId="18" borderId="17" xfId="0" applyFont="1" applyFill="1" applyBorder="1" applyAlignment="1">
      <alignment horizontal="center" vertical="center" wrapText="1"/>
    </xf>
    <xf numFmtId="0" fontId="43" fillId="18" borderId="19" xfId="0" applyFont="1" applyFill="1" applyBorder="1" applyAlignment="1">
      <alignment horizontal="center" vertical="center" wrapText="1"/>
    </xf>
    <xf numFmtId="0" fontId="43" fillId="7" borderId="45" xfId="0" applyFont="1" applyFill="1" applyBorder="1" applyAlignment="1">
      <alignment horizontal="center" vertical="center" wrapText="1"/>
    </xf>
    <xf numFmtId="0" fontId="8" fillId="18" borderId="45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0" fontId="9" fillId="10" borderId="5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10" borderId="46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3" fontId="0" fillId="0" borderId="0" xfId="0" applyNumberFormat="1"/>
  </cellXfs>
  <cellStyles count="9">
    <cellStyle name="Comma" xfId="5" builtinId="3"/>
    <cellStyle name="Hyperlink" xfId="8" builtinId="8"/>
    <cellStyle name="Normal" xfId="0" builtinId="0"/>
    <cellStyle name="Normal 2" xfId="4"/>
    <cellStyle name="Normal 2 2 2" xfId="3"/>
    <cellStyle name="Normal 2 2 2 2" xfId="1"/>
    <cellStyle name="Normal 2 2 2 5" xfId="2"/>
    <cellStyle name="Normal 2 2 3" xfId="7"/>
    <cellStyle name="Percent" xfId="6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numFmt numFmtId="0" formatCode="General"/>
    </dxf>
    <dxf>
      <fill>
        <patternFill patternType="solid">
          <fgColor indexed="64"/>
          <bgColor theme="3" tint="0.59999389629810485"/>
        </patternFill>
      </fill>
      <alignment horizontal="center" vertical="bottom" textRotation="0" wrapText="0" indent="0" justifyLastLine="0" shrinkToFit="0" readingOrder="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M-CWS-087\Desktop\YNDA%20VAS%20JUNE%2025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M-CWS-087\Desktop\YNDA%20VAS%20JUNE%2025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5855.493658449072" createdVersion="5" refreshedVersion="5" minRefreshableVersion="3" recordCount="109">
  <cacheSource type="worksheet">
    <worksheetSource ref="A1:X110" sheet="VAS RAW" r:id="rId2"/>
  </cacheSource>
  <cacheFields count="24">
    <cacheField name="Dealer Name" numFmtId="0">
      <sharedItems/>
    </cacheField>
    <cacheField name=" Dealer City" numFmtId="0">
      <sharedItems/>
    </cacheField>
    <cacheField name=" Location" numFmtId="0">
      <sharedItems/>
    </cacheField>
    <cacheField name=" Labour Code" numFmtId="0">
      <sharedItems/>
    </cacheField>
    <cacheField name=" Labour Desc" numFmtId="0">
      <sharedItems/>
    </cacheField>
    <cacheField name=" Service Adviso" numFmtId="0">
      <sharedItems count="3">
        <s v="MUCHI PRASANTH"/>
        <s v="REDDI RAMU"/>
        <s v="RAMESHREDDY P"/>
      </sharedItems>
    </cacheField>
    <cacheField name="100" numFmtId="0">
      <sharedItems containsSemiMixedTypes="0" containsString="0" containsNumber="1" containsInteger="1" minValue="0" maxValue="225"/>
    </cacheField>
    <cacheField name="70" numFmtId="0">
      <sharedItems containsSemiMixedTypes="0" containsString="0" containsNumber="1" minValue="0" maxValue="157.5"/>
    </cacheField>
    <cacheField name="30" numFmtId="0">
      <sharedItems containsSemiMixedTypes="0" containsString="0" containsNumber="1" minValue="0" maxValue="67.5"/>
    </cacheField>
    <cacheField name="VAS" numFmtId="0">
      <sharedItems containsSemiMixedTypes="0" containsString="0" containsNumber="1" containsInteger="1" minValue="0" maxValue="2"/>
    </cacheField>
    <cacheField name="MGA" numFmtId="0">
      <sharedItems containsSemiMixedTypes="0" containsString="0" containsNumber="1" containsInteger="1" minValue="0" maxValue="50"/>
    </cacheField>
    <cacheField name="VAS CO" numFmtId="0">
      <sharedItems containsSemiMixedTypes="0" containsString="0" containsNumber="1" containsInteger="1" minValue="0" maxValue="30"/>
    </cacheField>
    <cacheField name=" Jc Num" numFmtId="0">
      <sharedItems/>
    </cacheField>
    <cacheField name=" Jc Date" numFmtId="15">
      <sharedItems containsSemiMixedTypes="0" containsNonDate="0" containsDate="1" containsString="0" minDate="2025-05-29T00:00:00" maxDate="2025-07-01T00:00:00"/>
    </cacheField>
    <cacheField name=" Customer Name" numFmtId="0">
      <sharedItems/>
    </cacheField>
    <cacheField name=" Registration No" numFmtId="0">
      <sharedItems/>
    </cacheField>
    <cacheField name=" Model" numFmtId="0">
      <sharedItems/>
    </cacheField>
    <cacheField name=" Bill No" numFmtId="0">
      <sharedItems/>
    </cacheField>
    <cacheField name=" Bill Date" numFmtId="15">
      <sharedItems containsSemiMixedTypes="0" containsNonDate="0" containsDate="1" containsString="0" minDate="2025-06-01T00:00:00" maxDate="2025-07-01T00:00:00"/>
    </cacheField>
    <cacheField name=" Bill Desc" numFmtId="0">
      <sharedItems/>
    </cacheField>
    <cacheField name=" Basic Amt" numFmtId="0">
      <sharedItems containsSemiMixedTypes="0" containsString="0" containsNumber="1" minValue="100" maxValue="15000"/>
    </cacheField>
    <cacheField name=" Discount Amt" numFmtId="0">
      <sharedItems containsSemiMixedTypes="0" containsString="0" containsNumber="1" containsInteger="1" minValue="0" maxValue="255"/>
    </cacheField>
    <cacheField name=" Charges Amt" numFmtId="0">
      <sharedItems containsSemiMixedTypes="0" containsString="0" containsNumber="1" minValue="0" maxValue="2700"/>
    </cacheField>
    <cacheField name=" Bill Amt" numFmtId="0">
      <sharedItems containsSemiMixedTypes="0" containsString="0" containsNumber="1" minValue="118" maxValue="177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uthor" refreshedDate="45855.499934259256" createdVersion="5" refreshedVersion="5" minRefreshableVersion="3" recordCount="2">
  <cacheSource type="worksheet">
    <worksheetSource ref="U5:V7" sheet="MCP" r:id="rId2"/>
  </cacheSource>
  <cacheFields count="2">
    <cacheField name=" Executive" numFmtId="0">
      <sharedItems count="2">
        <s v="RAMESHREDDY P"/>
        <s v="MUCHI PRASANTH"/>
      </sharedItems>
    </cacheField>
    <cacheField name="AMOUNT" numFmtId="0">
      <sharedItems containsSemiMixedTypes="0" containsString="0" containsNumber="1" containsInteger="1" minValue="10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9">
  <r>
    <s v="VARUN MOTORS PVT LTD"/>
    <s v="VISAKHAPATNAM"/>
    <s v="YENDADA-2S"/>
    <s v="ZA09L1"/>
    <s v="STONE GUARD COATING"/>
    <x v="0"/>
    <n v="130"/>
    <n v="91"/>
    <n v="39"/>
    <n v="0"/>
    <n v="50"/>
    <n v="0"/>
    <s v="JC25000474"/>
    <d v="2025-06-02T00:00:00"/>
    <s v="M/S SAI LAKSHMI  HANUMANSETTY"/>
    <s v="AP31DW9709"/>
    <s v="MARUTI BALENO PETROL"/>
    <s v="BR/25000476"/>
    <d v="2025-06-04T00:00:00"/>
    <s v="Customer"/>
    <n v="1300"/>
    <n v="0"/>
    <n v="234"/>
    <n v="1534"/>
  </r>
  <r>
    <s v="VARUN MOTORS PVT LTD"/>
    <s v="VISAKHAPATNAM"/>
    <s v="YENDADA-2S"/>
    <s v="ZA09L1"/>
    <s v="STONE GUARD COATING"/>
    <x v="1"/>
    <n v="130"/>
    <n v="91"/>
    <n v="39"/>
    <n v="0"/>
    <n v="50"/>
    <n v="0"/>
    <s v="JC25000491"/>
    <d v="2025-06-03T00:00:00"/>
    <s v="MR SADHANALA ROOPANAND"/>
    <s v="TEMPA03012"/>
    <s v="NEW BALENO"/>
    <s v="BR/25000473"/>
    <d v="2025-06-03T00:00:00"/>
    <s v="Customer"/>
    <n v="1300"/>
    <n v="0"/>
    <n v="234"/>
    <n v="1534"/>
  </r>
  <r>
    <s v="VARUN MOTORS PVT LTD"/>
    <s v="VISAKHAPATNAM"/>
    <s v="YENDADA-2S"/>
    <s v="ZA09L1"/>
    <s v="STONE GUARD COATING"/>
    <x v="2"/>
    <n v="130"/>
    <n v="91"/>
    <n v="39"/>
    <n v="0"/>
    <n v="50"/>
    <n v="0"/>
    <s v="JC25000515"/>
    <d v="2025-06-06T00:00:00"/>
    <s v="MR SOPETI VENU GOPAL"/>
    <s v="AP39RQ2637"/>
    <s v="NEW WAGON R 1.2L PETROL"/>
    <s v="BR/25000491"/>
    <d v="2025-06-06T00:00:00"/>
    <s v="Customer"/>
    <n v="1300"/>
    <n v="0"/>
    <n v="234"/>
    <n v="1534"/>
  </r>
  <r>
    <s v="VARUN MOTORS PVT LTD"/>
    <s v="VISAKHAPATNAM"/>
    <s v="YENDADA-2S"/>
    <s v="ZA09L1"/>
    <s v="STONE GUARD COATING"/>
    <x v="2"/>
    <n v="130"/>
    <n v="91"/>
    <n v="39"/>
    <n v="0"/>
    <n v="50"/>
    <n v="0"/>
    <s v="JC25000517"/>
    <d v="2025-06-06T00:00:00"/>
    <s v="MR SATYARAJU B"/>
    <s v="AP39SP2499"/>
    <s v="NEW BREZZA"/>
    <s v="BR/25000497"/>
    <d v="2025-06-06T00:00:00"/>
    <s v="Customer"/>
    <n v="1300"/>
    <n v="0"/>
    <n v="234"/>
    <n v="1534"/>
  </r>
  <r>
    <s v="VARUN MOTORS PVT LTD"/>
    <s v="VISAKHAPATNAM"/>
    <s v="YENDADA-2S"/>
    <s v="ZA09L1"/>
    <s v="STONE GUARD COATING"/>
    <x v="2"/>
    <n v="130"/>
    <n v="91"/>
    <n v="39"/>
    <n v="0"/>
    <n v="50"/>
    <n v="0"/>
    <s v="JC25000535"/>
    <d v="2025-06-07T00:00:00"/>
    <s v="MR GSATYA NARAYANA"/>
    <s v="AP35AD9889"/>
    <s v="CELERIO"/>
    <s v="BR/25000508"/>
    <d v="2025-06-07T00:00:00"/>
    <s v="Customer"/>
    <n v="1300"/>
    <n v="0"/>
    <n v="234"/>
    <n v="1534"/>
  </r>
  <r>
    <s v="VARUN MOTORS PVT LTD"/>
    <s v="VISAKHAPATNAM"/>
    <s v="YENDADA-2S"/>
    <s v="ZA09L1"/>
    <s v="STONE GUARD COATING"/>
    <x v="2"/>
    <n v="130"/>
    <n v="91"/>
    <n v="39"/>
    <n v="0"/>
    <n v="50"/>
    <n v="0"/>
    <s v="JC25000572"/>
    <d v="2025-06-13T00:00:00"/>
    <s v="MR ARIKA BOSU BABU"/>
    <s v="AP31DA6180"/>
    <s v="WAGON-R NEW"/>
    <s v="BR/25000551"/>
    <d v="2025-06-13T00:00:00"/>
    <s v="Customer"/>
    <n v="1300"/>
    <n v="0"/>
    <n v="234"/>
    <n v="1534"/>
  </r>
  <r>
    <s v="VARUN MOTORS PVT LTD"/>
    <s v="VISAKHAPATNAM"/>
    <s v="YENDADA-2S"/>
    <s v="ZA09L1"/>
    <s v="STONE GUARD COATING"/>
    <x v="0"/>
    <n v="130"/>
    <n v="91"/>
    <n v="39"/>
    <n v="0"/>
    <n v="50"/>
    <n v="0"/>
    <s v="JC25000578"/>
    <d v="2025-06-14T00:00:00"/>
    <s v="MR ALCHEMAS ENGINEERING"/>
    <s v="AP31EA0353"/>
    <s v="MARUTI BALENO PETROL"/>
    <s v="BR/25000567"/>
    <d v="2025-06-16T00:00:00"/>
    <s v="Customer"/>
    <n v="1300"/>
    <n v="0"/>
    <n v="234"/>
    <n v="1534"/>
  </r>
  <r>
    <s v="VARUN MOTORS PVT LTD"/>
    <s v="VISAKHAPATNAM"/>
    <s v="YENDADA-2S"/>
    <s v="ZA09L1"/>
    <s v="STONE GUARD COATING"/>
    <x v="0"/>
    <n v="130"/>
    <n v="91"/>
    <n v="39"/>
    <n v="0"/>
    <n v="50"/>
    <n v="0"/>
    <s v="JC25000584"/>
    <d v="2025-06-14T00:00:00"/>
    <s v="MR VALLAM KARTHIK CHANDRA"/>
    <s v="AP39SB6423"/>
    <s v="MARUTI GRAND VITARA Strong Hybrid"/>
    <s v="BR/25000560"/>
    <d v="2025-06-14T00:00:00"/>
    <s v="Customer"/>
    <n v="1300"/>
    <n v="0"/>
    <n v="234"/>
    <n v="1534"/>
  </r>
  <r>
    <s v="VARUN MOTORS PVT LTD"/>
    <s v="VISAKHAPATNAM"/>
    <s v="YENDADA-2S"/>
    <s v="ZA09L1"/>
    <s v="STONE GUARD COATING"/>
    <x v="2"/>
    <n v="130"/>
    <n v="91"/>
    <n v="39"/>
    <n v="0"/>
    <n v="50"/>
    <n v="0"/>
    <s v="JC25000589"/>
    <d v="2025-06-14T00:00:00"/>
    <s v="MRS THAVDU LINGALA"/>
    <s v="AP31DT0912"/>
    <s v="MARUTI BALENO DIESEL"/>
    <s v="BR/25000561"/>
    <d v="2025-06-14T00:00:00"/>
    <s v="Customer"/>
    <n v="1300"/>
    <n v="0"/>
    <n v="234"/>
    <n v="1534"/>
  </r>
  <r>
    <s v="VARUN MOTORS PVT LTD"/>
    <s v="VISAKHAPATNAM"/>
    <s v="YENDADA-2S"/>
    <s v="ZA09L1"/>
    <s v="STONE GUARD COATING"/>
    <x v="2"/>
    <n v="130"/>
    <n v="91"/>
    <n v="39"/>
    <n v="0"/>
    <n v="50"/>
    <n v="0"/>
    <s v="JC25000598"/>
    <d v="2025-06-17T00:00:00"/>
    <s v="MR KROVI  MAHANTH"/>
    <s v="AP16DD7907"/>
    <s v="MARUTI BALENO PETROL"/>
    <s v="BR/25000578"/>
    <d v="2025-06-17T00:00:00"/>
    <s v="Customer"/>
    <n v="1300"/>
    <n v="0"/>
    <n v="234"/>
    <n v="1534"/>
  </r>
  <r>
    <s v="VARUN MOTORS PVT LTD"/>
    <s v="VISAKHAPATNAM"/>
    <s v="YENDADA-2S"/>
    <s v="ZA09L1"/>
    <s v="STONE GUARD COATING"/>
    <x v="0"/>
    <n v="130"/>
    <n v="91"/>
    <n v="39"/>
    <n v="0"/>
    <n v="50"/>
    <n v="0"/>
    <s v="JC25000702"/>
    <d v="2025-06-28T00:00:00"/>
    <s v="MR S SASIDHAR"/>
    <s v="DL2CAS3588"/>
    <s v="WAGON-R NEW"/>
    <s v="BR/25000676"/>
    <d v="2025-06-28T00:00:00"/>
    <s v="Customer"/>
    <n v="1300"/>
    <n v="0"/>
    <n v="234"/>
    <n v="1534"/>
  </r>
  <r>
    <s v="VARUN MOTORS PVT LTD"/>
    <s v="VISAKHAPATNAM"/>
    <s v="YENDADA-2S"/>
    <s v="ZA09L1"/>
    <s v="STONE GUARD COATING"/>
    <x v="0"/>
    <n v="130"/>
    <n v="91"/>
    <n v="39"/>
    <n v="0"/>
    <n v="50"/>
    <n v="0"/>
    <s v="JC25000708"/>
    <d v="2025-06-28T00:00:00"/>
    <s v="MR P GOWRI SANKAR"/>
    <s v="AP31ET7696"/>
    <s v="MARUTI BALENO PETROL"/>
    <s v="BR/25000677"/>
    <d v="2025-06-28T00:00:00"/>
    <s v="Customer"/>
    <n v="1300"/>
    <n v="0"/>
    <n v="234"/>
    <n v="1534"/>
  </r>
  <r>
    <s v="VARUN MOTORS PVT LTD"/>
    <s v="VISAKHAPATNAM"/>
    <s v="YENDADA-2S"/>
    <s v="ZA09L1"/>
    <s v="STONE GUARD COATING"/>
    <x v="1"/>
    <n v="130"/>
    <n v="91"/>
    <n v="39"/>
    <n v="0"/>
    <n v="50"/>
    <n v="0"/>
    <s v="JC25000711"/>
    <d v="2025-06-28T00:00:00"/>
    <s v="MR SALAGRAMA SUBRAHMANYAM"/>
    <s v="AP39SH9818"/>
    <s v="NEW WAGON R 1.2L PETROL"/>
    <s v="BR/25000672"/>
    <d v="2025-06-28T00:00:00"/>
    <s v="Customer"/>
    <n v="1300"/>
    <n v="0"/>
    <n v="234"/>
    <n v="1534"/>
  </r>
  <r>
    <s v="VARUN MOTORS PVT LTD"/>
    <s v="VISAKHAPATNAM"/>
    <s v="YENDADA-2S"/>
    <s v="ZA09L1"/>
    <s v="STONE GUARD COATING"/>
    <x v="2"/>
    <n v="130"/>
    <n v="91"/>
    <n v="39"/>
    <n v="0"/>
    <n v="50"/>
    <n v="0"/>
    <s v="JC25000726"/>
    <d v="2025-06-30T00:00:00"/>
    <s v="MRS YASHMIN BANU"/>
    <s v="AP40FE2094"/>
    <s v="NEW BALENO"/>
    <s v="BR/25000702"/>
    <d v="2025-06-30T00:00:00"/>
    <s v="Customer"/>
    <n v="1300"/>
    <n v="0"/>
    <n v="234"/>
    <n v="1534"/>
  </r>
  <r>
    <s v="VARUN MOTORS PVT LTD"/>
    <s v="VISAKHAPATNAM"/>
    <s v="YENDADA-2S"/>
    <s v="ZA21L0"/>
    <s v="THROTTLE BODY CLEANING "/>
    <x v="2"/>
    <n v="25"/>
    <n v="17.5"/>
    <n v="7.5"/>
    <n v="2"/>
    <n v="0"/>
    <n v="0"/>
    <s v="JC25000647"/>
    <d v="2025-06-22T00:00:00"/>
    <s v="MRS JYOTHI KRISHNA SASAPU"/>
    <s v="AP11AU4193"/>
    <s v="SWIFT NEW / DZIRE NEW PETROL"/>
    <s v="BR/25000618"/>
    <d v="2025-06-22T00:00:00"/>
    <s v="Customer"/>
    <n v="250"/>
    <n v="0"/>
    <n v="45"/>
    <n v="295"/>
  </r>
  <r>
    <s v="VARUN MOTORS PVT LTD"/>
    <s v="VISAKHAPATNAM"/>
    <s v="YENDADA-2S"/>
    <s v="ZA21L0"/>
    <s v="THROTTLE BODY CLEANING "/>
    <x v="2"/>
    <n v="25"/>
    <n v="17.5"/>
    <n v="7.5"/>
    <n v="2"/>
    <n v="0"/>
    <n v="0"/>
    <s v="JC25000691"/>
    <d v="2025-06-26T00:00:00"/>
    <s v="MRS P UMA SATYAVATHI"/>
    <s v="AP39AA9664"/>
    <s v="NEW SWIFT DIESEL"/>
    <s v="BR/25000656"/>
    <d v="2025-06-26T00:00:00"/>
    <s v="Customer"/>
    <n v="150"/>
    <n v="0"/>
    <n v="27"/>
    <n v="177"/>
  </r>
  <r>
    <s v="VARUN MOTORS PVT LTD"/>
    <s v="VISAKHAPATNAM"/>
    <s v="YENDADA-2S"/>
    <s v="ZA26L0"/>
    <s v="UPHOLSTERY CLEANING"/>
    <x v="2"/>
    <n v="85"/>
    <n v="59.499999999999993"/>
    <n v="25.5"/>
    <n v="0"/>
    <n v="15"/>
    <n v="0"/>
    <s v="JC25000598"/>
    <d v="2025-06-17T00:00:00"/>
    <s v="MR KROVI  MAHANTH"/>
    <s v="AP16DD7907"/>
    <s v="MARUTI BALENO PETROL"/>
    <s v="BR/25000578"/>
    <d v="2025-06-17T00:00:00"/>
    <s v="Customer"/>
    <n v="850"/>
    <n v="0"/>
    <n v="153"/>
    <n v="1003"/>
  </r>
  <r>
    <s v="VARUN MOTORS PVT LTD"/>
    <s v="VISAKHAPATNAM"/>
    <s v="YENDADA-2S"/>
    <s v="ZA26L0"/>
    <s v="UPHOLSTERY CLEANING"/>
    <x v="2"/>
    <n v="85"/>
    <n v="59.499999999999993"/>
    <n v="25.5"/>
    <n v="0"/>
    <n v="15"/>
    <n v="0"/>
    <s v="JC25000707"/>
    <d v="2025-06-28T00:00:00"/>
    <s v="MRS SARIPALLI SARASWATHI"/>
    <s v="AP31EV3711"/>
    <s v="NEW SWIFT PETROL"/>
    <s v="BR/25000683"/>
    <d v="2025-06-29T00:00:00"/>
    <s v="Customer"/>
    <n v="750"/>
    <n v="0"/>
    <n v="135"/>
    <n v="885"/>
  </r>
  <r>
    <s v="VARUN MOTORS PVT LTD"/>
    <s v="VISAKHAPATNAM"/>
    <s v="YENDADA-2S"/>
    <s v="ZA26L0"/>
    <s v="UPHOLSTERY CLEANING"/>
    <x v="2"/>
    <n v="85"/>
    <n v="59.499999999999993"/>
    <n v="25.5"/>
    <n v="0"/>
    <n v="15"/>
    <n v="0"/>
    <s v="JC25000709"/>
    <d v="2025-06-28T00:00:00"/>
    <s v="MRS KOLLI  KASULAMMA"/>
    <s v="AP39BZ4199"/>
    <s v="MARUTI BALENO PETROL"/>
    <s v="BR/25000673"/>
    <d v="2025-06-28T00:00:00"/>
    <s v="Customer"/>
    <n v="750"/>
    <n v="0"/>
    <n v="135"/>
    <n v="885"/>
  </r>
  <r>
    <s v="VARUN MOTORS PVT LTD"/>
    <s v="VISAKHAPATNAM"/>
    <s v="YENDADA-2S"/>
    <s v="ZA26L01"/>
    <s v="UPHOLSTERY CLEANING (ONLY SEATS)"/>
    <x v="2"/>
    <n v="65"/>
    <n v="45.5"/>
    <n v="19.5"/>
    <n v="0"/>
    <n v="10"/>
    <n v="0"/>
    <s v="JC25000523"/>
    <d v="2025-06-06T00:00:00"/>
    <s v="MRS MARUTI TRUE VALUE"/>
    <s v="AP39NK1064"/>
    <s v="S-PRESSO BIFUEL CNG"/>
    <s v="BR/25000499"/>
    <d v="2025-06-06T00:00:00"/>
    <s v="Customer"/>
    <n v="550"/>
    <n v="0"/>
    <n v="0"/>
    <n v="550"/>
  </r>
  <r>
    <s v="VARUN MOTORS PVT LTD"/>
    <s v="VISAKHAPATNAM"/>
    <s v="YENDADA-2S"/>
    <s v="ZA26L01"/>
    <s v="UPHOLSTERY CLEANING (ONLY SEATS)"/>
    <x v="2"/>
    <n v="65"/>
    <n v="45.5"/>
    <n v="19.5"/>
    <n v="0"/>
    <n v="10"/>
    <n v="0"/>
    <s v="JC25000532"/>
    <d v="2025-06-07T00:00:00"/>
    <s v="MR CHALLA  SURYANARAYANA"/>
    <s v="TS07HP3026"/>
    <s v="NEW SWIFT PETROL"/>
    <s v="BR/25000506"/>
    <d v="2025-06-07T00:00:00"/>
    <s v="Customer"/>
    <n v="550"/>
    <n v="0"/>
    <n v="99"/>
    <n v="649"/>
  </r>
  <r>
    <s v="VARUN MOTORS PVT LTD"/>
    <s v="VISAKHAPATNAM"/>
    <s v="YENDADA-2S"/>
    <s v="ZA26L01"/>
    <s v="UPHOLSTERY CLEANING (ONLY SEATS)"/>
    <x v="0"/>
    <n v="65"/>
    <n v="45.5"/>
    <n v="19.5"/>
    <n v="0"/>
    <n v="10"/>
    <n v="0"/>
    <s v="JC25000545"/>
    <d v="2025-06-09T00:00:00"/>
    <s v="MR ALLURI RAGHU VARMA"/>
    <s v="AP40AW1515"/>
    <s v="Fronx Domestic P74"/>
    <s v="BR/25000519"/>
    <d v="2025-06-09T00:00:00"/>
    <s v="Customer"/>
    <n v="550"/>
    <n v="0"/>
    <n v="99"/>
    <n v="649"/>
  </r>
  <r>
    <s v="VARUN MOTORS PVT LTD"/>
    <s v="VISAKHAPATNAM"/>
    <s v="YENDADA-2S"/>
    <s v="ZA26L01"/>
    <s v="UPHOLSTERY CLEANING (ONLY SEATS)"/>
    <x v="2"/>
    <n v="65"/>
    <n v="45.5"/>
    <n v="19.5"/>
    <n v="0"/>
    <n v="10"/>
    <n v="0"/>
    <s v="JC25000553"/>
    <d v="2025-06-10T00:00:00"/>
    <s v="MRS S SUHASINI"/>
    <s v="AP31BR9738"/>
    <s v="RITZ"/>
    <s v="BR/25000527"/>
    <d v="2025-06-10T00:00:00"/>
    <s v="Customer"/>
    <n v="550"/>
    <n v="0"/>
    <n v="99"/>
    <n v="649"/>
  </r>
  <r>
    <s v="VARUN MOTORS PVT LTD"/>
    <s v="VISAKHAPATNAM"/>
    <s v="YENDADA-2S"/>
    <s v="ZA26L01"/>
    <s v="UPHOLSTERY CLEANING (ONLY SEATS)"/>
    <x v="0"/>
    <n v="65"/>
    <n v="45.5"/>
    <n v="19.5"/>
    <n v="0"/>
    <n v="10"/>
    <n v="0"/>
    <s v="JC25000578"/>
    <d v="2025-06-14T00:00:00"/>
    <s v="MR ALCHEMAS ENGINEERING"/>
    <s v="AP31EA0353"/>
    <s v="MARUTI BALENO PETROL"/>
    <s v="BR/25000567"/>
    <d v="2025-06-16T00:00:00"/>
    <s v="Customer"/>
    <n v="550"/>
    <n v="0"/>
    <n v="99"/>
    <n v="649"/>
  </r>
  <r>
    <s v="VARUN MOTORS PVT LTD"/>
    <s v="VISAKHAPATNAM"/>
    <s v="YENDADA-2S"/>
    <s v="ZA26L01"/>
    <s v="UPHOLSTERY CLEANING (ONLY SEATS)"/>
    <x v="0"/>
    <n v="65"/>
    <n v="45.5"/>
    <n v="19.5"/>
    <n v="0"/>
    <n v="10"/>
    <n v="0"/>
    <s v="JC25000584"/>
    <d v="2025-06-14T00:00:00"/>
    <s v="MR VALLAM KARTHIK CHANDRA"/>
    <s v="AP39SB6423"/>
    <s v="MARUTI GRAND VITARA Strong Hybrid"/>
    <s v="BR/25000560"/>
    <d v="2025-06-14T00:00:00"/>
    <s v="Customer"/>
    <n v="550"/>
    <n v="0"/>
    <n v="99"/>
    <n v="649"/>
  </r>
  <r>
    <s v="VARUN MOTORS PVT LTD"/>
    <s v="VISAKHAPATNAM"/>
    <s v="YENDADA-2S"/>
    <s v="ZA26L01"/>
    <s v="UPHOLSTERY CLEANING (ONLY SEATS)"/>
    <x v="0"/>
    <n v="65"/>
    <n v="45.5"/>
    <n v="19.5"/>
    <n v="0"/>
    <n v="10"/>
    <n v="0"/>
    <s v="JC25000592"/>
    <d v="2025-06-16T00:00:00"/>
    <s v="MR UPPULURI KODANDARAMA"/>
    <s v="AP39SK6899"/>
    <s v="NEW BREZZA"/>
    <s v="BR/25000566"/>
    <d v="2025-06-16T00:00:00"/>
    <s v="Customer"/>
    <n v="550"/>
    <n v="0"/>
    <n v="99"/>
    <n v="649"/>
  </r>
  <r>
    <s v="VARUN MOTORS PVT LTD"/>
    <s v="VISAKHAPATNAM"/>
    <s v="YENDADA-2S"/>
    <s v="ZA26L01"/>
    <s v="UPHOLSTERY CLEANING (ONLY SEATS)"/>
    <x v="0"/>
    <n v="65"/>
    <n v="45.5"/>
    <n v="19.5"/>
    <n v="0"/>
    <n v="10"/>
    <n v="0"/>
    <s v="JC25000596"/>
    <d v="2025-06-17T00:00:00"/>
    <s v="MRS DASULLA JANAKI"/>
    <s v="AP30AE9884"/>
    <s v="WAGON-R NEW"/>
    <s v="BR/25000642"/>
    <d v="2025-06-25T00:00:00"/>
    <s v="Customer"/>
    <n v="550"/>
    <n v="0"/>
    <n v="99"/>
    <n v="649"/>
  </r>
  <r>
    <s v="VARUN MOTORS PVT LTD"/>
    <s v="VISAKHAPATNAM"/>
    <s v="YENDADA-2S"/>
    <s v="ZA26L01"/>
    <s v="UPHOLSTERY CLEANING (ONLY SEATS)"/>
    <x v="2"/>
    <n v="65"/>
    <n v="45.5"/>
    <n v="19.5"/>
    <n v="0"/>
    <n v="10"/>
    <n v="0"/>
    <s v="JC25000598"/>
    <d v="2025-06-17T00:00:00"/>
    <s v="MR KROVI  MAHANTH"/>
    <s v="AP16DD7907"/>
    <s v="MARUTI BALENO PETROL"/>
    <s v="BR/25000578"/>
    <d v="2025-06-17T00:00:00"/>
    <s v="Customer"/>
    <n v="550"/>
    <n v="0"/>
    <n v="99"/>
    <n v="649"/>
  </r>
  <r>
    <s v="VARUN MOTORS PVT LTD"/>
    <s v="VISAKHAPATNAM"/>
    <s v="YENDADA-2S"/>
    <s v="ZA26L01"/>
    <s v="UPHOLSTERY CLEANING (ONLY SEATS)"/>
    <x v="0"/>
    <n v="65"/>
    <n v="45.5"/>
    <n v="19.5"/>
    <n v="0"/>
    <n v="10"/>
    <n v="0"/>
    <s v="JC25000608"/>
    <d v="2025-06-17T00:00:00"/>
    <s v="MRS PAKALAPATI HAREESH VARMA"/>
    <s v="AP31EP6633"/>
    <s v="VITARA BREZZA 1.3D"/>
    <s v="BR/25000595"/>
    <d v="2025-06-19T00:00:00"/>
    <s v="Customer"/>
    <n v="550"/>
    <n v="0"/>
    <n v="99"/>
    <n v="649"/>
  </r>
  <r>
    <s v="VARUN MOTORS PVT LTD"/>
    <s v="VISAKHAPATNAM"/>
    <s v="YENDADA-2S"/>
    <s v="ZA26L01"/>
    <s v="UPHOLSTERY CLEANING (ONLY SEATS)"/>
    <x v="0"/>
    <n v="65"/>
    <n v="45.5"/>
    <n v="19.5"/>
    <n v="0"/>
    <n v="10"/>
    <n v="0"/>
    <s v="JC25000624"/>
    <d v="2025-06-19T00:00:00"/>
    <s v="MR KUNDRA KRISHNA VENI SANDHYARANI"/>
    <s v="AP31EV6799"/>
    <s v="NEW SWIFT PETROL"/>
    <s v="BR/25000593"/>
    <d v="2025-06-19T00:00:00"/>
    <s v="Customer"/>
    <n v="550"/>
    <n v="0"/>
    <n v="99"/>
    <n v="649"/>
  </r>
  <r>
    <s v="VARUN MOTORS PVT LTD"/>
    <s v="VISAKHAPATNAM"/>
    <s v="YENDADA-2S"/>
    <s v="ZA26L01"/>
    <s v="UPHOLSTERY CLEANING (ONLY SEATS)"/>
    <x v="2"/>
    <n v="65"/>
    <n v="45.5"/>
    <n v="19.5"/>
    <n v="0"/>
    <n v="10"/>
    <n v="0"/>
    <s v="JC25000635"/>
    <d v="2025-06-20T00:00:00"/>
    <s v="MR GAJJALA RAMIREDDY CHENNA REDDY"/>
    <s v="TS09TR0094"/>
    <s v="CELERIO"/>
    <s v="BR/25000598"/>
    <d v="2025-06-20T00:00:00"/>
    <s v="Customer"/>
    <n v="550"/>
    <n v="0"/>
    <n v="99"/>
    <n v="649"/>
  </r>
  <r>
    <s v="VARUN MOTORS PVT LTD"/>
    <s v="VISAKHAPATNAM"/>
    <s v="YENDADA-2S"/>
    <s v="ZA26L01"/>
    <s v="UPHOLSTERY CLEANING (ONLY SEATS)"/>
    <x v="0"/>
    <n v="65"/>
    <n v="45.5"/>
    <n v="19.5"/>
    <n v="0"/>
    <n v="10"/>
    <n v="0"/>
    <s v="JC25000636"/>
    <d v="2025-06-20T00:00:00"/>
    <s v="MR KALAKUNTLA RAMESH"/>
    <s v="AP39JX9750"/>
    <s v="NEW WAGON R 1.2L PETROL"/>
    <s v="BR/25000606"/>
    <d v="2025-06-20T00:00:00"/>
    <s v="Customer"/>
    <n v="550"/>
    <n v="0"/>
    <n v="99"/>
    <n v="649"/>
  </r>
  <r>
    <s v="VARUN MOTORS PVT LTD"/>
    <s v="VISAKHAPATNAM"/>
    <s v="YENDADA-2S"/>
    <s v="ZA26L01"/>
    <s v="UPHOLSTERY CLEANING (ONLY SEATS)"/>
    <x v="0"/>
    <n v="65"/>
    <n v="45.5"/>
    <n v="19.5"/>
    <n v="0"/>
    <n v="10"/>
    <n v="0"/>
    <s v="JC25000661"/>
    <d v="2025-06-24T00:00:00"/>
    <s v="MR JOSYULA RAMA KRISHNA SASTRY"/>
    <s v="AP40L3522"/>
    <s v="BREZZA S-CNG"/>
    <s v="BR/25000635"/>
    <d v="2025-06-24T00:00:00"/>
    <s v="Customer"/>
    <n v="550"/>
    <n v="0"/>
    <n v="99"/>
    <n v="649"/>
  </r>
  <r>
    <s v="VARUN MOTORS PVT LTD"/>
    <s v="VISAKHAPATNAM"/>
    <s v="YENDADA-2S"/>
    <s v="ZA26L01"/>
    <s v="UPHOLSTERY CLEANING (ONLY SEATS)"/>
    <x v="0"/>
    <n v="65"/>
    <n v="45.5"/>
    <n v="19.5"/>
    <n v="0"/>
    <n v="10"/>
    <n v="0"/>
    <s v="JC25000695"/>
    <d v="2025-06-27T00:00:00"/>
    <s v="MR KALAGA V R L SEKHARAM"/>
    <s v="AP39MV5697"/>
    <s v="MARUTI S-CROSS SMART HYBRID 1.5L"/>
    <s v="BR/25000664"/>
    <d v="2025-06-27T00:00:00"/>
    <s v="Customer"/>
    <n v="550"/>
    <n v="0"/>
    <n v="99"/>
    <n v="649"/>
  </r>
  <r>
    <s v="VARUN MOTORS PVT LTD"/>
    <s v="VISAKHAPATNAM"/>
    <s v="YENDADA-2S"/>
    <s v="ZA50L0"/>
    <s v="ALL ELECTRICALS CHECK-UP"/>
    <x v="2"/>
    <n v="40"/>
    <n v="28"/>
    <n v="12"/>
    <n v="0"/>
    <n v="5"/>
    <n v="0"/>
    <s v="JC25000516"/>
    <d v="2025-06-06T00:00:00"/>
    <s v="MR G RAMESH"/>
    <s v="AP39JH9397"/>
    <s v="IGNIS-PETROL"/>
    <s v="BR/25000490"/>
    <d v="2025-06-06T00:00:00"/>
    <s v="Customer"/>
    <n v="350"/>
    <n v="0"/>
    <n v="63"/>
    <n v="413"/>
  </r>
  <r>
    <s v="VARUN MOTORS PVT LTD"/>
    <s v="VISAKHAPATNAM"/>
    <s v="YENDADA-2S"/>
    <s v="ZA50L0"/>
    <s v="ALL ELECTRICALS CHECK-UP"/>
    <x v="2"/>
    <n v="40"/>
    <n v="28"/>
    <n v="12"/>
    <n v="0"/>
    <n v="5"/>
    <n v="0"/>
    <s v="JC25000631"/>
    <d v="2025-06-19T00:00:00"/>
    <s v="MRS ARYA SOMAYAJULA NEELA VENI"/>
    <s v="AP35N2183"/>
    <s v="ZEN ESTILO"/>
    <s v="BR/25000592"/>
    <d v="2025-06-19T00:00:00"/>
    <s v="Customer"/>
    <n v="550"/>
    <n v="0"/>
    <n v="99"/>
    <n v="649"/>
  </r>
  <r>
    <s v="VARUN MOTORS PVT LTD"/>
    <s v="VISAKHAPATNAM"/>
    <s v="YENDADA-2S"/>
    <s v="ZA55L0"/>
    <s v="PROTECTIVE TOPBODY COATING "/>
    <x v="0"/>
    <n v="225"/>
    <n v="157.5"/>
    <n v="67.5"/>
    <n v="0"/>
    <n v="50"/>
    <n v="0"/>
    <s v="JC25000474"/>
    <d v="2025-06-02T00:00:00"/>
    <s v="M/S SAI LAKSHMI  HANUMANSETTY"/>
    <s v="AP31DW9709"/>
    <s v="MARUTI BALENO PETROL"/>
    <s v="BR/25000476"/>
    <d v="2025-06-04T00:00:00"/>
    <s v="Customer"/>
    <n v="2296"/>
    <n v="0"/>
    <n v="413.28"/>
    <n v="2709.28"/>
  </r>
  <r>
    <s v="VARUN MOTORS PVT LTD"/>
    <s v="VISAKHAPATNAM"/>
    <s v="YENDADA-2S"/>
    <s v="ZA55L0"/>
    <s v="PROTECTIVE TOPBODY COATING "/>
    <x v="2"/>
    <n v="225"/>
    <n v="157.5"/>
    <n v="67.5"/>
    <n v="0"/>
    <n v="50"/>
    <n v="0"/>
    <s v="JC25000546"/>
    <d v="2025-06-09T00:00:00"/>
    <s v="MR KELLA  APPARAO"/>
    <s v="AP39WC6501"/>
    <s v="NEW ERTIGA PETROL"/>
    <s v="BR/25000517"/>
    <d v="2025-06-09T00:00:00"/>
    <s v="Customer"/>
    <n v="2296"/>
    <n v="0"/>
    <n v="413.28"/>
    <n v="2709.28"/>
  </r>
  <r>
    <s v="VARUN MOTORS PVT LTD"/>
    <s v="VISAKHAPATNAM"/>
    <s v="YENDADA-2S"/>
    <s v="ZA55L0"/>
    <s v="PROTECTIVE TOPBODY COATING "/>
    <x v="1"/>
    <n v="0"/>
    <n v="0"/>
    <n v="0"/>
    <n v="0"/>
    <n v="0"/>
    <n v="0"/>
    <s v="JC25000609"/>
    <d v="2025-06-17T00:00:00"/>
    <s v="MR N RADHA KRISHNA"/>
    <s v="AP31BF3291"/>
    <s v="SWIFT"/>
    <s v="BR/25000670"/>
    <d v="2025-06-27T00:00:00"/>
    <s v="Customer"/>
    <n v="15000"/>
    <n v="0"/>
    <n v="2700"/>
    <n v="17700"/>
  </r>
  <r>
    <s v="VARUN MOTORS PVT LTD"/>
    <s v="VISAKHAPATNAM"/>
    <s v="YENDADA-2S"/>
    <s v="ZA55L0"/>
    <s v="PROTECTIVE TOPBODY COATING "/>
    <x v="0"/>
    <n v="225"/>
    <n v="157.5"/>
    <n v="67.5"/>
    <n v="0"/>
    <n v="50"/>
    <n v="0"/>
    <s v="JC25000708"/>
    <d v="2025-06-28T00:00:00"/>
    <s v="MR P GOWRI SANKAR"/>
    <s v="AP31ET7696"/>
    <s v="MARUTI BALENO PETROL"/>
    <s v="BR/25000677"/>
    <d v="2025-06-28T00:00:00"/>
    <s v="Customer"/>
    <n v="2000"/>
    <n v="0"/>
    <n v="360"/>
    <n v="2360"/>
  </r>
  <r>
    <s v="VARUN MOTORS PVT LTD"/>
    <s v="VISAKHAPATNAM"/>
    <s v="YENDADA-2S"/>
    <s v="ZA55L0"/>
    <s v="PROTECTIVE TOPBODY COATING "/>
    <x v="0"/>
    <n v="225"/>
    <n v="157.5"/>
    <n v="67.5"/>
    <n v="0"/>
    <n v="50"/>
    <n v="0"/>
    <s v="JC25000720"/>
    <d v="2025-06-29T00:00:00"/>
    <s v="MRS K VENKATA LAKSHMI"/>
    <s v="AP39JN8697"/>
    <s v="MARUTI BALENO PETROL"/>
    <s v="BR/25000685"/>
    <d v="2025-06-29T00:00:00"/>
    <s v="Customer"/>
    <n v="2296"/>
    <n v="0"/>
    <n v="413.28"/>
    <n v="2709.28"/>
  </r>
  <r>
    <s v="VARUN MOTORS PVT LTD"/>
    <s v="VISAKHAPATNAM"/>
    <s v="YENDADA-2S"/>
    <s v="ZA56L0"/>
    <s v="PROTECTIVE UNDERBODY COATING "/>
    <x v="1"/>
    <n v="225"/>
    <n v="157.5"/>
    <n v="67.5"/>
    <n v="0"/>
    <n v="50"/>
    <n v="0"/>
    <s v="JC25000491"/>
    <d v="2025-06-03T00:00:00"/>
    <s v="MR SADHANALA ROOPANAND"/>
    <s v="TEMPA03012"/>
    <s v="NEW BALENO"/>
    <s v="BR/25000473"/>
    <d v="2025-06-03T00:00:00"/>
    <s v="Customer"/>
    <n v="2348"/>
    <n v="0"/>
    <n v="422.64"/>
    <n v="2770.64"/>
  </r>
  <r>
    <s v="VARUN MOTORS PVT LTD"/>
    <s v="VISAKHAPATNAM"/>
    <s v="YENDADA-2S"/>
    <s v="ZA56L0"/>
    <s v="PROTECTIVE UNDERBODY COATING "/>
    <x v="0"/>
    <n v="225"/>
    <n v="157.5"/>
    <n v="67.5"/>
    <n v="0"/>
    <n v="50"/>
    <n v="0"/>
    <s v="JC25000584"/>
    <d v="2025-06-14T00:00:00"/>
    <s v="MR VALLAM KARTHIK CHANDRA"/>
    <s v="AP39SB6423"/>
    <s v="MARUTI GRAND VITARA Strong Hybrid"/>
    <s v="BR/25000560"/>
    <d v="2025-06-14T00:00:00"/>
    <s v="Customer"/>
    <n v="2348"/>
    <n v="0"/>
    <n v="422.64"/>
    <n v="2770.64"/>
  </r>
  <r>
    <s v="VARUN MOTORS PVT LTD"/>
    <s v="VISAKHAPATNAM"/>
    <s v="YENDADA-2S"/>
    <s v="ZA56L0"/>
    <s v="PROTECTIVE UNDERBODY COATING "/>
    <x v="0"/>
    <n v="225"/>
    <n v="157.5"/>
    <n v="67.5"/>
    <n v="0"/>
    <n v="50"/>
    <n v="0"/>
    <s v="JC25000590"/>
    <d v="2025-06-15T00:00:00"/>
    <s v="MR SYED HASEEBULLAH HUSSAINI"/>
    <s v="TG13C4761"/>
    <s v="NEW ERTIGA PETROL"/>
    <s v="BR/25000563"/>
    <d v="2025-06-15T00:00:00"/>
    <s v="Customer"/>
    <n v="2348"/>
    <n v="0"/>
    <n v="422.64"/>
    <n v="2770.64"/>
  </r>
  <r>
    <s v="VARUN MOTORS PVT LTD"/>
    <s v="VISAKHAPATNAM"/>
    <s v="YENDADA-2S"/>
    <s v="ZA56L0"/>
    <s v="PROTECTIVE UNDERBODY COATING "/>
    <x v="0"/>
    <n v="225"/>
    <n v="157.5"/>
    <n v="67.5"/>
    <n v="0"/>
    <n v="50"/>
    <n v="0"/>
    <s v="JC25000650"/>
    <d v="2025-06-23T00:00:00"/>
    <s v="MR MORAMPUDI JAIPRAKASH BABU"/>
    <s v="AP40FU6395"/>
    <s v="EECO K12N 2022"/>
    <s v="BR/25000623"/>
    <d v="2025-06-23T00:00:00"/>
    <s v="Customer"/>
    <n v="2348"/>
    <n v="0"/>
    <n v="422.64"/>
    <n v="2770.64"/>
  </r>
  <r>
    <s v="VARUN MOTORS PVT LTD"/>
    <s v="VISAKHAPATNAM"/>
    <s v="YENDADA-2S"/>
    <s v="ZA56L0"/>
    <s v="PROTECTIVE UNDERBODY COATING "/>
    <x v="0"/>
    <n v="225"/>
    <n v="157.5"/>
    <n v="67.5"/>
    <n v="0"/>
    <n v="50"/>
    <n v="0"/>
    <s v="JC25000702"/>
    <d v="2025-06-28T00:00:00"/>
    <s v="MR S SASIDHAR"/>
    <s v="DL2CAS3588"/>
    <s v="WAGON-R NEW"/>
    <s v="BR/25000676"/>
    <d v="2025-06-28T00:00:00"/>
    <s v="Customer"/>
    <n v="2348"/>
    <n v="0"/>
    <n v="422.64"/>
    <n v="2770.64"/>
  </r>
  <r>
    <s v="VARUN MOTORS PVT LTD"/>
    <s v="VISAKHAPATNAM"/>
    <s v="YENDADA-2S"/>
    <s v="ZA56L0"/>
    <s v="PROTECTIVE UNDERBODY COATING "/>
    <x v="0"/>
    <n v="225"/>
    <n v="157.5"/>
    <n v="67.5"/>
    <n v="0"/>
    <n v="50"/>
    <n v="0"/>
    <s v="JC25000708"/>
    <d v="2025-06-28T00:00:00"/>
    <s v="MR P GOWRI SANKAR"/>
    <s v="AP31ET7696"/>
    <s v="MARUTI BALENO PETROL"/>
    <s v="BR/25000677"/>
    <d v="2025-06-28T00:00:00"/>
    <s v="Customer"/>
    <n v="2348"/>
    <n v="0"/>
    <n v="422.64"/>
    <n v="2770.64"/>
  </r>
  <r>
    <s v="VARUN MOTORS PVT LTD"/>
    <s v="VISAKHAPATNAM"/>
    <s v="YENDADA-2S"/>
    <s v="ZA56L0"/>
    <s v="PROTECTIVE UNDERBODY COATING "/>
    <x v="2"/>
    <n v="225"/>
    <n v="157.5"/>
    <n v="67.5"/>
    <n v="0"/>
    <n v="50"/>
    <n v="0"/>
    <s v="JC25000726"/>
    <d v="2025-06-30T00:00:00"/>
    <s v="MRS YASHMIN BANU"/>
    <s v="AP40FE2094"/>
    <s v="NEW BALENO"/>
    <s v="BR/25000702"/>
    <d v="2025-06-30T00:00:00"/>
    <s v="Customer"/>
    <n v="2348"/>
    <n v="0"/>
    <n v="422.64"/>
    <n v="2770.64"/>
  </r>
  <r>
    <s v="VARUN MOTORS PVT LTD"/>
    <s v="VISAKHAPATNAM"/>
    <s v="YENDADA-2S"/>
    <s v="ZA65L0"/>
    <s v="MULTIVALVE / GAS TANK CLEANING "/>
    <x v="2"/>
    <n v="100"/>
    <n v="70"/>
    <n v="30"/>
    <n v="0"/>
    <n v="0"/>
    <n v="25"/>
    <s v="JC25000517"/>
    <d v="2025-06-06T00:00:00"/>
    <s v="MR SATYARAJU B"/>
    <s v="AP39SP2499"/>
    <s v="NEW BREZZA"/>
    <s v="BR/25000497"/>
    <d v="2025-06-06T00:00:00"/>
    <s v="Customer"/>
    <n v="950"/>
    <n v="0"/>
    <n v="171"/>
    <n v="1121"/>
  </r>
  <r>
    <s v="VARUN MOTORS PVT LTD"/>
    <s v="VISAKHAPATNAM"/>
    <s v="YENDADA-2S"/>
    <s v="ZA65L0"/>
    <s v="MULTIVALVE / GAS TANK CLEANING "/>
    <x v="2"/>
    <n v="100"/>
    <n v="70"/>
    <n v="30"/>
    <n v="0"/>
    <n v="0"/>
    <n v="25"/>
    <s v="JC25000531"/>
    <d v="2025-06-07T00:00:00"/>
    <s v="MR SARIPALLI SANJOSHUA"/>
    <s v="AP40DG7007"/>
    <s v="NEW SWIFT PETROL"/>
    <s v="BR/25000502"/>
    <d v="2025-06-07T00:00:00"/>
    <s v="Customer"/>
    <n v="950"/>
    <n v="0"/>
    <n v="171"/>
    <n v="1121"/>
  </r>
  <r>
    <s v="VARUN MOTORS PVT LTD"/>
    <s v="VISAKHAPATNAM"/>
    <s v="YENDADA-2S"/>
    <s v="ZA65L0"/>
    <s v="MULTIVALVE / GAS TANK CLEANING "/>
    <x v="2"/>
    <n v="100"/>
    <n v="70"/>
    <n v="30"/>
    <n v="0"/>
    <n v="0"/>
    <n v="25"/>
    <s v="JC25000535"/>
    <d v="2025-06-07T00:00:00"/>
    <s v="MR GSATYA NARAYANA"/>
    <s v="AP35AD9889"/>
    <s v="CELERIO"/>
    <s v="BR/25000508"/>
    <d v="2025-06-07T00:00:00"/>
    <s v="Customer"/>
    <n v="950"/>
    <n v="0"/>
    <n v="171"/>
    <n v="1121"/>
  </r>
  <r>
    <s v="VARUN MOTORS PVT LTD"/>
    <s v="VISAKHAPATNAM"/>
    <s v="YENDADA-2S"/>
    <s v="ZA65L0"/>
    <s v="MULTIVALVE / GAS TANK CLEANING "/>
    <x v="2"/>
    <n v="100"/>
    <n v="70"/>
    <n v="30"/>
    <n v="0"/>
    <n v="0"/>
    <n v="25"/>
    <s v="JC25000572"/>
    <d v="2025-06-13T00:00:00"/>
    <s v="MR ARIKA BOSU BABU"/>
    <s v="AP31DA6180"/>
    <s v="WAGON-R NEW"/>
    <s v="BR/25000551"/>
    <d v="2025-06-13T00:00:00"/>
    <s v="Customer"/>
    <n v="950"/>
    <n v="0"/>
    <n v="171"/>
    <n v="1121"/>
  </r>
  <r>
    <s v="VARUN MOTORS PVT LTD"/>
    <s v="VISAKHAPATNAM"/>
    <s v="YENDADA-2S"/>
    <s v="ZA65L0"/>
    <s v="MULTIVALVE / GAS TANK CLEANING "/>
    <x v="2"/>
    <n v="0"/>
    <n v="0"/>
    <n v="0"/>
    <n v="0"/>
    <n v="0"/>
    <n v="0"/>
    <s v="JC25000577"/>
    <d v="2025-06-13T00:00:00"/>
    <s v="MR P KALYANARAO NAIDU"/>
    <s v="AP31BY5639"/>
    <s v="WAGON-R NEW"/>
    <s v="BR/25000549"/>
    <d v="2025-06-13T00:00:00"/>
    <s v="Customer"/>
    <n v="100"/>
    <n v="0"/>
    <n v="18"/>
    <n v="118"/>
  </r>
  <r>
    <s v="VARUN MOTORS PVT LTD"/>
    <s v="VISAKHAPATNAM"/>
    <s v="YENDADA-2S"/>
    <s v="ZA65L0"/>
    <s v="MULTIVALVE / GAS TANK CLEANING "/>
    <x v="0"/>
    <n v="100"/>
    <n v="70"/>
    <n v="30"/>
    <n v="0"/>
    <n v="0"/>
    <n v="25"/>
    <s v="JC25000578"/>
    <d v="2025-06-14T00:00:00"/>
    <s v="MR ALCHEMAS ENGINEERING"/>
    <s v="AP31EA0353"/>
    <s v="MARUTI BALENO PETROL"/>
    <s v="BR/25000567"/>
    <d v="2025-06-16T00:00:00"/>
    <s v="Customer"/>
    <n v="950"/>
    <n v="0"/>
    <n v="171"/>
    <n v="1121"/>
  </r>
  <r>
    <s v="VARUN MOTORS PVT LTD"/>
    <s v="VISAKHAPATNAM"/>
    <s v="YENDADA-2S"/>
    <s v="ZA65L0"/>
    <s v="MULTIVALVE / GAS TANK CLEANING "/>
    <x v="0"/>
    <n v="100"/>
    <n v="70"/>
    <n v="30"/>
    <n v="0"/>
    <n v="0"/>
    <n v="25"/>
    <s v="JC25000586"/>
    <d v="2025-06-14T00:00:00"/>
    <s v="MR K B SUBHRAHMANYAM"/>
    <s v="AP39JB123"/>
    <s v="VITARA BREZZA K15B BS-VI"/>
    <s v="BR/25000665"/>
    <d v="2025-06-27T00:00:00"/>
    <s v="Customer"/>
    <n v="950"/>
    <n v="0"/>
    <n v="171"/>
    <n v="1121"/>
  </r>
  <r>
    <s v="VARUN MOTORS PVT LTD"/>
    <s v="VISAKHAPATNAM"/>
    <s v="YENDADA-2S"/>
    <s v="ZA65L0"/>
    <s v="MULTIVALVE / GAS TANK CLEANING "/>
    <x v="2"/>
    <n v="100"/>
    <n v="70"/>
    <n v="30"/>
    <n v="0"/>
    <n v="0"/>
    <n v="25"/>
    <s v="JC25000598"/>
    <d v="2025-06-17T00:00:00"/>
    <s v="MR KROVI  MAHANTH"/>
    <s v="AP16DD7907"/>
    <s v="MARUTI BALENO PETROL"/>
    <s v="BR/25000578"/>
    <d v="2025-06-17T00:00:00"/>
    <s v="Customer"/>
    <n v="950"/>
    <n v="0"/>
    <n v="171"/>
    <n v="1121"/>
  </r>
  <r>
    <s v="VARUN MOTORS PVT LTD"/>
    <s v="VISAKHAPATNAM"/>
    <s v="YENDADA-2S"/>
    <s v="ZA65L0"/>
    <s v="MULTIVALVE / GAS TANK CLEANING "/>
    <x v="0"/>
    <n v="100"/>
    <n v="70"/>
    <n v="30"/>
    <n v="0"/>
    <n v="0"/>
    <n v="25"/>
    <s v="JC25000624"/>
    <d v="2025-06-19T00:00:00"/>
    <s v="MR KUNDRA KRISHNA VENI SANDHYARANI"/>
    <s v="AP31EV6799"/>
    <s v="NEW SWIFT PETROL"/>
    <s v="BR/25000593"/>
    <d v="2025-06-19T00:00:00"/>
    <s v="Customer"/>
    <n v="950"/>
    <n v="0"/>
    <n v="171"/>
    <n v="1121"/>
  </r>
  <r>
    <s v="VARUN MOTORS PVT LTD"/>
    <s v="VISAKHAPATNAM"/>
    <s v="YENDADA-2S"/>
    <s v="ZA65L0"/>
    <s v="MULTIVALVE / GAS TANK CLEANING "/>
    <x v="2"/>
    <n v="100"/>
    <n v="70"/>
    <n v="30"/>
    <n v="0"/>
    <n v="0"/>
    <n v="25"/>
    <s v="JC25000635"/>
    <d v="2025-06-20T00:00:00"/>
    <s v="MR GAJJALA RAMIREDDY CHENNA REDDY"/>
    <s v="TS09TR0094"/>
    <s v="CELERIO"/>
    <s v="BR/25000598"/>
    <d v="2025-06-20T00:00:00"/>
    <s v="Customer"/>
    <n v="950"/>
    <n v="0"/>
    <n v="171"/>
    <n v="1121"/>
  </r>
  <r>
    <s v="VARUN MOTORS PVT LTD"/>
    <s v="VISAKHAPATNAM"/>
    <s v="YENDADA-2S"/>
    <s v="ZA88L0"/>
    <s v="COOLANT CHECK / REPLACE"/>
    <x v="0"/>
    <n v="50"/>
    <n v="35"/>
    <n v="15"/>
    <n v="0"/>
    <n v="5"/>
    <n v="0"/>
    <s v="JC25000578"/>
    <d v="2025-06-14T00:00:00"/>
    <s v="MR ALCHEMAS ENGINEERING"/>
    <s v="AP31EA0353"/>
    <s v="MARUTI BALENO PETROL"/>
    <s v="BR/25000567"/>
    <d v="2025-06-16T00:00:00"/>
    <s v="Customer"/>
    <n v="600"/>
    <n v="0"/>
    <n v="108"/>
    <n v="708"/>
  </r>
  <r>
    <s v="VARUN MOTORS PVT LTD"/>
    <s v="VISAKHAPATNAM"/>
    <s v="YENDADA-2S"/>
    <s v="ZC08L1"/>
    <s v="FIP CALIBRATION"/>
    <x v="2"/>
    <n v="75"/>
    <n v="52.5"/>
    <n v="22.5"/>
    <n v="0"/>
    <n v="0"/>
    <n v="20"/>
    <s v="JC25000523"/>
    <d v="2025-06-06T00:00:00"/>
    <s v="MRS MARUTI TRUE VALUE"/>
    <s v="AP39NK1064"/>
    <s v="S-PRESSO BIFUEL CNG"/>
    <s v="BR/25000499"/>
    <d v="2025-06-06T00:00:00"/>
    <s v="Customer"/>
    <n v="750"/>
    <n v="0"/>
    <n v="0"/>
    <n v="750"/>
  </r>
  <r>
    <s v="VARUN MOTORS PVT LTD"/>
    <s v="VISAKHAPATNAM"/>
    <s v="YENDADA-2S"/>
    <s v="ZC08L1"/>
    <s v="FIP CALIBRATION"/>
    <x v="2"/>
    <n v="75"/>
    <n v="52.5"/>
    <n v="22.5"/>
    <n v="0"/>
    <n v="0"/>
    <n v="20"/>
    <s v="JC25000558"/>
    <d v="2025-06-11T00:00:00"/>
    <s v="M/S HIGH POWER ELEVATORS PRIVATE LIMITED"/>
    <s v="AP31EA2582"/>
    <s v="ALTO K10"/>
    <s v="BR/25000536"/>
    <d v="2025-06-11T00:00:00"/>
    <s v="Customer"/>
    <n v="750"/>
    <n v="0"/>
    <n v="135"/>
    <n v="885"/>
  </r>
  <r>
    <s v="VARUN MOTORS PVT LTD"/>
    <s v="VISAKHAPATNAM"/>
    <s v="YENDADA-2S"/>
    <s v="ZC08L1"/>
    <s v="FIP CALIBRATION"/>
    <x v="0"/>
    <n v="150"/>
    <n v="105"/>
    <n v="45"/>
    <n v="0"/>
    <n v="0"/>
    <n v="30"/>
    <s v="JC25000608"/>
    <d v="2025-06-17T00:00:00"/>
    <s v="MRS PAKALAPATI HAREESH VARMA"/>
    <s v="AP31EP6633"/>
    <s v="VITARA BREZZA 1.3D"/>
    <s v="BR/25000595"/>
    <d v="2025-06-19T00:00:00"/>
    <s v="Customer"/>
    <n v="1400"/>
    <n v="0"/>
    <n v="252"/>
    <n v="1652"/>
  </r>
  <r>
    <s v="VARUN MOTORS PVT LTD"/>
    <s v="VISAKHAPATNAM"/>
    <s v="YENDADA-2S"/>
    <s v="ZC08L1"/>
    <s v="FIP CALIBRATION"/>
    <x v="0"/>
    <n v="75"/>
    <n v="52.5"/>
    <n v="22.5"/>
    <n v="0"/>
    <n v="0"/>
    <n v="20"/>
    <s v="JC25000661"/>
    <d v="2025-06-24T00:00:00"/>
    <s v="MR JOSYULA RAMA KRISHNA SASTRY"/>
    <s v="AP40L3522"/>
    <s v="BREZZA S-CNG"/>
    <s v="BR/25000635"/>
    <d v="2025-06-24T00:00:00"/>
    <s v="Customer"/>
    <n v="750"/>
    <n v="0"/>
    <n v="135"/>
    <n v="885"/>
  </r>
  <r>
    <s v="VARUN MOTORS PVT LTD"/>
    <s v="VISAKHAPATNAM"/>
    <s v="YENDADA-2S"/>
    <s v="ZC08L1"/>
    <s v="FIP CALIBRATION"/>
    <x v="0"/>
    <n v="75"/>
    <n v="52.5"/>
    <n v="22.5"/>
    <n v="0"/>
    <n v="0"/>
    <n v="20"/>
    <s v="JC25000708"/>
    <d v="2025-06-28T00:00:00"/>
    <s v="MR P GOWRI SANKAR"/>
    <s v="AP31ET7696"/>
    <s v="MARUTI BALENO PETROL"/>
    <s v="BR/25000677"/>
    <d v="2025-06-28T00:00:00"/>
    <s v="Customer"/>
    <n v="750"/>
    <n v="0"/>
    <n v="135"/>
    <n v="885"/>
  </r>
  <r>
    <s v="VARUN MOTORS PVT LTD"/>
    <s v="VISAKHAPATNAM"/>
    <s v="YENDADA-2S"/>
    <s v="ZA04L0"/>
    <s v="WHEEL BALANCING - 4 WHEEL"/>
    <x v="0"/>
    <n v="0"/>
    <n v="0"/>
    <n v="0"/>
    <n v="0"/>
    <n v="0"/>
    <n v="0"/>
    <s v="JC25000472"/>
    <d v="2025-06-01T00:00:00"/>
    <s v="MR ARUNAKUMAR  ANANTATMULA"/>
    <s v="AP40H1140"/>
    <s v="NEW BALENO"/>
    <s v="BR/25000457"/>
    <d v="2025-06-01T00:00:00"/>
    <s v="Customer"/>
    <n v="360"/>
    <n v="0"/>
    <n v="64.8"/>
    <n v="424.8"/>
  </r>
  <r>
    <s v="VARUN MOTORS PVT LTD"/>
    <s v="VISAKHAPATNAM"/>
    <s v="YENDADA-2S"/>
    <s v="ZA04L0"/>
    <s v="WHEEL BALANCING - 4 WHEEL"/>
    <x v="0"/>
    <n v="0"/>
    <n v="0"/>
    <n v="0"/>
    <n v="0"/>
    <n v="0"/>
    <n v="0"/>
    <s v="JC25000474"/>
    <d v="2025-06-02T00:00:00"/>
    <s v="M/S SAI LAKSHMI  HANUMANSETTY"/>
    <s v="AP31DW9709"/>
    <s v="MARUTI BALENO PETROL"/>
    <s v="BR/25000476"/>
    <d v="2025-06-04T00:00:00"/>
    <s v="Customer"/>
    <n v="360"/>
    <n v="180"/>
    <n v="32.4"/>
    <n v="212.4"/>
  </r>
  <r>
    <s v="VARUN MOTORS PVT LTD"/>
    <s v="VISAKHAPATNAM"/>
    <s v="YENDADA-2S"/>
    <s v="ZA04L0"/>
    <s v="WHEEL BALANCING - 4 WHEEL"/>
    <x v="0"/>
    <n v="0"/>
    <n v="0"/>
    <n v="0"/>
    <n v="0"/>
    <n v="0"/>
    <n v="0"/>
    <s v="JC25000483"/>
    <d v="2025-06-02T00:00:00"/>
    <s v="MRS BODDU AMANI"/>
    <s v="AP39SZ0950"/>
    <s v="NEW WAGON R 1.2L PETROL"/>
    <s v="BR/25000464"/>
    <d v="2025-06-02T00:00:00"/>
    <s v="Customer"/>
    <n v="360"/>
    <n v="180"/>
    <n v="32.4"/>
    <n v="212.4"/>
  </r>
  <r>
    <s v="VARUN MOTORS PVT LTD"/>
    <s v="VISAKHAPATNAM"/>
    <s v="YENDADA-2S"/>
    <s v="ZA04L0"/>
    <s v="WHEEL BALANCING - 4 WHEEL"/>
    <x v="0"/>
    <n v="0"/>
    <n v="0"/>
    <n v="0"/>
    <n v="0"/>
    <n v="0"/>
    <n v="0"/>
    <s v="JC25000505"/>
    <d v="2025-06-04T00:00:00"/>
    <s v="MR PAMULA SIREESH KUMAR"/>
    <s v="AP39SX3090"/>
    <s v="New Dzire Petrol"/>
    <s v="BR/25000477"/>
    <d v="2025-06-04T00:00:00"/>
    <s v="Customer"/>
    <n v="360"/>
    <n v="180"/>
    <n v="32.4"/>
    <n v="212.4"/>
  </r>
  <r>
    <s v="VARUN MOTORS PVT LTD"/>
    <s v="VISAKHAPATNAM"/>
    <s v="YENDADA-2S"/>
    <s v="ZA04L0"/>
    <s v="WHEEL BALANCING - 4 WHEEL"/>
    <x v="0"/>
    <n v="0"/>
    <n v="0"/>
    <n v="0"/>
    <n v="0"/>
    <n v="0"/>
    <n v="0"/>
    <s v="JC25000545"/>
    <d v="2025-06-09T00:00:00"/>
    <s v="MR ALLURI RAGHU VARMA"/>
    <s v="AP40AW1515"/>
    <s v="Fronx Domestic P74"/>
    <s v="BR/25000519"/>
    <d v="2025-06-09T00:00:00"/>
    <s v="Customer"/>
    <n v="360"/>
    <n v="180"/>
    <n v="32.4"/>
    <n v="212.4"/>
  </r>
  <r>
    <s v="VARUN MOTORS PVT LTD"/>
    <s v="VISAKHAPATNAM"/>
    <s v="YENDADA-2S"/>
    <s v="ZA04L0"/>
    <s v="WHEEL BALANCING - 4 WHEEL"/>
    <x v="0"/>
    <n v="0"/>
    <n v="0"/>
    <n v="0"/>
    <n v="0"/>
    <n v="0"/>
    <n v="0"/>
    <s v="JC25000592"/>
    <d v="2025-06-16T00:00:00"/>
    <s v="MR UPPULURI KODANDARAMA"/>
    <s v="AP39SK6899"/>
    <s v="NEW BREZZA"/>
    <s v="BR/25000566"/>
    <d v="2025-06-16T00:00:00"/>
    <s v="Customer"/>
    <n v="360"/>
    <n v="180"/>
    <n v="32.4"/>
    <n v="212.4"/>
  </r>
  <r>
    <s v="VARUN MOTORS PVT LTD"/>
    <s v="VISAKHAPATNAM"/>
    <s v="YENDADA-2S"/>
    <s v="ZA04L0"/>
    <s v="WHEEL BALANCING - 4 WHEEL"/>
    <x v="0"/>
    <n v="0"/>
    <n v="0"/>
    <n v="0"/>
    <n v="0"/>
    <n v="0"/>
    <n v="0"/>
    <s v="JC25000608"/>
    <d v="2025-06-17T00:00:00"/>
    <s v="MRS PAKALAPATI HAREESH VARMA"/>
    <s v="AP31EP6633"/>
    <s v="VITARA BREZZA 1.3D"/>
    <s v="BR/25000595"/>
    <d v="2025-06-19T00:00:00"/>
    <s v="Customer"/>
    <n v="400"/>
    <n v="200"/>
    <n v="36"/>
    <n v="236"/>
  </r>
  <r>
    <s v="VARUN MOTORS PVT LTD"/>
    <s v="VISAKHAPATNAM"/>
    <s v="YENDADA-2S"/>
    <s v="ZA04L0"/>
    <s v="WHEEL BALANCING - 4 WHEEL"/>
    <x v="0"/>
    <n v="0"/>
    <n v="0"/>
    <n v="0"/>
    <n v="0"/>
    <n v="0"/>
    <n v="0"/>
    <s v="JC25000636"/>
    <d v="2025-06-20T00:00:00"/>
    <s v="MR KALAKUNTLA RAMESH"/>
    <s v="AP39JX9750"/>
    <s v="NEW WAGON R 1.2L PETROL"/>
    <s v="BR/25000606"/>
    <d v="2025-06-20T00:00:00"/>
    <s v="Customer"/>
    <n v="360"/>
    <n v="180"/>
    <n v="32.4"/>
    <n v="212.4"/>
  </r>
  <r>
    <s v="VARUN MOTORS PVT LTD"/>
    <s v="VISAKHAPATNAM"/>
    <s v="YENDADA-2S"/>
    <s v="ZA04L0"/>
    <s v="WHEEL BALANCING - 4 WHEEL"/>
    <x v="0"/>
    <n v="0"/>
    <n v="0"/>
    <n v="0"/>
    <n v="0"/>
    <n v="0"/>
    <n v="0"/>
    <s v="JC25000661"/>
    <d v="2025-06-24T00:00:00"/>
    <s v="MR JOSYULA RAMA KRISHNA SASTRY"/>
    <s v="AP40L3522"/>
    <s v="BREZZA S-CNG"/>
    <s v="BR/25000635"/>
    <d v="2025-06-24T00:00:00"/>
    <s v="Customer"/>
    <n v="360"/>
    <n v="180"/>
    <n v="32.4"/>
    <n v="212.4"/>
  </r>
  <r>
    <s v="VARUN MOTORS PVT LTD"/>
    <s v="VISAKHAPATNAM"/>
    <s v="YENDADA-2S"/>
    <s v="ZA04L0"/>
    <s v="WHEEL BALANCING - 4 WHEEL"/>
    <x v="0"/>
    <n v="0"/>
    <n v="0"/>
    <n v="0"/>
    <n v="0"/>
    <n v="0"/>
    <n v="0"/>
    <s v="JC25000697"/>
    <d v="2025-06-27T00:00:00"/>
    <s v="MR S.GANESH KISHORE"/>
    <s v="AP31BR6102"/>
    <s v="SWIFT"/>
    <s v="BR/25000728"/>
    <d v="2025-06-30T00:00:00"/>
    <s v="Customer"/>
    <n v="360"/>
    <n v="180"/>
    <n v="32.4"/>
    <n v="212.4"/>
  </r>
  <r>
    <s v="VARUN MOTORS PVT LTD"/>
    <s v="VISAKHAPATNAM"/>
    <s v="YENDADA-2S"/>
    <s v="ZA04L0"/>
    <s v="WHEEL BALANCING - 4 WHEEL"/>
    <x v="0"/>
    <n v="0"/>
    <n v="0"/>
    <n v="0"/>
    <n v="0"/>
    <n v="0"/>
    <n v="0"/>
    <s v="JC25000705"/>
    <d v="2025-06-28T00:00:00"/>
    <s v="MRS CHILAKOTI MADHAVI"/>
    <s v="AP31DJ8448"/>
    <s v="CELERIO"/>
    <s v="BR/25000674"/>
    <d v="2025-06-28T00:00:00"/>
    <s v="Customer"/>
    <n v="340"/>
    <n v="170"/>
    <n v="30.6"/>
    <n v="200.6"/>
  </r>
  <r>
    <s v="VARUN MOTORS PVT LTD"/>
    <s v="VISAKHAPATNAM"/>
    <s v="YENDADA-2S"/>
    <s v="ZA04L0"/>
    <s v="WHEEL BALANCING - 4 WHEEL"/>
    <x v="0"/>
    <n v="0"/>
    <n v="0"/>
    <n v="0"/>
    <n v="0"/>
    <n v="0"/>
    <n v="0"/>
    <s v="JC25000721"/>
    <d v="2025-06-29T00:00:00"/>
    <s v="MRS CHIPPADA ARUNA"/>
    <s v="AP39DK4634"/>
    <s v="ALTO 800"/>
    <s v="BR/25000690"/>
    <d v="2025-06-29T00:00:00"/>
    <s v="Customer"/>
    <n v="340"/>
    <n v="170"/>
    <n v="30.6"/>
    <n v="200.6"/>
  </r>
  <r>
    <s v="VARUN MOTORS PVT LTD"/>
    <s v="VISAKHAPATNAM"/>
    <s v="YENDADA-2S"/>
    <s v="ZA05L0"/>
    <s v="WHEEL BALANCING - 5 WHEEL"/>
    <x v="2"/>
    <n v="0"/>
    <n v="0"/>
    <n v="0"/>
    <n v="0"/>
    <n v="0"/>
    <n v="0"/>
    <s v="JC25000523"/>
    <d v="2025-06-06T00:00:00"/>
    <s v="MRS MARUTI TRUE VALUE"/>
    <s v="AP39NK1064"/>
    <s v="S-PRESSO BIFUEL CNG"/>
    <s v="BR/25000499"/>
    <d v="2025-06-06T00:00:00"/>
    <s v="Customer"/>
    <n v="425"/>
    <n v="0"/>
    <n v="0"/>
    <n v="425"/>
  </r>
  <r>
    <s v="VARUN MOTORS PVT LTD"/>
    <s v="VISAKHAPATNAM"/>
    <s v="YENDADA-2S"/>
    <s v="ZA05L0"/>
    <s v="WHEEL BALANCING - 5 WHEEL"/>
    <x v="2"/>
    <n v="0"/>
    <n v="0"/>
    <n v="0"/>
    <n v="0"/>
    <n v="0"/>
    <n v="0"/>
    <s v="JC25000551"/>
    <d v="2025-06-10T00:00:00"/>
    <s v="M/S SAMUDRALA ENGINEERING CONSULTING"/>
    <s v="TS08FH4464"/>
    <s v="New Dzire Petrol"/>
    <s v="BR/25000528"/>
    <d v="2025-06-10T00:00:00"/>
    <s v="Customer"/>
    <n v="450"/>
    <n v="225"/>
    <n v="40.5"/>
    <n v="265.5"/>
  </r>
  <r>
    <s v="VARUN MOTORS PVT LTD"/>
    <s v="VISAKHAPATNAM"/>
    <s v="YENDADA-2S"/>
    <s v="ZA05L0"/>
    <s v="WHEEL BALANCING - 5 WHEEL"/>
    <x v="2"/>
    <n v="0"/>
    <n v="0"/>
    <n v="0"/>
    <n v="0"/>
    <n v="0"/>
    <n v="0"/>
    <s v="JC25000553"/>
    <d v="2025-06-10T00:00:00"/>
    <s v="MRS S SUHASINI"/>
    <s v="AP31BR9738"/>
    <s v="RITZ"/>
    <s v="BR/25000527"/>
    <d v="2025-06-10T00:00:00"/>
    <s v="Customer"/>
    <n v="450"/>
    <n v="225"/>
    <n v="40.5"/>
    <n v="265.5"/>
  </r>
  <r>
    <s v="VARUN MOTORS PVT LTD"/>
    <s v="VISAKHAPATNAM"/>
    <s v="YENDADA-2S"/>
    <s v="ZA05L0"/>
    <s v="WHEEL BALANCING - 5 WHEEL"/>
    <x v="2"/>
    <n v="0"/>
    <n v="0"/>
    <n v="0"/>
    <n v="0"/>
    <n v="0"/>
    <n v="0"/>
    <s v="JC25000583"/>
    <d v="2025-06-14T00:00:00"/>
    <s v="MRS BIKKAVOLU KRISHNAVENI"/>
    <s v="AP39KU9216"/>
    <s v="NEW WAGON R 1.2L PETROL"/>
    <s v="BR/25000556"/>
    <d v="2025-06-14T00:00:00"/>
    <s v="Customer"/>
    <n v="450"/>
    <n v="225"/>
    <n v="40.5"/>
    <n v="265.5"/>
  </r>
  <r>
    <s v="VARUN MOTORS PVT LTD"/>
    <s v="VISAKHAPATNAM"/>
    <s v="YENDADA-2S"/>
    <s v="ZA05L0"/>
    <s v="WHEEL BALANCING - 5 WHEEL"/>
    <x v="2"/>
    <n v="0"/>
    <n v="0"/>
    <n v="0"/>
    <n v="0"/>
    <n v="0"/>
    <n v="0"/>
    <s v="JC25000598"/>
    <d v="2025-06-17T00:00:00"/>
    <s v="MR KROVI  MAHANTH"/>
    <s v="AP16DD7907"/>
    <s v="MARUTI BALENO PETROL"/>
    <s v="BR/25000578"/>
    <d v="2025-06-17T00:00:00"/>
    <s v="Customer"/>
    <n v="450"/>
    <n v="225"/>
    <n v="40.5"/>
    <n v="265.5"/>
  </r>
  <r>
    <s v="VARUN MOTORS PVT LTD"/>
    <s v="VISAKHAPATNAM"/>
    <s v="YENDADA-2S"/>
    <s v="ZA05L0"/>
    <s v="WHEEL BALANCING - 5 WHEEL"/>
    <x v="0"/>
    <n v="0"/>
    <n v="0"/>
    <n v="0"/>
    <n v="0"/>
    <n v="0"/>
    <n v="0"/>
    <s v="JC25000624"/>
    <d v="2025-06-19T00:00:00"/>
    <s v="MR KUNDRA KRISHNA VENI SANDHYARANI"/>
    <s v="AP31EV6799"/>
    <s v="NEW SWIFT PETROL"/>
    <s v="BR/25000593"/>
    <d v="2025-06-19T00:00:00"/>
    <s v="Customer"/>
    <n v="450"/>
    <n v="0"/>
    <n v="81"/>
    <n v="531"/>
  </r>
  <r>
    <s v="VARUN MOTORS PVT LTD"/>
    <s v="VISAKHAPATNAM"/>
    <s v="YENDADA-2S"/>
    <s v="ZA05L0"/>
    <s v="WHEEL BALANCING - 5 WHEEL"/>
    <x v="2"/>
    <n v="0"/>
    <n v="0"/>
    <n v="0"/>
    <n v="0"/>
    <n v="0"/>
    <n v="0"/>
    <s v="JC25000657"/>
    <d v="2025-06-24T00:00:00"/>
    <s v="MRS NUNELA SRAVANI"/>
    <s v="AP39SM2222"/>
    <s v="MARUTI GRAND VITARA Smart Hybrid"/>
    <s v="BR/25000632"/>
    <d v="2025-06-24T00:00:00"/>
    <s v="Customer"/>
    <n v="450"/>
    <n v="225"/>
    <n v="40.5"/>
    <n v="265.5"/>
  </r>
  <r>
    <s v="VARUN MOTORS PVT LTD"/>
    <s v="VISAKHAPATNAM"/>
    <s v="YENDADA-2S"/>
    <s v="ZA05L0"/>
    <s v="WHEEL BALANCING - 5 WHEEL"/>
    <x v="2"/>
    <n v="0"/>
    <n v="0"/>
    <n v="0"/>
    <n v="0"/>
    <n v="0"/>
    <n v="0"/>
    <s v="JC25000689"/>
    <d v="2025-06-26T00:00:00"/>
    <s v="MRS SRIKAKULAPU  RAJESWARIDEVI"/>
    <s v="AP40DM6363"/>
    <s v="NEW BALENO"/>
    <s v="BR/25000691"/>
    <d v="2025-06-30T00:00:00"/>
    <s v="Customer"/>
    <n v="450"/>
    <n v="225"/>
    <n v="40.5"/>
    <n v="265.5"/>
  </r>
  <r>
    <s v="VARUN MOTORS PVT LTD"/>
    <s v="VISAKHAPATNAM"/>
    <s v="YENDADA-2S"/>
    <s v="ZA11L0"/>
    <s v="WHEEL ALIGNMENT"/>
    <x v="1"/>
    <n v="0"/>
    <n v="0"/>
    <n v="0"/>
    <n v="0"/>
    <n v="0"/>
    <n v="0"/>
    <s v="JC25000444"/>
    <d v="2025-05-29T00:00:00"/>
    <s v="MR N VIKRAMAJAYA PRAKASH"/>
    <s v="AP40CV3675"/>
    <s v="NEW WAGON R 1L PETROL"/>
    <s v="BI/25000075"/>
    <d v="2025-06-18T00:00:00"/>
    <s v="Insurance"/>
    <n v="390"/>
    <n v="0"/>
    <n v="70.2"/>
    <n v="460.2"/>
  </r>
  <r>
    <s v="VARUN MOTORS PVT LTD"/>
    <s v="VISAKHAPATNAM"/>
    <s v="YENDADA-2S"/>
    <s v="ZA11L0"/>
    <s v="WHEEL ALIGNMENT"/>
    <x v="0"/>
    <n v="0"/>
    <n v="0"/>
    <n v="0"/>
    <n v="0"/>
    <n v="0"/>
    <n v="0"/>
    <s v="JC25000472"/>
    <d v="2025-06-01T00:00:00"/>
    <s v="MR ARUNAKUMAR  ANANTATMULA"/>
    <s v="AP40H1140"/>
    <s v="NEW BALENO"/>
    <s v="BR/25000457"/>
    <d v="2025-06-01T00:00:00"/>
    <s v="Customer"/>
    <n v="440"/>
    <n v="220"/>
    <n v="39.6"/>
    <n v="259.60000000000002"/>
  </r>
  <r>
    <s v="VARUN MOTORS PVT LTD"/>
    <s v="VISAKHAPATNAM"/>
    <s v="YENDADA-2S"/>
    <s v="ZA11L0"/>
    <s v="WHEEL ALIGNMENT"/>
    <x v="0"/>
    <n v="0"/>
    <n v="0"/>
    <n v="0"/>
    <n v="0"/>
    <n v="0"/>
    <n v="0"/>
    <s v="JC25000474"/>
    <d v="2025-06-02T00:00:00"/>
    <s v="M/S SAI LAKSHMI  HANUMANSETTY"/>
    <s v="AP31DW9709"/>
    <s v="MARUTI BALENO PETROL"/>
    <s v="BR/25000476"/>
    <d v="2025-06-04T00:00:00"/>
    <s v="Customer"/>
    <n v="440"/>
    <n v="220"/>
    <n v="39.6"/>
    <n v="259.60000000000002"/>
  </r>
  <r>
    <s v="VARUN MOTORS PVT LTD"/>
    <s v="VISAKHAPATNAM"/>
    <s v="YENDADA-2S"/>
    <s v="ZA11L0"/>
    <s v="WHEEL ALIGNMENT"/>
    <x v="0"/>
    <n v="0"/>
    <n v="0"/>
    <n v="0"/>
    <n v="0"/>
    <n v="0"/>
    <n v="0"/>
    <s v="JC25000483"/>
    <d v="2025-06-02T00:00:00"/>
    <s v="MRS BODDU AMANI"/>
    <s v="AP39SZ0950"/>
    <s v="NEW WAGON R 1.2L PETROL"/>
    <s v="BR/25000464"/>
    <d v="2025-06-02T00:00:00"/>
    <s v="Customer"/>
    <n v="440"/>
    <n v="220"/>
    <n v="39.6"/>
    <n v="259.60000000000002"/>
  </r>
  <r>
    <s v="VARUN MOTORS PVT LTD"/>
    <s v="VISAKHAPATNAM"/>
    <s v="YENDADA-2S"/>
    <s v="ZA11L0"/>
    <s v="WHEEL ALIGNMENT"/>
    <x v="0"/>
    <n v="0"/>
    <n v="0"/>
    <n v="0"/>
    <n v="0"/>
    <n v="0"/>
    <n v="0"/>
    <s v="JC25000505"/>
    <d v="2025-06-04T00:00:00"/>
    <s v="MR PAMULA SIREESH KUMAR"/>
    <s v="AP39SX3090"/>
    <s v="New Dzire Petrol"/>
    <s v="BR/25000477"/>
    <d v="2025-06-04T00:00:00"/>
    <s v="Customer"/>
    <n v="440"/>
    <n v="220"/>
    <n v="39.6"/>
    <n v="259.60000000000002"/>
  </r>
  <r>
    <s v="VARUN MOTORS PVT LTD"/>
    <s v="VISAKHAPATNAM"/>
    <s v="YENDADA-2S"/>
    <s v="ZA11L0"/>
    <s v="WHEEL ALIGNMENT"/>
    <x v="2"/>
    <n v="0"/>
    <n v="0"/>
    <n v="0"/>
    <n v="0"/>
    <n v="0"/>
    <n v="0"/>
    <s v="JC25000523"/>
    <d v="2025-06-06T00:00:00"/>
    <s v="MRS MARUTI TRUE VALUE"/>
    <s v="AP39NK1064"/>
    <s v="S-PRESSO BIFUEL CNG"/>
    <s v="BR/25000499"/>
    <d v="2025-06-06T00:00:00"/>
    <s v="Customer"/>
    <n v="390"/>
    <n v="0"/>
    <n v="0"/>
    <n v="390"/>
  </r>
  <r>
    <s v="VARUN MOTORS PVT LTD"/>
    <s v="VISAKHAPATNAM"/>
    <s v="YENDADA-2S"/>
    <s v="ZA11L0"/>
    <s v="WHEEL ALIGNMENT"/>
    <x v="0"/>
    <n v="0"/>
    <n v="0"/>
    <n v="0"/>
    <n v="0"/>
    <n v="0"/>
    <n v="0"/>
    <s v="JC25000545"/>
    <d v="2025-06-09T00:00:00"/>
    <s v="MR ALLURI RAGHU VARMA"/>
    <s v="AP40AW1515"/>
    <s v="Fronx Domestic P74"/>
    <s v="BR/25000519"/>
    <d v="2025-06-09T00:00:00"/>
    <s v="Customer"/>
    <n v="440"/>
    <n v="220"/>
    <n v="39.6"/>
    <n v="259.60000000000002"/>
  </r>
  <r>
    <s v="VARUN MOTORS PVT LTD"/>
    <s v="VISAKHAPATNAM"/>
    <s v="YENDADA-2S"/>
    <s v="ZA11L0"/>
    <s v="WHEEL ALIGNMENT"/>
    <x v="2"/>
    <n v="0"/>
    <n v="0"/>
    <n v="0"/>
    <n v="0"/>
    <n v="0"/>
    <n v="0"/>
    <s v="JC25000551"/>
    <d v="2025-06-10T00:00:00"/>
    <s v="M/S SAMUDRALA ENGINEERING CONSULTING"/>
    <s v="TS08FH4464"/>
    <s v="New Dzire Petrol"/>
    <s v="BR/25000528"/>
    <d v="2025-06-10T00:00:00"/>
    <s v="Customer"/>
    <n v="440"/>
    <n v="220"/>
    <n v="39.6"/>
    <n v="259.60000000000002"/>
  </r>
  <r>
    <s v="VARUN MOTORS PVT LTD"/>
    <s v="VISAKHAPATNAM"/>
    <s v="YENDADA-2S"/>
    <s v="ZA11L0"/>
    <s v="WHEEL ALIGNMENT"/>
    <x v="2"/>
    <n v="0"/>
    <n v="0"/>
    <n v="0"/>
    <n v="0"/>
    <n v="0"/>
    <n v="0"/>
    <s v="JC25000553"/>
    <d v="2025-06-10T00:00:00"/>
    <s v="MRS S SUHASINI"/>
    <s v="AP31BR9738"/>
    <s v="RITZ"/>
    <s v="BR/25000527"/>
    <d v="2025-06-10T00:00:00"/>
    <s v="Customer"/>
    <n v="440"/>
    <n v="220"/>
    <n v="39.6"/>
    <n v="259.60000000000002"/>
  </r>
  <r>
    <s v="VARUN MOTORS PVT LTD"/>
    <s v="VISAKHAPATNAM"/>
    <s v="YENDADA-2S"/>
    <s v="ZA11L0"/>
    <s v="WHEEL ALIGNMENT"/>
    <x v="2"/>
    <n v="0"/>
    <n v="0"/>
    <n v="0"/>
    <n v="0"/>
    <n v="0"/>
    <n v="0"/>
    <s v="JC25000557"/>
    <d v="2025-06-11T00:00:00"/>
    <s v="MRS K VENKATA LAKSHMI"/>
    <s v="AP39JN8697"/>
    <s v="MARUTI BALENO PETROL"/>
    <s v="MCP25000006"/>
    <d v="2025-06-11T00:00:00"/>
    <s v="Dealer AMC"/>
    <n v="363.44"/>
    <n v="0"/>
    <n v="65.42"/>
    <n v="428.86"/>
  </r>
  <r>
    <s v="VARUN MOTORS PVT LTD"/>
    <s v="VISAKHAPATNAM"/>
    <s v="YENDADA-2S"/>
    <s v="ZA11L0"/>
    <s v="WHEEL ALIGNMENT"/>
    <x v="0"/>
    <n v="0"/>
    <n v="0"/>
    <n v="0"/>
    <n v="0"/>
    <n v="0"/>
    <n v="0"/>
    <s v="JC25000578"/>
    <d v="2025-06-14T00:00:00"/>
    <s v="MR ALCHEMAS ENGINEERING"/>
    <s v="AP31EA0353"/>
    <s v="MARUTI BALENO PETROL"/>
    <s v="BR/25000567"/>
    <d v="2025-06-16T00:00:00"/>
    <s v="Customer"/>
    <n v="440"/>
    <n v="220"/>
    <n v="39.6"/>
    <n v="259.60000000000002"/>
  </r>
  <r>
    <s v="VARUN MOTORS PVT LTD"/>
    <s v="VISAKHAPATNAM"/>
    <s v="YENDADA-2S"/>
    <s v="ZA11L0"/>
    <s v="WHEEL ALIGNMENT"/>
    <x v="2"/>
    <n v="0"/>
    <n v="0"/>
    <n v="0"/>
    <n v="0"/>
    <n v="0"/>
    <n v="0"/>
    <s v="JC25000580"/>
    <d v="2025-06-14T00:00:00"/>
    <s v="MR MOSES JOSEPH MUNNANGI"/>
    <s v="AP40ER0856"/>
    <s v="NEW BALENO"/>
    <s v="MCP25000007"/>
    <d v="2025-06-14T00:00:00"/>
    <s v="Dealer AMC"/>
    <n v="363.44"/>
    <n v="0"/>
    <n v="65.42"/>
    <n v="428.86"/>
  </r>
  <r>
    <s v="VARUN MOTORS PVT LTD"/>
    <s v="VISAKHAPATNAM"/>
    <s v="YENDADA-2S"/>
    <s v="ZA11L0"/>
    <s v="WHEEL ALIGNMENT"/>
    <x v="2"/>
    <n v="0"/>
    <n v="0"/>
    <n v="0"/>
    <n v="0"/>
    <n v="0"/>
    <n v="0"/>
    <s v="JC25000583"/>
    <d v="2025-06-14T00:00:00"/>
    <s v="MRS BIKKAVOLU KRISHNAVENI"/>
    <s v="AP39KU9216"/>
    <s v="NEW WAGON R 1.2L PETROL"/>
    <s v="BR/25000556"/>
    <d v="2025-06-14T00:00:00"/>
    <s v="Customer"/>
    <n v="440"/>
    <n v="220"/>
    <n v="39.6"/>
    <n v="259.60000000000002"/>
  </r>
  <r>
    <s v="VARUN MOTORS PVT LTD"/>
    <s v="VISAKHAPATNAM"/>
    <s v="YENDADA-2S"/>
    <s v="ZA11L0"/>
    <s v="WHEEL ALIGNMENT"/>
    <x v="0"/>
    <n v="0"/>
    <n v="0"/>
    <n v="0"/>
    <n v="0"/>
    <n v="0"/>
    <n v="0"/>
    <s v="JC25000592"/>
    <d v="2025-06-16T00:00:00"/>
    <s v="MR UPPULURI KODANDARAMA"/>
    <s v="AP39SK6899"/>
    <s v="NEW BREZZA"/>
    <s v="BR/25000566"/>
    <d v="2025-06-16T00:00:00"/>
    <s v="Customer"/>
    <n v="440"/>
    <n v="220"/>
    <n v="39.6"/>
    <n v="259.60000000000002"/>
  </r>
  <r>
    <s v="VARUN MOTORS PVT LTD"/>
    <s v="VISAKHAPATNAM"/>
    <s v="YENDADA-2S"/>
    <s v="ZA11L0"/>
    <s v="WHEEL ALIGNMENT"/>
    <x v="2"/>
    <n v="0"/>
    <n v="0"/>
    <n v="0"/>
    <n v="0"/>
    <n v="0"/>
    <n v="0"/>
    <s v="JC25000598"/>
    <d v="2025-06-17T00:00:00"/>
    <s v="MR KROVI  MAHANTH"/>
    <s v="AP16DD7907"/>
    <s v="MARUTI BALENO PETROL"/>
    <s v="BR/25000578"/>
    <d v="2025-06-17T00:00:00"/>
    <s v="Customer"/>
    <n v="440"/>
    <n v="220"/>
    <n v="39.6"/>
    <n v="259.60000000000002"/>
  </r>
  <r>
    <s v="VARUN MOTORS PVT LTD"/>
    <s v="VISAKHAPATNAM"/>
    <s v="YENDADA-2S"/>
    <s v="ZA11L0"/>
    <s v="WHEEL ALIGNMENT"/>
    <x v="0"/>
    <n v="0"/>
    <n v="0"/>
    <n v="0"/>
    <n v="0"/>
    <n v="0"/>
    <n v="0"/>
    <s v="JC25000608"/>
    <d v="2025-06-17T00:00:00"/>
    <s v="MRS PAKALAPATI HAREESH VARMA"/>
    <s v="AP31EP6633"/>
    <s v="VITARA BREZZA 1.3D"/>
    <s v="BR/25000595"/>
    <d v="2025-06-19T00:00:00"/>
    <s v="Customer"/>
    <n v="510"/>
    <n v="255"/>
    <n v="45.9"/>
    <n v="300.89999999999998"/>
  </r>
  <r>
    <s v="VARUN MOTORS PVT LTD"/>
    <s v="VISAKHAPATNAM"/>
    <s v="YENDADA-2S"/>
    <s v="ZA11L0"/>
    <s v="WHEEL ALIGNMENT"/>
    <x v="0"/>
    <n v="0"/>
    <n v="0"/>
    <n v="0"/>
    <n v="0"/>
    <n v="0"/>
    <n v="0"/>
    <s v="JC25000624"/>
    <d v="2025-06-19T00:00:00"/>
    <s v="MR KUNDRA KRISHNA VENI SANDHYARANI"/>
    <s v="AP31EV6799"/>
    <s v="NEW SWIFT PETROL"/>
    <s v="BR/25000593"/>
    <d v="2025-06-19T00:00:00"/>
    <s v="Customer"/>
    <n v="440"/>
    <n v="0"/>
    <n v="79.2"/>
    <n v="519.20000000000005"/>
  </r>
  <r>
    <s v="VARUN MOTORS PVT LTD"/>
    <s v="VISAKHAPATNAM"/>
    <s v="YENDADA-2S"/>
    <s v="ZA11L0"/>
    <s v="WHEEL ALIGNMENT"/>
    <x v="0"/>
    <n v="0"/>
    <n v="0"/>
    <n v="0"/>
    <n v="0"/>
    <n v="0"/>
    <n v="0"/>
    <s v="JC25000636"/>
    <d v="2025-06-20T00:00:00"/>
    <s v="MR KALAKUNTLA RAMESH"/>
    <s v="AP39JX9750"/>
    <s v="NEW WAGON R 1.2L PETROL"/>
    <s v="BR/25000606"/>
    <d v="2025-06-20T00:00:00"/>
    <s v="Customer"/>
    <n v="440"/>
    <n v="220"/>
    <n v="39.6"/>
    <n v="259.60000000000002"/>
  </r>
  <r>
    <s v="VARUN MOTORS PVT LTD"/>
    <s v="VISAKHAPATNAM"/>
    <s v="YENDADA-2S"/>
    <s v="ZA11L0"/>
    <s v="WHEEL ALIGNMENT"/>
    <x v="2"/>
    <n v="0"/>
    <n v="0"/>
    <n v="0"/>
    <n v="0"/>
    <n v="0"/>
    <n v="0"/>
    <s v="JC25000657"/>
    <d v="2025-06-24T00:00:00"/>
    <s v="MRS NUNELA SRAVANI"/>
    <s v="AP39SM2222"/>
    <s v="MARUTI GRAND VITARA Smart Hybrid"/>
    <s v="BR/25000632"/>
    <d v="2025-06-24T00:00:00"/>
    <s v="Customer"/>
    <n v="440"/>
    <n v="220"/>
    <n v="39.6"/>
    <n v="259.60000000000002"/>
  </r>
  <r>
    <s v="VARUN MOTORS PVT LTD"/>
    <s v="VISAKHAPATNAM"/>
    <s v="YENDADA-2S"/>
    <s v="ZA11L0"/>
    <s v="WHEEL ALIGNMENT"/>
    <x v="0"/>
    <n v="0"/>
    <n v="0"/>
    <n v="0"/>
    <n v="0"/>
    <n v="0"/>
    <n v="0"/>
    <s v="JC25000661"/>
    <d v="2025-06-24T00:00:00"/>
    <s v="MR JOSYULA RAMA KRISHNA SASTRY"/>
    <s v="AP40L3522"/>
    <s v="BREZZA S-CNG"/>
    <s v="BR/25000635"/>
    <d v="2025-06-24T00:00:00"/>
    <s v="Customer"/>
    <n v="440"/>
    <n v="220"/>
    <n v="39.6"/>
    <n v="259.60000000000002"/>
  </r>
  <r>
    <s v="VARUN MOTORS PVT LTD"/>
    <s v="VISAKHAPATNAM"/>
    <s v="YENDADA-2S"/>
    <s v="ZA11L0"/>
    <s v="WHEEL ALIGNMENT"/>
    <x v="2"/>
    <n v="0"/>
    <n v="0"/>
    <n v="0"/>
    <n v="0"/>
    <n v="0"/>
    <n v="0"/>
    <s v="JC25000689"/>
    <d v="2025-06-26T00:00:00"/>
    <s v="MRS SRIKAKULAPU  RAJESWARIDEVI"/>
    <s v="AP40DM6363"/>
    <s v="NEW BALENO"/>
    <s v="BR/25000691"/>
    <d v="2025-06-30T00:00:00"/>
    <s v="Customer"/>
    <n v="440"/>
    <n v="220"/>
    <n v="39.6"/>
    <n v="259.60000000000002"/>
  </r>
  <r>
    <s v="VARUN MOTORS PVT LTD"/>
    <s v="VISAKHAPATNAM"/>
    <s v="YENDADA-2S"/>
    <s v="ZA11L0"/>
    <s v="WHEEL ALIGNMENT"/>
    <x v="0"/>
    <n v="0"/>
    <n v="0"/>
    <n v="0"/>
    <n v="0"/>
    <n v="0"/>
    <n v="0"/>
    <s v="JC25000697"/>
    <d v="2025-06-27T00:00:00"/>
    <s v="MR S.GANESH KISHORE"/>
    <s v="AP31BR6102"/>
    <s v="SWIFT"/>
    <s v="BR/25000728"/>
    <d v="2025-06-30T00:00:00"/>
    <s v="Customer"/>
    <n v="440"/>
    <n v="220"/>
    <n v="39.6"/>
    <n v="259.60000000000002"/>
  </r>
  <r>
    <s v="VARUN MOTORS PVT LTD"/>
    <s v="VISAKHAPATNAM"/>
    <s v="YENDADA-2S"/>
    <s v="ZA11L0"/>
    <s v="WHEEL ALIGNMENT"/>
    <x v="0"/>
    <n v="0"/>
    <n v="0"/>
    <n v="0"/>
    <n v="0"/>
    <n v="0"/>
    <n v="0"/>
    <s v="JC25000705"/>
    <d v="2025-06-28T00:00:00"/>
    <s v="MRS CHILAKOTI MADHAVI"/>
    <s v="AP31DJ8448"/>
    <s v="CELERIO"/>
    <s v="BR/25000674"/>
    <d v="2025-06-28T00:00:00"/>
    <s v="Customer"/>
    <n v="390"/>
    <n v="195"/>
    <n v="35.1"/>
    <n v="230.1"/>
  </r>
  <r>
    <s v="VARUN MOTORS PVT LTD"/>
    <s v="VISAKHAPATNAM"/>
    <s v="YENDADA-2S"/>
    <s v="ZA11L0"/>
    <s v="WHEEL ALIGNMENT"/>
    <x v="2"/>
    <n v="0"/>
    <n v="0"/>
    <n v="0"/>
    <n v="0"/>
    <n v="0"/>
    <n v="0"/>
    <s v="JC25000707"/>
    <d v="2025-06-28T00:00:00"/>
    <s v="MRS SARIPALLI SARASWATHI"/>
    <s v="AP31EV3711"/>
    <s v="NEW SWIFT PETROL"/>
    <s v="BR/25000683"/>
    <d v="2025-06-29T00:00:00"/>
    <s v="Customer"/>
    <n v="440"/>
    <n v="220"/>
    <n v="39.6"/>
    <n v="259.60000000000002"/>
  </r>
  <r>
    <s v="VARUN MOTORS PVT LTD"/>
    <s v="VISAKHAPATNAM"/>
    <s v="YENDADA-2S"/>
    <s v="ZA11L0"/>
    <s v="WHEEL ALIGNMENT"/>
    <x v="0"/>
    <n v="0"/>
    <n v="0"/>
    <n v="0"/>
    <n v="0"/>
    <n v="0"/>
    <n v="0"/>
    <s v="JC25000721"/>
    <d v="2025-06-29T00:00:00"/>
    <s v="MRS CHIPPADA ARUNA"/>
    <s v="AP39DK4634"/>
    <s v="ALTO 800"/>
    <s v="BR/25000690"/>
    <d v="2025-06-29T00:00:00"/>
    <s v="Customer"/>
    <n v="390"/>
    <n v="195"/>
    <n v="35.1"/>
    <n v="230.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">
  <r>
    <x v="0"/>
    <n v="100"/>
  </r>
  <r>
    <x v="1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G7" firstHeaderRow="0" firstDataRow="1" firstDataCol="1"/>
  <pivotFields count="24"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numFmtId="15" showAll="0"/>
    <pivotField showAll="0"/>
    <pivotField showAll="0"/>
    <pivotField showAll="0"/>
    <pivotField showAll="0"/>
    <pivotField numFmtId="15" showAll="0"/>
    <pivotField showAll="0"/>
    <pivotField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100" fld="6" baseField="0" baseItem="0"/>
    <dataField name="Sum of 70" fld="7" baseField="0" baseItem="0"/>
    <dataField name="Sum of 30" fld="8" baseField="0" baseItem="0"/>
    <dataField name="Sum of VAS" fld="9" baseField="0" baseItem="0"/>
    <dataField name="Sum of MGA" fld="10" baseField="0" baseItem="0"/>
    <dataField name="Sum of VAS CO" fld="11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U9:V12" firstHeaderRow="1" firstDataRow="1" firstDataCol="1"/>
  <pivotFields count="2">
    <pivotField axis="axisRow" showAll="0">
      <items count="3">
        <item x="1"/>
        <item x="0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AMOUNT" fld="1" baseField="0" baseItem="0"/>
  </dataFields>
  <formats count="2">
    <format dxfId="7">
      <pivotArea grandRow="1" outline="0" collapsedLevelsAreSubtotals="1" fieldPosition="0"/>
    </format>
    <format dxfId="6">
      <pivotArea dataOnly="0" labelOnly="1" grandRow="1" outline="0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J1:L7" totalsRowCount="1" headerRowDxfId="5">
  <tableColumns count="3">
    <tableColumn id="5" name="S.NO"/>
    <tableColumn id="1" name="EMPLOYEES"/>
    <tableColumn id="2" name="AMOUNT" totalsRowFunction="custom" dataDxfId="4" totalsRowDxfId="3">
      <calculatedColumnFormula>H6*3</calculatedColumnFormula>
      <totalsRowFormula>SUM(L2:L6)</totalsRowFormula>
    </tableColumn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4"/>
  <sheetViews>
    <sheetView tabSelected="1" topLeftCell="A13" workbookViewId="0">
      <selection activeCell="E43" sqref="E43:E44"/>
    </sheetView>
  </sheetViews>
  <sheetFormatPr defaultRowHeight="15" x14ac:dyDescent="0.25"/>
  <cols>
    <col min="1" max="1" width="10.140625" bestFit="1" customWidth="1"/>
    <col min="2" max="2" width="19.85546875" customWidth="1"/>
    <col min="3" max="3" width="22" bestFit="1" customWidth="1"/>
    <col min="4" max="4" width="14.7109375" bestFit="1" customWidth="1"/>
    <col min="5" max="5" width="11" bestFit="1" customWidth="1"/>
    <col min="11" max="11" width="15" style="50" bestFit="1" customWidth="1"/>
  </cols>
  <sheetData>
    <row r="1" spans="1:26" ht="18.75" x14ac:dyDescent="0.25">
      <c r="A1" s="151" t="s">
        <v>514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3"/>
    </row>
    <row r="2" spans="1:26" ht="66" customHeight="1" x14ac:dyDescent="0.25">
      <c r="A2" s="37" t="s">
        <v>440</v>
      </c>
      <c r="B2" s="37" t="s">
        <v>441</v>
      </c>
      <c r="C2" s="38" t="s">
        <v>310</v>
      </c>
      <c r="D2" s="38" t="s">
        <v>442</v>
      </c>
      <c r="E2" s="39" t="s">
        <v>443</v>
      </c>
      <c r="F2" s="37" t="s">
        <v>444</v>
      </c>
      <c r="G2" s="39" t="s">
        <v>445</v>
      </c>
      <c r="H2" s="39" t="s">
        <v>446</v>
      </c>
      <c r="I2" s="39" t="s">
        <v>447</v>
      </c>
      <c r="J2" s="39" t="s">
        <v>448</v>
      </c>
      <c r="K2" s="37" t="s">
        <v>449</v>
      </c>
      <c r="L2" s="37" t="s">
        <v>450</v>
      </c>
      <c r="M2" s="37" t="s">
        <v>451</v>
      </c>
      <c r="N2" s="37" t="s">
        <v>452</v>
      </c>
      <c r="O2" s="39" t="s">
        <v>453</v>
      </c>
      <c r="P2" s="39" t="s">
        <v>454</v>
      </c>
    </row>
    <row r="3" spans="1:26" x14ac:dyDescent="0.25">
      <c r="A3" s="40" t="s">
        <v>470</v>
      </c>
      <c r="B3" s="40" t="s">
        <v>294</v>
      </c>
      <c r="C3" s="40" t="s">
        <v>471</v>
      </c>
      <c r="D3" s="41" t="s">
        <v>458</v>
      </c>
      <c r="E3" s="42">
        <v>200</v>
      </c>
      <c r="F3" s="43">
        <v>339.5</v>
      </c>
      <c r="G3" s="44"/>
      <c r="H3" s="44"/>
      <c r="I3" s="44"/>
      <c r="J3" s="44"/>
      <c r="K3" s="45">
        <v>0</v>
      </c>
      <c r="L3" s="44">
        <f>5*200</f>
        <v>1000</v>
      </c>
      <c r="M3" s="45">
        <v>300</v>
      </c>
      <c r="N3" s="44"/>
      <c r="O3" s="44">
        <v>1200</v>
      </c>
      <c r="P3" s="46">
        <f t="shared" ref="P3:P37" si="0">SUM(E3:O3)</f>
        <v>3039.5</v>
      </c>
    </row>
    <row r="4" spans="1:26" x14ac:dyDescent="0.25">
      <c r="A4" s="40" t="s">
        <v>486</v>
      </c>
      <c r="B4" s="40" t="s">
        <v>292</v>
      </c>
      <c r="C4" s="40" t="s">
        <v>471</v>
      </c>
      <c r="D4" s="41" t="s">
        <v>458</v>
      </c>
      <c r="E4" s="42">
        <v>600</v>
      </c>
      <c r="F4" s="43">
        <v>2625</v>
      </c>
      <c r="G4" s="44"/>
      <c r="H4" s="44"/>
      <c r="I4" s="44">
        <v>100</v>
      </c>
      <c r="J4" s="44"/>
      <c r="K4" s="45">
        <v>1342</v>
      </c>
      <c r="L4" s="44"/>
      <c r="M4" s="45">
        <v>210</v>
      </c>
      <c r="N4" s="44"/>
      <c r="O4" s="44"/>
      <c r="P4" s="46">
        <f t="shared" si="0"/>
        <v>4877</v>
      </c>
    </row>
    <row r="5" spans="1:26" x14ac:dyDescent="0.25">
      <c r="A5" s="40" t="s">
        <v>512</v>
      </c>
      <c r="B5" s="40" t="s">
        <v>513</v>
      </c>
      <c r="C5" s="40" t="s">
        <v>471</v>
      </c>
      <c r="D5" s="41" t="s">
        <v>458</v>
      </c>
      <c r="E5" s="42">
        <v>200</v>
      </c>
      <c r="F5" s="44">
        <v>1974</v>
      </c>
      <c r="G5" s="44"/>
      <c r="H5" s="44"/>
      <c r="I5" s="44">
        <v>100</v>
      </c>
      <c r="J5" s="44"/>
      <c r="K5" s="45">
        <v>2475</v>
      </c>
      <c r="L5" s="44"/>
      <c r="M5" s="45">
        <v>1115</v>
      </c>
      <c r="N5" s="44"/>
      <c r="O5" s="44"/>
      <c r="P5" s="46">
        <f t="shared" si="0"/>
        <v>5864</v>
      </c>
    </row>
    <row r="6" spans="1:26" x14ac:dyDescent="0.25">
      <c r="A6" s="40" t="s">
        <v>355</v>
      </c>
      <c r="B6" s="40" t="s">
        <v>505</v>
      </c>
      <c r="C6" s="40" t="s">
        <v>506</v>
      </c>
      <c r="D6" s="41" t="s">
        <v>503</v>
      </c>
      <c r="E6" s="42"/>
      <c r="F6" s="43">
        <v>71</v>
      </c>
      <c r="G6" s="44"/>
      <c r="H6" s="44"/>
      <c r="I6" s="44"/>
      <c r="J6" s="44"/>
      <c r="K6" s="45"/>
      <c r="L6" s="44"/>
      <c r="M6" s="45"/>
      <c r="N6" s="44"/>
      <c r="O6" s="44"/>
      <c r="P6" s="46">
        <f t="shared" si="0"/>
        <v>71</v>
      </c>
      <c r="U6">
        <v>31</v>
      </c>
      <c r="Z6">
        <v>2</v>
      </c>
    </row>
    <row r="7" spans="1:26" x14ac:dyDescent="0.25">
      <c r="A7" s="40" t="s">
        <v>337</v>
      </c>
      <c r="B7" s="40" t="s">
        <v>459</v>
      </c>
      <c r="C7" s="40" t="s">
        <v>460</v>
      </c>
      <c r="D7" s="41" t="s">
        <v>458</v>
      </c>
      <c r="E7" s="42">
        <v>1400</v>
      </c>
      <c r="F7" s="43">
        <v>282</v>
      </c>
      <c r="G7" s="44"/>
      <c r="H7" s="82"/>
      <c r="I7" s="44"/>
      <c r="J7" s="44"/>
      <c r="K7" s="45"/>
      <c r="L7" s="44"/>
      <c r="M7" s="45"/>
      <c r="N7" s="44"/>
      <c r="O7" s="44"/>
      <c r="P7" s="46">
        <f t="shared" si="0"/>
        <v>1682</v>
      </c>
    </row>
    <row r="8" spans="1:26" x14ac:dyDescent="0.25">
      <c r="A8" s="40" t="s">
        <v>331</v>
      </c>
      <c r="B8" s="40" t="s">
        <v>461</v>
      </c>
      <c r="C8" s="40" t="s">
        <v>460</v>
      </c>
      <c r="D8" s="41" t="s">
        <v>458</v>
      </c>
      <c r="E8" s="42"/>
      <c r="F8" s="43">
        <v>388</v>
      </c>
      <c r="G8" s="44"/>
      <c r="H8" s="44"/>
      <c r="I8" s="44"/>
      <c r="J8" s="44"/>
      <c r="K8" s="45"/>
      <c r="L8" s="44"/>
      <c r="M8" s="33"/>
      <c r="N8" s="44"/>
      <c r="O8" s="44"/>
      <c r="P8" s="46">
        <f t="shared" si="0"/>
        <v>388</v>
      </c>
    </row>
    <row r="9" spans="1:26" x14ac:dyDescent="0.25">
      <c r="A9" s="40" t="s">
        <v>328</v>
      </c>
      <c r="B9" s="40" t="s">
        <v>489</v>
      </c>
      <c r="C9" s="40" t="s">
        <v>460</v>
      </c>
      <c r="D9" s="41" t="s">
        <v>458</v>
      </c>
      <c r="E9" s="42"/>
      <c r="F9" s="44">
        <v>388</v>
      </c>
      <c r="G9" s="44"/>
      <c r="H9" s="44"/>
      <c r="I9" s="44"/>
      <c r="J9" s="44"/>
      <c r="K9" s="45">
        <v>280</v>
      </c>
      <c r="L9" s="44"/>
      <c r="M9" s="45"/>
      <c r="N9" s="44"/>
      <c r="O9" s="44"/>
      <c r="P9" s="46">
        <f t="shared" si="0"/>
        <v>668</v>
      </c>
    </row>
    <row r="10" spans="1:26" x14ac:dyDescent="0.25">
      <c r="A10" s="40" t="s">
        <v>320</v>
      </c>
      <c r="B10" s="40" t="s">
        <v>356</v>
      </c>
      <c r="C10" s="40" t="s">
        <v>507</v>
      </c>
      <c r="D10" s="41" t="s">
        <v>508</v>
      </c>
      <c r="E10" s="42"/>
      <c r="F10" s="43">
        <f>44+79</f>
        <v>123</v>
      </c>
      <c r="G10" s="44"/>
      <c r="H10" s="44"/>
      <c r="I10" s="44"/>
      <c r="J10" s="44"/>
      <c r="K10" s="45"/>
      <c r="L10" s="44"/>
      <c r="M10" s="45"/>
      <c r="N10" s="44"/>
      <c r="O10" s="44"/>
      <c r="P10" s="46">
        <f t="shared" si="0"/>
        <v>123</v>
      </c>
    </row>
    <row r="11" spans="1:26" x14ac:dyDescent="0.25">
      <c r="A11" s="40" t="s">
        <v>363</v>
      </c>
      <c r="B11" s="40" t="s">
        <v>361</v>
      </c>
      <c r="C11" s="40" t="s">
        <v>511</v>
      </c>
      <c r="D11" s="41" t="s">
        <v>503</v>
      </c>
      <c r="E11" s="42"/>
      <c r="F11" s="43">
        <v>141</v>
      </c>
      <c r="G11" s="44"/>
      <c r="H11" s="44"/>
      <c r="I11" s="44"/>
      <c r="J11" s="44"/>
      <c r="K11" s="45"/>
      <c r="L11" s="44"/>
      <c r="M11" s="45"/>
      <c r="N11" s="44"/>
      <c r="O11" s="44"/>
      <c r="P11" s="46">
        <f t="shared" si="0"/>
        <v>141</v>
      </c>
    </row>
    <row r="12" spans="1:26" x14ac:dyDescent="0.25">
      <c r="A12" s="40" t="s">
        <v>349</v>
      </c>
      <c r="B12" s="40" t="s">
        <v>472</v>
      </c>
      <c r="C12" s="40" t="s">
        <v>473</v>
      </c>
      <c r="D12" s="41" t="s">
        <v>458</v>
      </c>
      <c r="E12" s="42"/>
      <c r="F12" s="44">
        <v>141</v>
      </c>
      <c r="G12" s="44"/>
      <c r="H12" s="44"/>
      <c r="I12" s="44"/>
      <c r="J12" s="44"/>
      <c r="K12" s="45"/>
      <c r="L12" s="44"/>
      <c r="M12" s="45"/>
      <c r="N12" s="44"/>
      <c r="O12" s="44"/>
      <c r="P12" s="46">
        <f t="shared" si="0"/>
        <v>141</v>
      </c>
    </row>
    <row r="13" spans="1:26" x14ac:dyDescent="0.25">
      <c r="A13" s="40" t="s">
        <v>464</v>
      </c>
      <c r="B13" s="40" t="s">
        <v>465</v>
      </c>
      <c r="C13" s="40" t="s">
        <v>466</v>
      </c>
      <c r="D13" s="41" t="s">
        <v>458</v>
      </c>
      <c r="E13" s="42">
        <v>1300</v>
      </c>
      <c r="F13" s="43"/>
      <c r="G13" s="42"/>
      <c r="H13" s="18"/>
      <c r="I13" s="44"/>
      <c r="J13" s="44"/>
      <c r="K13" s="45"/>
      <c r="L13" s="44"/>
      <c r="M13" s="45"/>
      <c r="N13" s="44"/>
      <c r="O13" s="44"/>
      <c r="P13" s="46">
        <f t="shared" si="0"/>
        <v>1300</v>
      </c>
    </row>
    <row r="14" spans="1:26" x14ac:dyDescent="0.25">
      <c r="A14" s="40" t="s">
        <v>500</v>
      </c>
      <c r="B14" s="40" t="s">
        <v>501</v>
      </c>
      <c r="C14" s="40" t="s">
        <v>502</v>
      </c>
      <c r="D14" s="41" t="s">
        <v>458</v>
      </c>
      <c r="E14" s="42">
        <v>1150</v>
      </c>
      <c r="F14" s="43"/>
      <c r="G14" s="44"/>
      <c r="H14" s="44"/>
      <c r="I14" s="44"/>
      <c r="J14" s="44"/>
      <c r="K14" s="45">
        <v>125</v>
      </c>
      <c r="L14" s="44"/>
      <c r="M14" s="45"/>
      <c r="N14" s="44"/>
      <c r="O14" s="44"/>
      <c r="P14" s="46">
        <f t="shared" si="0"/>
        <v>1275</v>
      </c>
    </row>
    <row r="15" spans="1:26" x14ac:dyDescent="0.25">
      <c r="A15" s="40" t="s">
        <v>481</v>
      </c>
      <c r="B15" s="40" t="s">
        <v>482</v>
      </c>
      <c r="C15" s="40" t="s">
        <v>483</v>
      </c>
      <c r="D15" s="41" t="s">
        <v>458</v>
      </c>
      <c r="E15" s="42">
        <v>435</v>
      </c>
      <c r="F15" s="43"/>
      <c r="G15" s="44">
        <v>815</v>
      </c>
      <c r="H15" s="44"/>
      <c r="I15" s="44"/>
      <c r="J15" s="44"/>
      <c r="K15" s="45"/>
      <c r="L15" s="44"/>
      <c r="M15" s="45"/>
      <c r="N15" s="44"/>
      <c r="O15" s="44"/>
      <c r="P15" s="46">
        <f t="shared" si="0"/>
        <v>1250</v>
      </c>
    </row>
    <row r="16" spans="1:26" x14ac:dyDescent="0.25">
      <c r="A16" s="40" t="s">
        <v>493</v>
      </c>
      <c r="B16" s="40" t="s">
        <v>494</v>
      </c>
      <c r="C16" s="40" t="s">
        <v>483</v>
      </c>
      <c r="D16" s="41" t="s">
        <v>458</v>
      </c>
      <c r="E16" s="42"/>
      <c r="F16" s="44"/>
      <c r="G16" s="44"/>
      <c r="H16" s="44"/>
      <c r="I16" s="44"/>
      <c r="J16" s="44"/>
      <c r="K16" s="45"/>
      <c r="L16" s="44"/>
      <c r="M16" s="45"/>
      <c r="N16" s="44"/>
      <c r="O16" s="44"/>
      <c r="P16" s="46">
        <f t="shared" si="0"/>
        <v>0</v>
      </c>
    </row>
    <row r="17" spans="1:16" x14ac:dyDescent="0.25">
      <c r="A17" s="40" t="s">
        <v>334</v>
      </c>
      <c r="B17" s="40" t="s">
        <v>484</v>
      </c>
      <c r="C17" s="40" t="s">
        <v>485</v>
      </c>
      <c r="D17" s="41" t="s">
        <v>458</v>
      </c>
      <c r="E17" s="42"/>
      <c r="F17" s="43">
        <v>201</v>
      </c>
      <c r="G17" s="44"/>
      <c r="H17" s="44"/>
      <c r="I17" s="44"/>
      <c r="J17" s="44"/>
      <c r="K17" s="45"/>
      <c r="L17" s="44"/>
      <c r="M17" s="45"/>
      <c r="N17" s="44"/>
      <c r="O17" s="44"/>
      <c r="P17" s="46">
        <f t="shared" si="0"/>
        <v>201</v>
      </c>
    </row>
    <row r="18" spans="1:16" x14ac:dyDescent="0.25">
      <c r="A18" s="40" t="s">
        <v>340</v>
      </c>
      <c r="B18" s="40" t="s">
        <v>338</v>
      </c>
      <c r="C18" s="40" t="s">
        <v>339</v>
      </c>
      <c r="D18" s="41" t="s">
        <v>503</v>
      </c>
      <c r="E18" s="42"/>
      <c r="F18" s="43">
        <v>141</v>
      </c>
      <c r="G18" s="44"/>
      <c r="H18" s="44"/>
      <c r="I18" s="44"/>
      <c r="J18" s="44"/>
      <c r="K18" s="45"/>
      <c r="L18" s="44"/>
      <c r="M18" s="45"/>
      <c r="N18" s="44"/>
      <c r="O18" s="44"/>
      <c r="P18" s="46">
        <f t="shared" si="0"/>
        <v>141</v>
      </c>
    </row>
    <row r="19" spans="1:16" x14ac:dyDescent="0.25">
      <c r="A19" s="40" t="s">
        <v>346</v>
      </c>
      <c r="B19" s="40" t="s">
        <v>344</v>
      </c>
      <c r="C19" s="40" t="s">
        <v>504</v>
      </c>
      <c r="D19" s="41" t="s">
        <v>503</v>
      </c>
      <c r="E19" s="42"/>
      <c r="F19" s="43">
        <v>71</v>
      </c>
      <c r="G19" s="44"/>
      <c r="H19" s="44"/>
      <c r="I19" s="44"/>
      <c r="J19" s="44"/>
      <c r="K19" s="45"/>
      <c r="L19" s="44"/>
      <c r="M19" s="45"/>
      <c r="N19" s="44"/>
      <c r="O19" s="44"/>
      <c r="P19" s="46">
        <f t="shared" si="0"/>
        <v>71</v>
      </c>
    </row>
    <row r="20" spans="1:16" x14ac:dyDescent="0.25">
      <c r="A20" s="40" t="s">
        <v>343</v>
      </c>
      <c r="B20" s="40" t="s">
        <v>341</v>
      </c>
      <c r="C20" s="40" t="s">
        <v>342</v>
      </c>
      <c r="D20" s="41" t="s">
        <v>503</v>
      </c>
      <c r="E20" s="42"/>
      <c r="F20" s="43">
        <v>71</v>
      </c>
      <c r="G20" s="44"/>
      <c r="H20" s="44"/>
      <c r="I20" s="44"/>
      <c r="J20" s="44"/>
      <c r="K20" s="45"/>
      <c r="L20" s="44"/>
      <c r="M20" s="45"/>
      <c r="N20" s="44"/>
      <c r="O20" s="44"/>
      <c r="P20" s="46">
        <f t="shared" si="0"/>
        <v>71</v>
      </c>
    </row>
    <row r="21" spans="1:16" x14ac:dyDescent="0.25">
      <c r="A21" s="40" t="s">
        <v>360</v>
      </c>
      <c r="B21" s="40" t="s">
        <v>509</v>
      </c>
      <c r="C21" s="40" t="s">
        <v>510</v>
      </c>
      <c r="D21" s="41" t="s">
        <v>503</v>
      </c>
      <c r="E21" s="42"/>
      <c r="F21" s="43">
        <v>71</v>
      </c>
      <c r="G21" s="44"/>
      <c r="H21" s="44"/>
      <c r="I21" s="44"/>
      <c r="J21" s="44"/>
      <c r="K21" s="45"/>
      <c r="L21" s="44"/>
      <c r="M21" s="45"/>
      <c r="N21" s="44"/>
      <c r="O21" s="44"/>
      <c r="P21" s="46">
        <f t="shared" si="0"/>
        <v>71</v>
      </c>
    </row>
    <row r="22" spans="1:16" x14ac:dyDescent="0.25">
      <c r="A22" s="40" t="s">
        <v>352</v>
      </c>
      <c r="B22" s="40" t="s">
        <v>477</v>
      </c>
      <c r="C22" s="40" t="s">
        <v>478</v>
      </c>
      <c r="D22" s="41" t="s">
        <v>458</v>
      </c>
      <c r="E22" s="42"/>
      <c r="F22" s="43">
        <v>71</v>
      </c>
      <c r="G22" s="44"/>
      <c r="H22" s="44"/>
      <c r="I22" s="44"/>
      <c r="J22" s="44"/>
      <c r="K22" s="45">
        <v>84</v>
      </c>
      <c r="L22" s="44"/>
      <c r="M22" s="45"/>
      <c r="N22" s="44"/>
      <c r="O22" s="44"/>
      <c r="P22" s="46">
        <f t="shared" si="0"/>
        <v>155</v>
      </c>
    </row>
    <row r="23" spans="1:16" x14ac:dyDescent="0.25">
      <c r="A23" s="40" t="s">
        <v>467</v>
      </c>
      <c r="B23" s="40" t="s">
        <v>468</v>
      </c>
      <c r="C23" s="40" t="s">
        <v>469</v>
      </c>
      <c r="D23" s="41" t="s">
        <v>458</v>
      </c>
      <c r="E23" s="42">
        <v>1500</v>
      </c>
      <c r="F23" s="44"/>
      <c r="G23" s="44"/>
      <c r="H23" s="44"/>
      <c r="I23" s="44"/>
      <c r="J23" s="44"/>
      <c r="K23" s="45"/>
      <c r="L23" s="44"/>
      <c r="M23" s="45"/>
      <c r="N23" s="44"/>
      <c r="O23" s="44"/>
      <c r="P23" s="46">
        <f t="shared" si="0"/>
        <v>1500</v>
      </c>
    </row>
    <row r="24" spans="1:16" x14ac:dyDescent="0.25">
      <c r="A24" s="40" t="s">
        <v>490</v>
      </c>
      <c r="B24" s="40" t="s">
        <v>491</v>
      </c>
      <c r="C24" s="40" t="s">
        <v>492</v>
      </c>
      <c r="D24" s="41" t="s">
        <v>458</v>
      </c>
      <c r="E24" s="42"/>
      <c r="F24" s="44"/>
      <c r="G24" s="44"/>
      <c r="H24" s="44"/>
      <c r="I24" s="44"/>
      <c r="J24" s="44"/>
      <c r="K24" s="45"/>
      <c r="L24" s="44"/>
      <c r="M24" s="45"/>
      <c r="N24" s="44"/>
      <c r="O24" s="44"/>
      <c r="P24" s="46">
        <f t="shared" si="0"/>
        <v>0</v>
      </c>
    </row>
    <row r="25" spans="1:16" x14ac:dyDescent="0.25">
      <c r="A25" s="40" t="s">
        <v>462</v>
      </c>
      <c r="B25" s="40" t="s">
        <v>329</v>
      </c>
      <c r="C25" s="40" t="s">
        <v>463</v>
      </c>
      <c r="D25" s="41" t="s">
        <v>458</v>
      </c>
      <c r="E25" s="42">
        <v>900</v>
      </c>
      <c r="F25" s="43"/>
      <c r="G25" s="44"/>
      <c r="H25" s="44"/>
      <c r="I25" s="44"/>
      <c r="J25" s="44"/>
      <c r="K25" s="45"/>
      <c r="L25" s="44"/>
      <c r="M25" s="33"/>
      <c r="N25" s="44">
        <v>716</v>
      </c>
      <c r="O25" s="44"/>
      <c r="P25" s="46">
        <f t="shared" si="0"/>
        <v>1616</v>
      </c>
    </row>
    <row r="26" spans="1:16" x14ac:dyDescent="0.25">
      <c r="A26" s="40" t="s">
        <v>455</v>
      </c>
      <c r="B26" s="40" t="s">
        <v>456</v>
      </c>
      <c r="C26" s="40" t="s">
        <v>457</v>
      </c>
      <c r="D26" s="41" t="s">
        <v>458</v>
      </c>
      <c r="E26" s="42"/>
      <c r="F26" s="43"/>
      <c r="G26" s="44"/>
      <c r="H26" s="44"/>
      <c r="I26" s="44"/>
      <c r="J26" s="44"/>
      <c r="K26" s="45"/>
      <c r="L26" s="44"/>
      <c r="M26" s="45"/>
      <c r="N26" s="44"/>
      <c r="O26" s="44"/>
      <c r="P26" s="46">
        <f t="shared" si="0"/>
        <v>0</v>
      </c>
    </row>
    <row r="27" spans="1:16" x14ac:dyDescent="0.25">
      <c r="A27" s="40" t="s">
        <v>495</v>
      </c>
      <c r="B27" s="40" t="s">
        <v>496</v>
      </c>
      <c r="C27" s="40" t="s">
        <v>457</v>
      </c>
      <c r="D27" s="41" t="s">
        <v>458</v>
      </c>
      <c r="E27" s="42"/>
      <c r="F27" s="44"/>
      <c r="G27" s="44"/>
      <c r="H27" s="44"/>
      <c r="I27" s="44"/>
      <c r="J27" s="44"/>
      <c r="K27" s="45"/>
      <c r="L27" s="44"/>
      <c r="M27" s="45"/>
      <c r="N27" s="44"/>
      <c r="O27" s="44"/>
      <c r="P27" s="46">
        <f t="shared" si="0"/>
        <v>0</v>
      </c>
    </row>
    <row r="28" spans="1:16" x14ac:dyDescent="0.25">
      <c r="A28" s="40" t="s">
        <v>317</v>
      </c>
      <c r="B28" s="40" t="s">
        <v>479</v>
      </c>
      <c r="C28" s="40" t="s">
        <v>480</v>
      </c>
      <c r="D28" s="41" t="s">
        <v>458</v>
      </c>
      <c r="E28" s="42"/>
      <c r="F28" s="44">
        <f>981+6</f>
        <v>987</v>
      </c>
      <c r="G28" s="44"/>
      <c r="H28" s="44"/>
      <c r="I28" s="44"/>
      <c r="J28" s="44"/>
      <c r="K28" s="45"/>
      <c r="L28" s="44"/>
      <c r="M28" s="45"/>
      <c r="N28" s="44"/>
      <c r="O28" s="44"/>
      <c r="P28" s="46">
        <f t="shared" si="0"/>
        <v>987</v>
      </c>
    </row>
    <row r="29" spans="1:16" x14ac:dyDescent="0.25">
      <c r="A29" s="40" t="s">
        <v>314</v>
      </c>
      <c r="B29" s="40" t="s">
        <v>313</v>
      </c>
      <c r="C29" s="40" t="s">
        <v>297</v>
      </c>
      <c r="D29" s="41"/>
      <c r="E29" s="42"/>
      <c r="F29" s="43">
        <f>439+335</f>
        <v>774</v>
      </c>
      <c r="G29" s="44"/>
      <c r="H29" s="44"/>
      <c r="I29" s="44"/>
      <c r="J29" s="44"/>
      <c r="K29" s="45"/>
      <c r="L29" s="44"/>
      <c r="M29" s="45"/>
      <c r="N29" s="44"/>
      <c r="O29" s="44"/>
      <c r="P29" s="46">
        <f t="shared" si="0"/>
        <v>774</v>
      </c>
    </row>
    <row r="30" spans="1:16" x14ac:dyDescent="0.25">
      <c r="A30" s="40" t="s">
        <v>497</v>
      </c>
      <c r="B30" s="40" t="s">
        <v>498</v>
      </c>
      <c r="C30" s="40" t="s">
        <v>499</v>
      </c>
      <c r="D30" s="41" t="s">
        <v>458</v>
      </c>
      <c r="E30" s="42"/>
      <c r="F30" s="44"/>
      <c r="G30" s="44"/>
      <c r="H30" s="44"/>
      <c r="I30" s="44"/>
      <c r="J30" s="44"/>
      <c r="K30" s="45"/>
      <c r="L30" s="44"/>
      <c r="M30" s="45"/>
      <c r="N30" s="44"/>
      <c r="O30" s="44"/>
      <c r="P30" s="46">
        <f t="shared" si="0"/>
        <v>0</v>
      </c>
    </row>
    <row r="31" spans="1:16" x14ac:dyDescent="0.25">
      <c r="A31" s="40" t="s">
        <v>474</v>
      </c>
      <c r="B31" s="40" t="s">
        <v>475</v>
      </c>
      <c r="C31" s="40" t="s">
        <v>476</v>
      </c>
      <c r="D31" s="41" t="s">
        <v>458</v>
      </c>
      <c r="E31" s="42">
        <v>1200</v>
      </c>
      <c r="F31" s="43">
        <v>158</v>
      </c>
      <c r="G31" s="44"/>
      <c r="H31" s="44"/>
      <c r="I31" s="44"/>
      <c r="J31" s="44"/>
      <c r="K31" s="45"/>
      <c r="L31" s="44"/>
      <c r="M31" s="45"/>
      <c r="N31" s="44"/>
      <c r="O31" s="44"/>
      <c r="P31" s="46">
        <f t="shared" si="0"/>
        <v>1358</v>
      </c>
    </row>
    <row r="32" spans="1:16" x14ac:dyDescent="0.25">
      <c r="A32" s="40" t="s">
        <v>3345</v>
      </c>
      <c r="B32" s="40" t="s">
        <v>3346</v>
      </c>
      <c r="C32" s="40" t="s">
        <v>469</v>
      </c>
      <c r="D32" s="41" t="s">
        <v>458</v>
      </c>
      <c r="E32" s="42">
        <v>1200</v>
      </c>
      <c r="F32" s="43"/>
      <c r="G32" s="44"/>
      <c r="H32" s="44"/>
      <c r="I32" s="44"/>
      <c r="J32" s="44"/>
      <c r="K32" s="45"/>
      <c r="L32" s="44"/>
      <c r="M32" s="45"/>
      <c r="N32" s="44"/>
      <c r="O32" s="44"/>
      <c r="P32" s="46">
        <f t="shared" si="0"/>
        <v>1200</v>
      </c>
    </row>
    <row r="33" spans="1:16" x14ac:dyDescent="0.25">
      <c r="A33" s="40" t="s">
        <v>3350</v>
      </c>
      <c r="B33" s="40" t="s">
        <v>3347</v>
      </c>
      <c r="C33" s="40" t="s">
        <v>483</v>
      </c>
      <c r="D33" s="41" t="s">
        <v>458</v>
      </c>
      <c r="E33" s="42">
        <v>110</v>
      </c>
      <c r="F33" s="43"/>
      <c r="G33" s="44"/>
      <c r="H33" s="44"/>
      <c r="I33" s="44"/>
      <c r="J33" s="44"/>
      <c r="K33" s="45"/>
      <c r="L33" s="44"/>
      <c r="M33" s="45"/>
      <c r="N33" s="44"/>
      <c r="O33" s="44"/>
      <c r="P33" s="46">
        <f t="shared" si="0"/>
        <v>110</v>
      </c>
    </row>
    <row r="34" spans="1:16" x14ac:dyDescent="0.25">
      <c r="A34" s="40" t="s">
        <v>3348</v>
      </c>
      <c r="B34" s="40" t="s">
        <v>3349</v>
      </c>
      <c r="C34" s="40" t="s">
        <v>466</v>
      </c>
      <c r="D34" s="41" t="s">
        <v>458</v>
      </c>
      <c r="E34" s="42">
        <v>500</v>
      </c>
      <c r="F34" s="43"/>
      <c r="G34" s="44"/>
      <c r="H34" s="44"/>
      <c r="I34" s="44"/>
      <c r="J34" s="44"/>
      <c r="K34" s="45"/>
      <c r="L34" s="44"/>
      <c r="M34" s="45"/>
      <c r="N34" s="44"/>
      <c r="O34" s="44"/>
      <c r="P34" s="46">
        <f t="shared" si="0"/>
        <v>500</v>
      </c>
    </row>
    <row r="35" spans="1:16" x14ac:dyDescent="0.25">
      <c r="A35" s="40" t="s">
        <v>3351</v>
      </c>
      <c r="B35" s="40" t="s">
        <v>3352</v>
      </c>
      <c r="C35" s="40" t="s">
        <v>502</v>
      </c>
      <c r="D35" s="41" t="s">
        <v>458</v>
      </c>
      <c r="E35" s="42">
        <v>200</v>
      </c>
      <c r="F35" s="43"/>
      <c r="G35" s="44"/>
      <c r="H35" s="44"/>
      <c r="I35" s="44"/>
      <c r="J35" s="44"/>
      <c r="K35" s="45"/>
      <c r="L35" s="44"/>
      <c r="M35" s="45"/>
      <c r="N35" s="44"/>
      <c r="O35" s="44"/>
      <c r="P35" s="46">
        <f t="shared" si="0"/>
        <v>200</v>
      </c>
    </row>
    <row r="36" spans="1:16" x14ac:dyDescent="0.25">
      <c r="A36" s="40" t="s">
        <v>487</v>
      </c>
      <c r="B36" s="40" t="s">
        <v>488</v>
      </c>
      <c r="C36" s="40" t="s">
        <v>476</v>
      </c>
      <c r="D36" s="41" t="s">
        <v>458</v>
      </c>
      <c r="E36" s="42">
        <v>1150</v>
      </c>
      <c r="F36" s="44">
        <v>157</v>
      </c>
      <c r="G36" s="44"/>
      <c r="H36" s="44"/>
      <c r="I36" s="44"/>
      <c r="J36" s="44"/>
      <c r="K36" s="45"/>
      <c r="L36" s="44"/>
      <c r="M36" s="45"/>
      <c r="N36" s="44"/>
      <c r="O36" s="44"/>
      <c r="P36" s="46">
        <f t="shared" si="0"/>
        <v>1307</v>
      </c>
    </row>
    <row r="37" spans="1:16" x14ac:dyDescent="0.25">
      <c r="A37" s="47"/>
      <c r="B37" s="47"/>
      <c r="C37" s="47"/>
      <c r="D37" s="47"/>
      <c r="E37" s="48">
        <f>SUM(E3:E36)</f>
        <v>12045</v>
      </c>
      <c r="F37" s="48">
        <f>SUM(F3:F36)</f>
        <v>9174.5</v>
      </c>
      <c r="G37" s="48">
        <f>SUM(G3:G36)</f>
        <v>815</v>
      </c>
      <c r="H37" s="48">
        <f>SUM(H3:H36)</f>
        <v>0</v>
      </c>
      <c r="I37" s="48">
        <f>SUM(I3:I36)</f>
        <v>200</v>
      </c>
      <c r="J37" s="48">
        <f>SUM(J3:J36)</f>
        <v>0</v>
      </c>
      <c r="K37" s="48">
        <f>SUM(K3:K36)</f>
        <v>4306</v>
      </c>
      <c r="L37" s="48">
        <f>SUM(L3:L36)</f>
        <v>1000</v>
      </c>
      <c r="M37" s="48">
        <f>SUM(M3:M36)</f>
        <v>1625</v>
      </c>
      <c r="N37" s="48">
        <f>SUM(N3:N36)</f>
        <v>716</v>
      </c>
      <c r="O37" s="48">
        <f>SUM(O3:O36)</f>
        <v>1200</v>
      </c>
      <c r="P37" s="49">
        <f t="shared" si="0"/>
        <v>31081.5</v>
      </c>
    </row>
    <row r="40" spans="1:16" x14ac:dyDescent="0.25">
      <c r="E40" s="267"/>
    </row>
    <row r="44" spans="1:16" x14ac:dyDescent="0.25">
      <c r="E44" s="267"/>
    </row>
  </sheetData>
  <mergeCells count="1">
    <mergeCell ref="A1:P1"/>
  </mergeCells>
  <conditionalFormatting sqref="A1:A37">
    <cfRule type="duplicateValues" dxfId="0" priority="3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5"/>
  <sheetViews>
    <sheetView topLeftCell="P1" workbookViewId="0">
      <selection activeCell="AC8" sqref="AC8"/>
    </sheetView>
  </sheetViews>
  <sheetFormatPr defaultRowHeight="15" x14ac:dyDescent="0.25"/>
  <cols>
    <col min="1" max="1" width="3.85546875" style="220" bestFit="1" customWidth="1"/>
    <col min="2" max="2" width="16" style="220" bestFit="1" customWidth="1"/>
    <col min="3" max="3" width="13.5703125" style="220" bestFit="1" customWidth="1"/>
    <col min="4" max="4" width="17.85546875" style="220" bestFit="1" customWidth="1"/>
    <col min="5" max="5" width="23.42578125" style="220" bestFit="1" customWidth="1"/>
    <col min="6" max="6" width="14.85546875" style="220" bestFit="1" customWidth="1"/>
    <col min="7" max="7" width="29.85546875" style="220" customWidth="1"/>
    <col min="8" max="8" width="17" style="220" bestFit="1" customWidth="1"/>
    <col min="9" max="9" width="13.85546875" style="220" bestFit="1" customWidth="1"/>
    <col min="10" max="10" width="17.28515625" style="220" bestFit="1" customWidth="1"/>
    <col min="11" max="11" width="3.5703125" style="220" customWidth="1"/>
    <col min="12" max="16384" width="9.140625" style="220"/>
  </cols>
  <sheetData>
    <row r="1" spans="1:29" ht="15.75" thickBot="1" x14ac:dyDescent="0.3">
      <c r="A1" s="220" t="s">
        <v>3239</v>
      </c>
      <c r="B1" s="220" t="s">
        <v>3258</v>
      </c>
      <c r="C1" s="220" t="s">
        <v>3259</v>
      </c>
      <c r="D1" s="220" t="s">
        <v>3260</v>
      </c>
      <c r="E1" s="220" t="s">
        <v>3261</v>
      </c>
      <c r="F1" s="220" t="s">
        <v>3262</v>
      </c>
      <c r="G1" s="220" t="s">
        <v>3263</v>
      </c>
      <c r="H1" s="220" t="s">
        <v>3240</v>
      </c>
      <c r="I1" s="220" t="s">
        <v>3264</v>
      </c>
      <c r="J1" s="220" t="s">
        <v>3265</v>
      </c>
    </row>
    <row r="2" spans="1:29" ht="15.75" thickBot="1" x14ac:dyDescent="0.3">
      <c r="A2" s="220">
        <v>1</v>
      </c>
      <c r="B2" s="221" t="s">
        <v>3266</v>
      </c>
      <c r="C2" s="222">
        <v>45763</v>
      </c>
      <c r="D2" s="221" t="s">
        <v>3267</v>
      </c>
      <c r="E2" s="223">
        <v>45825.375</v>
      </c>
      <c r="F2" s="221" t="s">
        <v>133</v>
      </c>
      <c r="G2" s="221" t="s">
        <v>41</v>
      </c>
      <c r="H2" s="221" t="s">
        <v>3246</v>
      </c>
      <c r="I2" s="222">
        <v>45824</v>
      </c>
      <c r="J2" s="221" t="s">
        <v>292</v>
      </c>
      <c r="L2" s="224" t="s">
        <v>3268</v>
      </c>
      <c r="M2" s="225">
        <v>2</v>
      </c>
    </row>
    <row r="3" spans="1:29" ht="21.75" thickBot="1" x14ac:dyDescent="0.3">
      <c r="A3" s="220">
        <v>2</v>
      </c>
      <c r="B3" s="226" t="s">
        <v>3269</v>
      </c>
      <c r="C3" s="227">
        <v>45765</v>
      </c>
      <c r="D3" s="226" t="s">
        <v>3267</v>
      </c>
      <c r="E3" s="228">
        <v>45809.447916666664</v>
      </c>
      <c r="F3" s="226" t="s">
        <v>233</v>
      </c>
      <c r="G3" s="226" t="s">
        <v>31</v>
      </c>
      <c r="H3" s="226" t="s">
        <v>3246</v>
      </c>
      <c r="I3" s="227">
        <v>45809</v>
      </c>
      <c r="J3" s="226" t="s">
        <v>292</v>
      </c>
      <c r="L3" s="224" t="s">
        <v>3270</v>
      </c>
      <c r="M3" s="225">
        <v>31</v>
      </c>
      <c r="P3" s="231" t="s">
        <v>3333</v>
      </c>
      <c r="Q3" s="231"/>
      <c r="R3" s="231"/>
      <c r="S3" s="231"/>
      <c r="T3" s="231"/>
      <c r="U3" s="232"/>
      <c r="V3" s="232"/>
      <c r="W3" s="232"/>
      <c r="X3" s="232"/>
      <c r="Y3" s="232"/>
      <c r="Z3" s="232"/>
      <c r="AA3" s="232"/>
      <c r="AB3" s="232"/>
      <c r="AC3" s="232"/>
    </row>
    <row r="4" spans="1:29" ht="15.75" thickBot="1" x14ac:dyDescent="0.3">
      <c r="A4" s="220">
        <v>3</v>
      </c>
      <c r="B4" s="226" t="s">
        <v>3271</v>
      </c>
      <c r="C4" s="227">
        <v>45786</v>
      </c>
      <c r="D4" s="226" t="s">
        <v>3267</v>
      </c>
      <c r="E4" s="228">
        <v>45836.447916666664</v>
      </c>
      <c r="F4" s="226" t="s">
        <v>73</v>
      </c>
      <c r="G4" s="226" t="s">
        <v>51</v>
      </c>
      <c r="H4" s="226" t="s">
        <v>3246</v>
      </c>
      <c r="I4" s="227">
        <v>45836</v>
      </c>
      <c r="J4" s="226" t="s">
        <v>292</v>
      </c>
      <c r="P4" s="233" t="s">
        <v>324</v>
      </c>
      <c r="Q4" s="233" t="s">
        <v>3334</v>
      </c>
      <c r="R4" s="233" t="s">
        <v>309</v>
      </c>
      <c r="S4" s="233" t="s">
        <v>442</v>
      </c>
      <c r="T4" s="234" t="s">
        <v>3335</v>
      </c>
      <c r="U4" s="235" t="s">
        <v>3336</v>
      </c>
      <c r="V4" s="236"/>
      <c r="W4" s="236"/>
      <c r="X4" s="236"/>
      <c r="Y4" s="237"/>
      <c r="Z4" s="238" t="s">
        <v>3337</v>
      </c>
      <c r="AA4" s="239"/>
      <c r="AB4" s="239" t="s">
        <v>3338</v>
      </c>
      <c r="AC4" s="240"/>
    </row>
    <row r="5" spans="1:29" ht="15.75" thickBot="1" x14ac:dyDescent="0.3">
      <c r="A5" s="220">
        <v>4</v>
      </c>
      <c r="B5" s="226" t="s">
        <v>3272</v>
      </c>
      <c r="C5" s="227">
        <v>45805</v>
      </c>
      <c r="D5" s="226" t="s">
        <v>3267</v>
      </c>
      <c r="E5" s="228">
        <v>45817.46875</v>
      </c>
      <c r="F5" s="226" t="s">
        <v>123</v>
      </c>
      <c r="G5" s="226" t="s">
        <v>124</v>
      </c>
      <c r="H5" s="226" t="s">
        <v>3246</v>
      </c>
      <c r="I5" s="227">
        <v>45817</v>
      </c>
      <c r="J5" s="226" t="s">
        <v>292</v>
      </c>
      <c r="P5" s="233"/>
      <c r="Q5" s="233"/>
      <c r="R5" s="233"/>
      <c r="S5" s="233"/>
      <c r="T5" s="234"/>
      <c r="U5" s="241" t="s">
        <v>3339</v>
      </c>
      <c r="V5" s="242" t="s">
        <v>3340</v>
      </c>
      <c r="W5" s="243"/>
      <c r="X5" s="244"/>
      <c r="Y5" s="245" t="s">
        <v>321</v>
      </c>
      <c r="Z5" s="246" t="s">
        <v>3339</v>
      </c>
      <c r="AA5" s="247" t="s">
        <v>3341</v>
      </c>
      <c r="AB5" s="248" t="s">
        <v>321</v>
      </c>
      <c r="AC5" s="249" t="s">
        <v>3342</v>
      </c>
    </row>
    <row r="6" spans="1:29" ht="30.75" thickBot="1" x14ac:dyDescent="0.3">
      <c r="A6" s="220">
        <v>5</v>
      </c>
      <c r="B6" s="226" t="s">
        <v>3273</v>
      </c>
      <c r="C6" s="227">
        <v>45805</v>
      </c>
      <c r="D6" s="226" t="s">
        <v>3267</v>
      </c>
      <c r="E6" s="228">
        <v>45830</v>
      </c>
      <c r="F6" s="226" t="s">
        <v>91</v>
      </c>
      <c r="G6" s="226" t="s">
        <v>92</v>
      </c>
      <c r="H6" s="226" t="s">
        <v>3246</v>
      </c>
      <c r="I6" s="227">
        <v>45830</v>
      </c>
      <c r="J6" s="226" t="s">
        <v>292</v>
      </c>
      <c r="P6" s="250">
        <v>1</v>
      </c>
      <c r="Q6" s="45" t="s">
        <v>482</v>
      </c>
      <c r="R6" s="45" t="s">
        <v>481</v>
      </c>
      <c r="S6" s="251" t="s">
        <v>458</v>
      </c>
      <c r="T6" s="252" t="s">
        <v>3343</v>
      </c>
      <c r="U6" s="253">
        <v>31</v>
      </c>
      <c r="V6" s="254">
        <v>25</v>
      </c>
      <c r="W6" s="255"/>
      <c r="X6" s="256"/>
      <c r="Y6" s="257">
        <f>V6*U6</f>
        <v>775</v>
      </c>
      <c r="Z6" s="258">
        <v>2</v>
      </c>
      <c r="AA6" s="259">
        <v>20</v>
      </c>
      <c r="AB6" s="260">
        <f>Z6*AA6</f>
        <v>40</v>
      </c>
      <c r="AC6" s="261">
        <f>AB6+Y6</f>
        <v>815</v>
      </c>
    </row>
    <row r="7" spans="1:29" x14ac:dyDescent="0.25">
      <c r="A7" s="220">
        <v>6</v>
      </c>
      <c r="B7" s="226" t="s">
        <v>3274</v>
      </c>
      <c r="C7" s="227">
        <v>45806</v>
      </c>
      <c r="D7" s="226" t="s">
        <v>3267</v>
      </c>
      <c r="E7" s="228">
        <v>45813.375</v>
      </c>
      <c r="F7" s="226" t="s">
        <v>1610</v>
      </c>
      <c r="G7" s="226" t="s">
        <v>218</v>
      </c>
      <c r="H7" s="226" t="s">
        <v>3246</v>
      </c>
      <c r="I7" s="227">
        <v>45813</v>
      </c>
      <c r="J7" s="226" t="s">
        <v>292</v>
      </c>
      <c r="P7" s="262" t="s">
        <v>321</v>
      </c>
      <c r="Q7" s="263"/>
      <c r="R7" s="263"/>
      <c r="S7" s="263"/>
      <c r="T7" s="263"/>
      <c r="U7" s="264"/>
      <c r="V7" s="264"/>
      <c r="W7" s="264"/>
      <c r="X7" s="264"/>
      <c r="Y7" s="264"/>
      <c r="Z7" s="264"/>
      <c r="AA7" s="264"/>
      <c r="AB7" s="265"/>
      <c r="AC7" s="266">
        <f>AC6</f>
        <v>815</v>
      </c>
    </row>
    <row r="8" spans="1:29" s="221" customFormat="1" x14ac:dyDescent="0.25">
      <c r="A8" s="221">
        <v>7</v>
      </c>
      <c r="B8" s="221" t="s">
        <v>3275</v>
      </c>
      <c r="C8" s="222">
        <v>45808</v>
      </c>
      <c r="D8" s="221" t="s">
        <v>3267</v>
      </c>
      <c r="E8" s="223">
        <v>45811.375</v>
      </c>
      <c r="F8" s="221" t="s">
        <v>241</v>
      </c>
      <c r="G8" s="221" t="s">
        <v>242</v>
      </c>
      <c r="H8" s="221" t="s">
        <v>3246</v>
      </c>
      <c r="I8" s="222">
        <v>45812</v>
      </c>
      <c r="J8" s="221" t="s">
        <v>292</v>
      </c>
    </row>
    <row r="9" spans="1:29" s="221" customFormat="1" x14ac:dyDescent="0.25">
      <c r="A9" s="221">
        <v>8</v>
      </c>
      <c r="B9" s="221" t="s">
        <v>3276</v>
      </c>
      <c r="C9" s="222">
        <v>45810</v>
      </c>
      <c r="D9" s="221" t="s">
        <v>3277</v>
      </c>
      <c r="E9" s="223">
        <v>45810.458333333336</v>
      </c>
      <c r="F9" s="221" t="s">
        <v>24</v>
      </c>
      <c r="G9" s="221" t="s">
        <v>25</v>
      </c>
      <c r="H9" s="221" t="s">
        <v>3246</v>
      </c>
      <c r="I9" s="222">
        <v>45810</v>
      </c>
      <c r="J9" s="221" t="s">
        <v>292</v>
      </c>
    </row>
    <row r="10" spans="1:29" x14ac:dyDescent="0.25">
      <c r="A10" s="220">
        <v>9</v>
      </c>
      <c r="B10" s="226" t="s">
        <v>3278</v>
      </c>
      <c r="C10" s="227">
        <v>45810</v>
      </c>
      <c r="D10" s="226" t="s">
        <v>3267</v>
      </c>
      <c r="E10" s="228">
        <v>45811.447916666664</v>
      </c>
      <c r="F10" s="226" t="s">
        <v>1652</v>
      </c>
      <c r="G10" s="226" t="s">
        <v>218</v>
      </c>
      <c r="H10" s="226" t="s">
        <v>3246</v>
      </c>
      <c r="I10" s="227">
        <v>45811</v>
      </c>
      <c r="J10" s="226" t="s">
        <v>292</v>
      </c>
    </row>
    <row r="11" spans="1:29" x14ac:dyDescent="0.25">
      <c r="A11" s="220">
        <v>10</v>
      </c>
      <c r="B11" s="226" t="s">
        <v>3279</v>
      </c>
      <c r="C11" s="227">
        <v>45810</v>
      </c>
      <c r="D11" s="226" t="s">
        <v>3267</v>
      </c>
      <c r="E11" s="228">
        <v>45822.375</v>
      </c>
      <c r="F11" s="226" t="s">
        <v>1346</v>
      </c>
      <c r="G11" s="226" t="s">
        <v>3280</v>
      </c>
      <c r="H11" s="226" t="s">
        <v>3246</v>
      </c>
      <c r="I11" s="227">
        <v>45822</v>
      </c>
      <c r="J11" s="226" t="s">
        <v>292</v>
      </c>
    </row>
    <row r="12" spans="1:29" s="221" customFormat="1" x14ac:dyDescent="0.25">
      <c r="A12" s="221">
        <v>11</v>
      </c>
      <c r="B12" s="221" t="s">
        <v>3281</v>
      </c>
      <c r="C12" s="222">
        <v>45811</v>
      </c>
      <c r="D12" s="221" t="s">
        <v>3267</v>
      </c>
      <c r="E12" s="223">
        <v>45838.4375</v>
      </c>
      <c r="F12" s="221" t="s">
        <v>30</v>
      </c>
      <c r="G12" s="221" t="s">
        <v>31</v>
      </c>
      <c r="H12" s="221" t="s">
        <v>3242</v>
      </c>
      <c r="I12" s="222">
        <v>45821</v>
      </c>
      <c r="J12" s="221" t="s">
        <v>292</v>
      </c>
    </row>
    <row r="13" spans="1:29" s="221" customFormat="1" x14ac:dyDescent="0.25">
      <c r="A13" s="221">
        <v>12</v>
      </c>
      <c r="B13" s="221" t="s">
        <v>3282</v>
      </c>
      <c r="C13" s="222">
        <v>45812</v>
      </c>
      <c r="D13" s="221" t="s">
        <v>3267</v>
      </c>
      <c r="E13" s="223">
        <v>45813.447916666664</v>
      </c>
      <c r="F13" s="221" t="s">
        <v>1658</v>
      </c>
      <c r="G13" s="221" t="s">
        <v>183</v>
      </c>
      <c r="H13" s="221" t="s">
        <v>3244</v>
      </c>
      <c r="I13" s="222">
        <v>45812</v>
      </c>
      <c r="J13" s="221" t="s">
        <v>292</v>
      </c>
    </row>
    <row r="14" spans="1:29" x14ac:dyDescent="0.25">
      <c r="A14" s="220">
        <v>13</v>
      </c>
      <c r="B14" s="226" t="s">
        <v>3283</v>
      </c>
      <c r="C14" s="227">
        <v>45812</v>
      </c>
      <c r="D14" s="226" t="s">
        <v>3267</v>
      </c>
      <c r="E14" s="228">
        <v>45813.447916666664</v>
      </c>
      <c r="F14" s="226" t="s">
        <v>972</v>
      </c>
      <c r="G14" s="226" t="s">
        <v>41</v>
      </c>
      <c r="H14" s="226" t="s">
        <v>3246</v>
      </c>
      <c r="I14" s="227">
        <v>45813</v>
      </c>
      <c r="J14" s="226" t="s">
        <v>292</v>
      </c>
    </row>
    <row r="15" spans="1:29" x14ac:dyDescent="0.25">
      <c r="A15" s="220">
        <v>14</v>
      </c>
      <c r="B15" s="226" t="s">
        <v>3284</v>
      </c>
      <c r="C15" s="227">
        <v>45814</v>
      </c>
      <c r="D15" s="226" t="s">
        <v>3267</v>
      </c>
      <c r="E15" s="228">
        <v>45815.375</v>
      </c>
      <c r="F15" s="226" t="s">
        <v>209</v>
      </c>
      <c r="G15" s="226" t="s">
        <v>104</v>
      </c>
      <c r="H15" s="226" t="s">
        <v>3246</v>
      </c>
      <c r="I15" s="227">
        <v>45815</v>
      </c>
      <c r="J15" s="226" t="s">
        <v>293</v>
      </c>
    </row>
    <row r="16" spans="1:29" s="221" customFormat="1" x14ac:dyDescent="0.25">
      <c r="A16" s="221">
        <v>15</v>
      </c>
      <c r="B16" s="221" t="s">
        <v>3285</v>
      </c>
      <c r="C16" s="222">
        <v>45815</v>
      </c>
      <c r="D16" s="221" t="s">
        <v>3277</v>
      </c>
      <c r="E16" s="223">
        <v>45815.385416666664</v>
      </c>
      <c r="F16" s="221" t="s">
        <v>119</v>
      </c>
      <c r="G16" s="221" t="s">
        <v>104</v>
      </c>
      <c r="H16" s="221" t="s">
        <v>3246</v>
      </c>
      <c r="I16" s="222">
        <v>45815</v>
      </c>
      <c r="J16" s="221" t="s">
        <v>293</v>
      </c>
    </row>
    <row r="17" spans="1:10" s="221" customFormat="1" x14ac:dyDescent="0.25">
      <c r="A17" s="221">
        <v>16</v>
      </c>
      <c r="B17" s="221" t="s">
        <v>3286</v>
      </c>
      <c r="C17" s="222">
        <v>45815</v>
      </c>
      <c r="D17" s="221" t="s">
        <v>3267</v>
      </c>
      <c r="E17" s="223">
        <v>45816.447916666664</v>
      </c>
      <c r="F17" s="221" t="s">
        <v>45</v>
      </c>
      <c r="G17" s="221" t="s">
        <v>46</v>
      </c>
      <c r="H17" s="221" t="s">
        <v>3246</v>
      </c>
      <c r="I17" s="222">
        <v>45815</v>
      </c>
      <c r="J17" s="221" t="s">
        <v>292</v>
      </c>
    </row>
    <row r="18" spans="1:10" x14ac:dyDescent="0.25">
      <c r="A18" s="220">
        <v>17</v>
      </c>
      <c r="B18" s="226" t="s">
        <v>3287</v>
      </c>
      <c r="C18" s="227">
        <v>45815</v>
      </c>
      <c r="D18" s="226" t="s">
        <v>3267</v>
      </c>
      <c r="E18" s="228">
        <v>45816.385416666664</v>
      </c>
      <c r="F18" s="226" t="s">
        <v>964</v>
      </c>
      <c r="G18" s="226" t="s">
        <v>41</v>
      </c>
      <c r="H18" s="226" t="s">
        <v>3246</v>
      </c>
      <c r="I18" s="227">
        <v>45816</v>
      </c>
      <c r="J18" s="226" t="s">
        <v>293</v>
      </c>
    </row>
    <row r="19" spans="1:10" x14ac:dyDescent="0.25">
      <c r="A19" s="220">
        <v>18</v>
      </c>
      <c r="B19" s="220" t="s">
        <v>3288</v>
      </c>
      <c r="C19" s="229">
        <v>45815</v>
      </c>
      <c r="D19" s="220" t="s">
        <v>3289</v>
      </c>
      <c r="E19" s="230">
        <v>45816.40625</v>
      </c>
      <c r="F19" s="220" t="s">
        <v>1680</v>
      </c>
      <c r="G19" s="220" t="s">
        <v>3290</v>
      </c>
      <c r="H19" s="220" t="s">
        <v>3244</v>
      </c>
      <c r="J19" s="220" t="s">
        <v>294</v>
      </c>
    </row>
    <row r="20" spans="1:10" x14ac:dyDescent="0.25">
      <c r="A20" s="220">
        <v>19</v>
      </c>
      <c r="B20" s="226" t="s">
        <v>3291</v>
      </c>
      <c r="C20" s="227">
        <v>45817</v>
      </c>
      <c r="D20" s="226" t="s">
        <v>3267</v>
      </c>
      <c r="E20" s="228">
        <v>45818.375</v>
      </c>
      <c r="F20" s="226" t="s">
        <v>128</v>
      </c>
      <c r="G20" s="226" t="s">
        <v>129</v>
      </c>
      <c r="H20" s="226" t="s">
        <v>3246</v>
      </c>
      <c r="I20" s="227">
        <v>45818</v>
      </c>
      <c r="J20" s="226" t="s">
        <v>292</v>
      </c>
    </row>
    <row r="21" spans="1:10" x14ac:dyDescent="0.25">
      <c r="A21" s="220">
        <v>20</v>
      </c>
      <c r="B21" s="226" t="s">
        <v>3292</v>
      </c>
      <c r="C21" s="227">
        <v>45817</v>
      </c>
      <c r="D21" s="226" t="s">
        <v>3267</v>
      </c>
      <c r="E21" s="228">
        <v>45818.385416666664</v>
      </c>
      <c r="F21" s="226" t="s">
        <v>1164</v>
      </c>
      <c r="G21" s="226" t="s">
        <v>242</v>
      </c>
      <c r="H21" s="226" t="s">
        <v>3246</v>
      </c>
      <c r="I21" s="227">
        <v>45818</v>
      </c>
      <c r="J21" s="226" t="s">
        <v>293</v>
      </c>
    </row>
    <row r="22" spans="1:10" x14ac:dyDescent="0.25">
      <c r="A22" s="220">
        <v>21</v>
      </c>
      <c r="B22" s="226" t="s">
        <v>3293</v>
      </c>
      <c r="C22" s="227">
        <v>45817</v>
      </c>
      <c r="D22" s="226" t="s">
        <v>3267</v>
      </c>
      <c r="E22" s="228">
        <v>45818.447916666664</v>
      </c>
      <c r="F22" s="226" t="s">
        <v>261</v>
      </c>
      <c r="G22" s="226" t="s">
        <v>242</v>
      </c>
      <c r="H22" s="226" t="s">
        <v>3246</v>
      </c>
      <c r="I22" s="227">
        <v>45818</v>
      </c>
      <c r="J22" s="226" t="s">
        <v>292</v>
      </c>
    </row>
    <row r="23" spans="1:10" s="221" customFormat="1" x14ac:dyDescent="0.25">
      <c r="A23" s="221">
        <v>22</v>
      </c>
      <c r="B23" s="221" t="s">
        <v>3294</v>
      </c>
      <c r="C23" s="222">
        <v>45818</v>
      </c>
      <c r="D23" s="221" t="s">
        <v>3277</v>
      </c>
      <c r="E23" s="223">
        <v>45818.489583333336</v>
      </c>
      <c r="F23" s="221" t="s">
        <v>1171</v>
      </c>
      <c r="G23" s="221" t="s">
        <v>255</v>
      </c>
      <c r="H23" s="221" t="s">
        <v>3246</v>
      </c>
      <c r="I23" s="222">
        <v>45818</v>
      </c>
      <c r="J23" s="221" t="s">
        <v>292</v>
      </c>
    </row>
    <row r="24" spans="1:10" s="221" customFormat="1" x14ac:dyDescent="0.25">
      <c r="A24" s="221">
        <v>23</v>
      </c>
      <c r="B24" s="221" t="s">
        <v>3295</v>
      </c>
      <c r="C24" s="222">
        <v>45819</v>
      </c>
      <c r="D24" s="221" t="s">
        <v>3277</v>
      </c>
      <c r="E24" s="223">
        <v>45819.375</v>
      </c>
      <c r="F24" s="221" t="s">
        <v>1237</v>
      </c>
      <c r="G24" s="221" t="s">
        <v>255</v>
      </c>
      <c r="H24" s="221" t="s">
        <v>3246</v>
      </c>
      <c r="I24" s="222">
        <v>45819</v>
      </c>
      <c r="J24" s="221" t="s">
        <v>293</v>
      </c>
    </row>
    <row r="25" spans="1:10" x14ac:dyDescent="0.25">
      <c r="A25" s="220">
        <v>24</v>
      </c>
      <c r="B25" s="226" t="s">
        <v>3296</v>
      </c>
      <c r="C25" s="227">
        <v>45820</v>
      </c>
      <c r="D25" s="226" t="s">
        <v>3267</v>
      </c>
      <c r="E25" s="228">
        <v>45822.447916666664</v>
      </c>
      <c r="F25" s="226" t="s">
        <v>59</v>
      </c>
      <c r="G25" s="226" t="s">
        <v>60</v>
      </c>
      <c r="H25" s="226" t="s">
        <v>3246</v>
      </c>
      <c r="I25" s="227">
        <v>45822</v>
      </c>
      <c r="J25" s="226" t="s">
        <v>292</v>
      </c>
    </row>
    <row r="26" spans="1:10" s="221" customFormat="1" x14ac:dyDescent="0.25">
      <c r="A26" s="221">
        <v>25</v>
      </c>
      <c r="B26" s="221" t="s">
        <v>3297</v>
      </c>
      <c r="C26" s="222">
        <v>45821</v>
      </c>
      <c r="D26" s="221" t="s">
        <v>3277</v>
      </c>
      <c r="E26" s="223">
        <v>45821.541666666664</v>
      </c>
      <c r="F26" s="221" t="s">
        <v>614</v>
      </c>
      <c r="G26" s="221" t="s">
        <v>3298</v>
      </c>
      <c r="H26" s="221" t="s">
        <v>3243</v>
      </c>
      <c r="I26" s="222">
        <v>45821</v>
      </c>
      <c r="J26" s="221" t="s">
        <v>292</v>
      </c>
    </row>
    <row r="27" spans="1:10" x14ac:dyDescent="0.25">
      <c r="A27" s="220">
        <v>26</v>
      </c>
      <c r="B27" s="226" t="s">
        <v>3299</v>
      </c>
      <c r="C27" s="227">
        <v>45821</v>
      </c>
      <c r="D27" s="226" t="s">
        <v>3267</v>
      </c>
      <c r="E27" s="228">
        <v>45822.447916666664</v>
      </c>
      <c r="F27" s="226" t="s">
        <v>55</v>
      </c>
      <c r="G27" s="226" t="s">
        <v>25</v>
      </c>
      <c r="H27" s="226" t="s">
        <v>3246</v>
      </c>
      <c r="I27" s="227">
        <v>45822</v>
      </c>
      <c r="J27" s="226" t="s">
        <v>292</v>
      </c>
    </row>
    <row r="28" spans="1:10" s="221" customFormat="1" x14ac:dyDescent="0.25">
      <c r="A28" s="221">
        <v>27</v>
      </c>
      <c r="B28" s="221" t="s">
        <v>3300</v>
      </c>
      <c r="C28" s="222">
        <v>45822</v>
      </c>
      <c r="D28" s="221" t="s">
        <v>3267</v>
      </c>
      <c r="E28" s="223">
        <v>45823.447916666664</v>
      </c>
      <c r="F28" s="221" t="s">
        <v>437</v>
      </c>
      <c r="G28" s="221" t="s">
        <v>183</v>
      </c>
      <c r="H28" s="221" t="s">
        <v>3243</v>
      </c>
      <c r="I28" s="222">
        <v>45822</v>
      </c>
      <c r="J28" s="221" t="s">
        <v>292</v>
      </c>
    </row>
    <row r="29" spans="1:10" s="221" customFormat="1" x14ac:dyDescent="0.25">
      <c r="A29" s="221">
        <v>28</v>
      </c>
      <c r="B29" s="221" t="s">
        <v>3301</v>
      </c>
      <c r="C29" s="222">
        <v>45822</v>
      </c>
      <c r="D29" s="221" t="s">
        <v>3277</v>
      </c>
      <c r="E29" s="223">
        <v>45822.375</v>
      </c>
      <c r="F29" s="221" t="s">
        <v>217</v>
      </c>
      <c r="G29" s="221" t="s">
        <v>218</v>
      </c>
      <c r="H29" s="221" t="s">
        <v>3246</v>
      </c>
      <c r="I29" s="222">
        <v>45822</v>
      </c>
      <c r="J29" s="221" t="s">
        <v>292</v>
      </c>
    </row>
    <row r="30" spans="1:10" x14ac:dyDescent="0.25">
      <c r="A30" s="220">
        <v>29</v>
      </c>
      <c r="B30" s="226" t="s">
        <v>3302</v>
      </c>
      <c r="C30" s="227">
        <v>45822</v>
      </c>
      <c r="D30" s="226" t="s">
        <v>3267</v>
      </c>
      <c r="E30" s="228">
        <v>45825.375</v>
      </c>
      <c r="F30" s="226" t="s">
        <v>1714</v>
      </c>
      <c r="G30" s="226" t="s">
        <v>25</v>
      </c>
      <c r="H30" s="226" t="s">
        <v>3303</v>
      </c>
      <c r="I30" s="227">
        <v>45825</v>
      </c>
      <c r="J30" s="226" t="s">
        <v>292</v>
      </c>
    </row>
    <row r="31" spans="1:10" x14ac:dyDescent="0.25">
      <c r="A31" s="220">
        <v>30</v>
      </c>
      <c r="B31" s="226" t="s">
        <v>3304</v>
      </c>
      <c r="C31" s="227">
        <v>45823</v>
      </c>
      <c r="D31" s="226" t="s">
        <v>3267</v>
      </c>
      <c r="E31" s="228">
        <v>45824.4375</v>
      </c>
      <c r="F31" s="226" t="s">
        <v>1828</v>
      </c>
      <c r="G31" s="226" t="s">
        <v>242</v>
      </c>
      <c r="H31" s="226" t="s">
        <v>3246</v>
      </c>
      <c r="I31" s="227">
        <v>45824</v>
      </c>
      <c r="J31" s="226" t="s">
        <v>292</v>
      </c>
    </row>
    <row r="32" spans="1:10" s="221" customFormat="1" x14ac:dyDescent="0.25">
      <c r="A32" s="221">
        <v>31</v>
      </c>
      <c r="B32" s="221" t="s">
        <v>3305</v>
      </c>
      <c r="C32" s="222">
        <v>45824</v>
      </c>
      <c r="D32" s="221" t="s">
        <v>3267</v>
      </c>
      <c r="E32" s="223">
        <v>45825.447916666664</v>
      </c>
      <c r="F32" s="221" t="s">
        <v>1027</v>
      </c>
      <c r="G32" s="221" t="s">
        <v>3306</v>
      </c>
      <c r="H32" s="221" t="s">
        <v>3246</v>
      </c>
      <c r="I32" s="222">
        <v>45838</v>
      </c>
      <c r="J32" s="221" t="s">
        <v>292</v>
      </c>
    </row>
    <row r="33" spans="1:10" s="221" customFormat="1" x14ac:dyDescent="0.25">
      <c r="A33" s="221">
        <v>32</v>
      </c>
      <c r="B33" s="221" t="s">
        <v>3307</v>
      </c>
      <c r="C33" s="222">
        <v>45824</v>
      </c>
      <c r="D33" s="221" t="s">
        <v>3277</v>
      </c>
      <c r="E33" s="223">
        <v>45826.375</v>
      </c>
      <c r="F33" s="221" t="s">
        <v>69</v>
      </c>
      <c r="G33" s="221" t="s">
        <v>25</v>
      </c>
      <c r="H33" s="221" t="s">
        <v>3246</v>
      </c>
      <c r="I33" s="222">
        <v>45825</v>
      </c>
      <c r="J33" s="221" t="s">
        <v>292</v>
      </c>
    </row>
    <row r="34" spans="1:10" x14ac:dyDescent="0.25">
      <c r="A34" s="220">
        <v>33</v>
      </c>
      <c r="B34" s="220" t="s">
        <v>3308</v>
      </c>
      <c r="C34" s="229">
        <v>45825</v>
      </c>
      <c r="D34" s="220" t="s">
        <v>3277</v>
      </c>
      <c r="E34" s="230">
        <v>45826.447916666664</v>
      </c>
      <c r="F34" s="220" t="s">
        <v>187</v>
      </c>
      <c r="G34" s="220" t="s">
        <v>188</v>
      </c>
      <c r="H34" s="220" t="s">
        <v>3246</v>
      </c>
      <c r="I34" s="229">
        <v>45826</v>
      </c>
      <c r="J34" s="220" t="s">
        <v>292</v>
      </c>
    </row>
    <row r="35" spans="1:10" s="221" customFormat="1" x14ac:dyDescent="0.25">
      <c r="A35" s="221">
        <v>34</v>
      </c>
      <c r="B35" s="221" t="s">
        <v>3309</v>
      </c>
      <c r="C35" s="222">
        <v>45825</v>
      </c>
      <c r="D35" s="221" t="s">
        <v>3277</v>
      </c>
      <c r="E35" s="223">
        <v>45825.385416666664</v>
      </c>
      <c r="F35" s="221" t="s">
        <v>141</v>
      </c>
      <c r="G35" s="221" t="s">
        <v>142</v>
      </c>
      <c r="H35" s="221" t="s">
        <v>3246</v>
      </c>
      <c r="I35" s="222">
        <v>45825</v>
      </c>
      <c r="J35" s="221" t="s">
        <v>292</v>
      </c>
    </row>
    <row r="36" spans="1:10" x14ac:dyDescent="0.25">
      <c r="A36" s="220">
        <v>35</v>
      </c>
      <c r="B36" s="226" t="s">
        <v>3310</v>
      </c>
      <c r="C36" s="227">
        <v>45825</v>
      </c>
      <c r="D36" s="226" t="s">
        <v>3267</v>
      </c>
      <c r="E36" s="228">
        <v>45826.375</v>
      </c>
      <c r="F36" s="226" t="s">
        <v>840</v>
      </c>
      <c r="G36" s="226" t="s">
        <v>25</v>
      </c>
      <c r="H36" s="226" t="s">
        <v>3246</v>
      </c>
      <c r="I36" s="227">
        <v>45826</v>
      </c>
      <c r="J36" s="226" t="s">
        <v>293</v>
      </c>
    </row>
    <row r="37" spans="1:10" x14ac:dyDescent="0.25">
      <c r="A37" s="220">
        <v>36</v>
      </c>
      <c r="B37" s="226" t="s">
        <v>3311</v>
      </c>
      <c r="C37" s="227">
        <v>45825</v>
      </c>
      <c r="D37" s="226" t="s">
        <v>3267</v>
      </c>
      <c r="E37" s="228">
        <v>45827.375</v>
      </c>
      <c r="F37" s="226" t="s">
        <v>744</v>
      </c>
      <c r="G37" s="226" t="s">
        <v>104</v>
      </c>
      <c r="H37" s="226" t="s">
        <v>3246</v>
      </c>
      <c r="I37" s="227">
        <v>45827</v>
      </c>
      <c r="J37" s="226" t="s">
        <v>293</v>
      </c>
    </row>
    <row r="38" spans="1:10" s="221" customFormat="1" x14ac:dyDescent="0.25">
      <c r="A38" s="221">
        <v>37</v>
      </c>
      <c r="B38" s="221" t="s">
        <v>3312</v>
      </c>
      <c r="C38" s="222">
        <v>45826</v>
      </c>
      <c r="D38" s="221" t="s">
        <v>3277</v>
      </c>
      <c r="E38" s="223">
        <v>45826.385416666664</v>
      </c>
      <c r="F38" s="221" t="s">
        <v>1956</v>
      </c>
      <c r="G38" s="221" t="s">
        <v>104</v>
      </c>
      <c r="H38" s="221" t="s">
        <v>3246</v>
      </c>
      <c r="I38" s="222">
        <v>45826</v>
      </c>
      <c r="J38" s="221" t="s">
        <v>293</v>
      </c>
    </row>
    <row r="39" spans="1:10" s="221" customFormat="1" x14ac:dyDescent="0.25">
      <c r="A39" s="221">
        <v>38</v>
      </c>
      <c r="B39" s="221" t="s">
        <v>3313</v>
      </c>
      <c r="C39" s="222">
        <v>45826</v>
      </c>
      <c r="D39" s="221" t="s">
        <v>3267</v>
      </c>
      <c r="E39" s="223">
        <v>45827.375</v>
      </c>
      <c r="F39" s="221" t="s">
        <v>697</v>
      </c>
      <c r="G39" s="221" t="s">
        <v>142</v>
      </c>
      <c r="H39" s="221" t="s">
        <v>3246</v>
      </c>
      <c r="I39" s="222">
        <v>45828</v>
      </c>
      <c r="J39" s="221" t="s">
        <v>292</v>
      </c>
    </row>
    <row r="40" spans="1:10" x14ac:dyDescent="0.25">
      <c r="A40" s="220">
        <v>39</v>
      </c>
      <c r="B40" s="226" t="s">
        <v>3314</v>
      </c>
      <c r="C40" s="227">
        <v>45826</v>
      </c>
      <c r="D40" s="226" t="s">
        <v>3267</v>
      </c>
      <c r="E40" s="228">
        <v>45827.385416666664</v>
      </c>
      <c r="F40" s="226" t="s">
        <v>146</v>
      </c>
      <c r="G40" s="226" t="s">
        <v>104</v>
      </c>
      <c r="H40" s="226" t="s">
        <v>3246</v>
      </c>
      <c r="I40" s="227">
        <v>45827</v>
      </c>
      <c r="J40" s="226" t="s">
        <v>293</v>
      </c>
    </row>
    <row r="41" spans="1:10" s="221" customFormat="1" x14ac:dyDescent="0.25">
      <c r="A41" s="221">
        <v>40</v>
      </c>
      <c r="B41" s="221" t="s">
        <v>3315</v>
      </c>
      <c r="C41" s="222">
        <v>45828</v>
      </c>
      <c r="D41" s="221" t="s">
        <v>3267</v>
      </c>
      <c r="E41" s="223">
        <v>45829.458333333336</v>
      </c>
      <c r="F41" s="221" t="s">
        <v>150</v>
      </c>
      <c r="G41" s="221" t="s">
        <v>46</v>
      </c>
      <c r="H41" s="221" t="s">
        <v>3246</v>
      </c>
      <c r="I41" s="222">
        <v>45828</v>
      </c>
      <c r="J41" s="221" t="s">
        <v>292</v>
      </c>
    </row>
    <row r="42" spans="1:10" s="221" customFormat="1" x14ac:dyDescent="0.25">
      <c r="A42" s="221">
        <v>41</v>
      </c>
      <c r="B42" s="221" t="s">
        <v>3316</v>
      </c>
      <c r="C42" s="222">
        <v>45828</v>
      </c>
      <c r="D42" s="221" t="s">
        <v>3267</v>
      </c>
      <c r="E42" s="223">
        <v>45829.458333333336</v>
      </c>
      <c r="F42" s="221" t="s">
        <v>154</v>
      </c>
      <c r="G42" s="221" t="s">
        <v>36</v>
      </c>
      <c r="H42" s="221" t="s">
        <v>3246</v>
      </c>
      <c r="I42" s="222">
        <v>45828</v>
      </c>
      <c r="J42" s="221" t="s">
        <v>292</v>
      </c>
    </row>
    <row r="43" spans="1:10" x14ac:dyDescent="0.25">
      <c r="A43" s="220">
        <v>42</v>
      </c>
      <c r="B43" s="226" t="s">
        <v>3317</v>
      </c>
      <c r="C43" s="227">
        <v>45828</v>
      </c>
      <c r="D43" s="226" t="s">
        <v>3267</v>
      </c>
      <c r="E43" s="228">
        <v>45836</v>
      </c>
      <c r="F43" s="226" t="s">
        <v>103</v>
      </c>
      <c r="G43" s="226" t="s">
        <v>104</v>
      </c>
      <c r="H43" s="226" t="s">
        <v>3246</v>
      </c>
      <c r="I43" s="227">
        <v>45836</v>
      </c>
      <c r="J43" s="226" t="s">
        <v>292</v>
      </c>
    </row>
    <row r="44" spans="1:10" x14ac:dyDescent="0.25">
      <c r="A44" s="220">
        <v>43</v>
      </c>
      <c r="B44" s="226" t="s">
        <v>3318</v>
      </c>
      <c r="C44" s="227">
        <v>45831</v>
      </c>
      <c r="D44" s="226" t="s">
        <v>3267</v>
      </c>
      <c r="E44" s="228">
        <v>45832.375</v>
      </c>
      <c r="F44" s="226" t="s">
        <v>1013</v>
      </c>
      <c r="G44" s="226" t="s">
        <v>281</v>
      </c>
      <c r="H44" s="226" t="s">
        <v>3246</v>
      </c>
      <c r="I44" s="227">
        <v>45832</v>
      </c>
      <c r="J44" s="226" t="s">
        <v>292</v>
      </c>
    </row>
    <row r="45" spans="1:10" x14ac:dyDescent="0.25">
      <c r="A45" s="220">
        <v>44</v>
      </c>
      <c r="B45" s="226" t="s">
        <v>3319</v>
      </c>
      <c r="C45" s="227">
        <v>45831</v>
      </c>
      <c r="D45" s="226" t="s">
        <v>3267</v>
      </c>
      <c r="E45" s="228">
        <v>45832.385416666664</v>
      </c>
      <c r="F45" s="226" t="s">
        <v>158</v>
      </c>
      <c r="G45" s="226" t="s">
        <v>159</v>
      </c>
      <c r="H45" s="226" t="s">
        <v>3246</v>
      </c>
      <c r="I45" s="227">
        <v>45832</v>
      </c>
      <c r="J45" s="226" t="s">
        <v>292</v>
      </c>
    </row>
    <row r="46" spans="1:10" x14ac:dyDescent="0.25">
      <c r="A46" s="220">
        <v>45</v>
      </c>
      <c r="B46" s="226" t="s">
        <v>3320</v>
      </c>
      <c r="C46" s="227">
        <v>45832</v>
      </c>
      <c r="D46" s="226" t="s">
        <v>3267</v>
      </c>
      <c r="E46" s="228">
        <v>45834.375</v>
      </c>
      <c r="F46" s="226" t="s">
        <v>1757</v>
      </c>
      <c r="G46" s="226" t="s">
        <v>203</v>
      </c>
      <c r="H46" s="226" t="s">
        <v>3242</v>
      </c>
      <c r="I46" s="227">
        <v>45834</v>
      </c>
      <c r="J46" s="226" t="s">
        <v>292</v>
      </c>
    </row>
    <row r="47" spans="1:10" s="221" customFormat="1" x14ac:dyDescent="0.25">
      <c r="A47" s="221">
        <v>46</v>
      </c>
      <c r="B47" s="221" t="s">
        <v>3321</v>
      </c>
      <c r="C47" s="222">
        <v>45833</v>
      </c>
      <c r="D47" s="221" t="s">
        <v>3277</v>
      </c>
      <c r="E47" s="223">
        <v>45833.666666666664</v>
      </c>
      <c r="F47" s="221" t="s">
        <v>3322</v>
      </c>
      <c r="G47" s="221" t="s">
        <v>3323</v>
      </c>
      <c r="H47" s="221" t="s">
        <v>3246</v>
      </c>
      <c r="I47" s="222">
        <v>45833</v>
      </c>
      <c r="J47" s="221" t="s">
        <v>292</v>
      </c>
    </row>
    <row r="48" spans="1:10" x14ac:dyDescent="0.25">
      <c r="A48" s="220">
        <v>47</v>
      </c>
      <c r="B48" s="226" t="s">
        <v>3324</v>
      </c>
      <c r="C48" s="227">
        <v>45833</v>
      </c>
      <c r="D48" s="226" t="s">
        <v>3267</v>
      </c>
      <c r="E48" s="228">
        <v>45834.385416666664</v>
      </c>
      <c r="F48" s="226" t="s">
        <v>274</v>
      </c>
      <c r="G48" s="226" t="s">
        <v>31</v>
      </c>
      <c r="H48" s="226" t="s">
        <v>3246</v>
      </c>
      <c r="I48" s="227">
        <v>45834</v>
      </c>
      <c r="J48" s="226" t="s">
        <v>292</v>
      </c>
    </row>
    <row r="49" spans="1:10" x14ac:dyDescent="0.25">
      <c r="A49" s="220">
        <v>48</v>
      </c>
      <c r="B49" s="226" t="s">
        <v>3325</v>
      </c>
      <c r="C49" s="227">
        <v>45834</v>
      </c>
      <c r="D49" s="226" t="s">
        <v>3267</v>
      </c>
      <c r="E49" s="228">
        <v>45835.375</v>
      </c>
      <c r="F49" s="226" t="s">
        <v>163</v>
      </c>
      <c r="G49" s="226" t="s">
        <v>164</v>
      </c>
      <c r="H49" s="226" t="s">
        <v>3246</v>
      </c>
      <c r="I49" s="227">
        <v>45835</v>
      </c>
      <c r="J49" s="226" t="s">
        <v>292</v>
      </c>
    </row>
    <row r="50" spans="1:10" x14ac:dyDescent="0.25">
      <c r="A50" s="220">
        <v>49</v>
      </c>
      <c r="B50" s="226" t="s">
        <v>3326</v>
      </c>
      <c r="C50" s="227">
        <v>45834</v>
      </c>
      <c r="D50" s="226" t="s">
        <v>3267</v>
      </c>
      <c r="E50" s="228">
        <v>45835.375</v>
      </c>
      <c r="F50" s="226" t="s">
        <v>674</v>
      </c>
      <c r="G50" s="226" t="s">
        <v>3327</v>
      </c>
      <c r="H50" s="226" t="s">
        <v>3246</v>
      </c>
      <c r="I50" s="227">
        <v>45835</v>
      </c>
      <c r="J50" s="226" t="s">
        <v>293</v>
      </c>
    </row>
    <row r="51" spans="1:10" x14ac:dyDescent="0.25">
      <c r="A51" s="220">
        <v>50</v>
      </c>
      <c r="B51" s="226" t="s">
        <v>3328</v>
      </c>
      <c r="C51" s="227">
        <v>45834</v>
      </c>
      <c r="D51" s="226" t="s">
        <v>3267</v>
      </c>
      <c r="E51" s="228">
        <v>45835.395833333336</v>
      </c>
      <c r="F51" s="226" t="s">
        <v>246</v>
      </c>
      <c r="G51" s="226" t="s">
        <v>188</v>
      </c>
      <c r="H51" s="226" t="s">
        <v>3246</v>
      </c>
      <c r="I51" s="227">
        <v>45835</v>
      </c>
      <c r="J51" s="226" t="s">
        <v>292</v>
      </c>
    </row>
    <row r="52" spans="1:10" x14ac:dyDescent="0.25">
      <c r="A52" s="220">
        <v>51</v>
      </c>
      <c r="B52" s="226" t="s">
        <v>3329</v>
      </c>
      <c r="C52" s="227">
        <v>45835</v>
      </c>
      <c r="D52" s="226" t="s">
        <v>3267</v>
      </c>
      <c r="E52" s="228">
        <v>45836.385416666664</v>
      </c>
      <c r="F52" s="226" t="s">
        <v>108</v>
      </c>
      <c r="G52" s="226" t="s">
        <v>25</v>
      </c>
      <c r="H52" s="226" t="s">
        <v>3246</v>
      </c>
      <c r="I52" s="227">
        <v>45836</v>
      </c>
      <c r="J52" s="226" t="s">
        <v>293</v>
      </c>
    </row>
    <row r="53" spans="1:10" s="221" customFormat="1" x14ac:dyDescent="0.25">
      <c r="A53" s="221">
        <v>52</v>
      </c>
      <c r="B53" s="221" t="s">
        <v>3330</v>
      </c>
      <c r="C53" s="222">
        <v>45836</v>
      </c>
      <c r="D53" s="221" t="s">
        <v>3277</v>
      </c>
      <c r="E53" s="223">
        <v>45836.489583333336</v>
      </c>
      <c r="F53" s="221" t="s">
        <v>77</v>
      </c>
      <c r="G53" s="221" t="s">
        <v>25</v>
      </c>
      <c r="H53" s="221" t="s">
        <v>3246</v>
      </c>
      <c r="I53" s="222">
        <v>45836</v>
      </c>
      <c r="J53" s="221" t="s">
        <v>292</v>
      </c>
    </row>
    <row r="54" spans="1:10" x14ac:dyDescent="0.25">
      <c r="A54" s="220">
        <v>53</v>
      </c>
      <c r="B54" s="226" t="s">
        <v>3331</v>
      </c>
      <c r="C54" s="227">
        <v>45836</v>
      </c>
      <c r="D54" s="226" t="s">
        <v>3267</v>
      </c>
      <c r="E54" s="228">
        <v>45837.395833333336</v>
      </c>
      <c r="F54" s="226" t="s">
        <v>770</v>
      </c>
      <c r="G54" s="226" t="s">
        <v>97</v>
      </c>
      <c r="H54" s="226" t="s">
        <v>3246</v>
      </c>
      <c r="I54" s="227">
        <v>45837</v>
      </c>
      <c r="J54" s="226" t="s">
        <v>292</v>
      </c>
    </row>
    <row r="55" spans="1:10" x14ac:dyDescent="0.25">
      <c r="A55" s="220">
        <v>54</v>
      </c>
      <c r="B55" s="226" t="s">
        <v>3332</v>
      </c>
      <c r="C55" s="227">
        <v>45836</v>
      </c>
      <c r="D55" s="226" t="s">
        <v>3267</v>
      </c>
      <c r="E55" s="228">
        <v>45838.4375</v>
      </c>
      <c r="F55" s="226" t="s">
        <v>2025</v>
      </c>
      <c r="G55" s="226" t="s">
        <v>242</v>
      </c>
      <c r="H55" s="226" t="s">
        <v>3246</v>
      </c>
      <c r="I55" s="227">
        <v>45838</v>
      </c>
      <c r="J55" s="226" t="s">
        <v>292</v>
      </c>
    </row>
  </sheetData>
  <mergeCells count="12">
    <mergeCell ref="V6:X6"/>
    <mergeCell ref="P7:AB7"/>
    <mergeCell ref="P3:AC3"/>
    <mergeCell ref="P4:P5"/>
    <mergeCell ref="Q4:Q5"/>
    <mergeCell ref="R4:R5"/>
    <mergeCell ref="S4:S5"/>
    <mergeCell ref="T4:T5"/>
    <mergeCell ref="U4:Y4"/>
    <mergeCell ref="Z4:AA4"/>
    <mergeCell ref="AB4:AC4"/>
    <mergeCell ref="V5:X5"/>
  </mergeCells>
  <conditionalFormatting sqref="R6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Z21"/>
  <sheetViews>
    <sheetView workbookViewId="0">
      <selection activeCell="AC8" sqref="AC8"/>
    </sheetView>
  </sheetViews>
  <sheetFormatPr defaultRowHeight="15" x14ac:dyDescent="0.25"/>
  <cols>
    <col min="2" max="2" width="7.5703125" bestFit="1" customWidth="1"/>
    <col min="3" max="3" width="17.7109375" bestFit="1" customWidth="1"/>
    <col min="4" max="4" width="9.42578125" customWidth="1"/>
    <col min="5" max="5" width="10.140625" customWidth="1"/>
    <col min="8" max="8" width="10.140625" bestFit="1" customWidth="1"/>
    <col min="9" max="9" width="18.42578125" bestFit="1" customWidth="1"/>
    <col min="10" max="10" width="24.140625" bestFit="1" customWidth="1"/>
    <col min="11" max="11" width="11" bestFit="1" customWidth="1"/>
    <col min="12" max="12" width="21.85546875" bestFit="1" customWidth="1"/>
  </cols>
  <sheetData>
    <row r="2" spans="2:26" ht="15.75" thickBot="1" x14ac:dyDescent="0.3"/>
    <row r="3" spans="2:26" x14ac:dyDescent="0.25">
      <c r="B3" s="179" t="s">
        <v>3239</v>
      </c>
      <c r="C3" s="179" t="s">
        <v>3240</v>
      </c>
      <c r="D3" s="180" t="s">
        <v>3344</v>
      </c>
      <c r="E3" s="181" t="s">
        <v>3203</v>
      </c>
      <c r="H3" s="182" t="s">
        <v>440</v>
      </c>
      <c r="I3" s="183" t="s">
        <v>441</v>
      </c>
      <c r="J3" s="183" t="s">
        <v>310</v>
      </c>
      <c r="K3" s="183" t="s">
        <v>442</v>
      </c>
      <c r="L3" s="184" t="s">
        <v>3241</v>
      </c>
    </row>
    <row r="4" spans="2:26" ht="15.75" thickBot="1" x14ac:dyDescent="0.3">
      <c r="B4" s="179" t="s">
        <v>370</v>
      </c>
      <c r="C4" s="185" t="s">
        <v>458</v>
      </c>
      <c r="D4" s="186"/>
      <c r="E4" s="187"/>
      <c r="H4" s="188"/>
      <c r="I4" s="189"/>
      <c r="J4" s="189"/>
      <c r="K4" s="189"/>
      <c r="L4" s="190"/>
    </row>
    <row r="5" spans="2:26" ht="15.75" thickBot="1" x14ac:dyDescent="0.3">
      <c r="B5" s="191">
        <v>1</v>
      </c>
      <c r="C5" s="192" t="s">
        <v>3242</v>
      </c>
      <c r="D5" s="193">
        <v>8</v>
      </c>
      <c r="E5" s="194">
        <f>D5</f>
        <v>8</v>
      </c>
      <c r="H5" s="195" t="s">
        <v>462</v>
      </c>
      <c r="I5" s="196" t="s">
        <v>329</v>
      </c>
      <c r="J5" s="197" t="s">
        <v>463</v>
      </c>
      <c r="K5" s="197" t="s">
        <v>458</v>
      </c>
      <c r="L5" s="198">
        <f>E21</f>
        <v>716</v>
      </c>
    </row>
    <row r="6" spans="2:26" x14ac:dyDescent="0.25">
      <c r="B6" s="191">
        <v>2</v>
      </c>
      <c r="C6" s="192" t="s">
        <v>3243</v>
      </c>
      <c r="D6" s="193">
        <v>11</v>
      </c>
      <c r="E6" s="194">
        <f t="shared" ref="E6:E13" si="0">D6</f>
        <v>11</v>
      </c>
      <c r="U6">
        <v>31</v>
      </c>
      <c r="Z6">
        <v>2</v>
      </c>
    </row>
    <row r="7" spans="2:26" x14ac:dyDescent="0.25">
      <c r="B7" s="191">
        <v>3</v>
      </c>
      <c r="C7" s="192" t="s">
        <v>3244</v>
      </c>
      <c r="D7" s="193">
        <v>3</v>
      </c>
      <c r="E7" s="194">
        <f t="shared" si="0"/>
        <v>3</v>
      </c>
    </row>
    <row r="8" spans="2:26" x14ac:dyDescent="0.25">
      <c r="B8" s="191">
        <v>4</v>
      </c>
      <c r="C8" s="192" t="s">
        <v>3245</v>
      </c>
      <c r="D8" s="193">
        <v>0</v>
      </c>
      <c r="E8" s="194">
        <f t="shared" si="0"/>
        <v>0</v>
      </c>
    </row>
    <row r="9" spans="2:26" x14ac:dyDescent="0.25">
      <c r="B9" s="191">
        <v>5</v>
      </c>
      <c r="C9" s="199" t="s">
        <v>3246</v>
      </c>
      <c r="D9" s="193">
        <v>67</v>
      </c>
      <c r="E9" s="200">
        <f t="shared" si="0"/>
        <v>67</v>
      </c>
    </row>
    <row r="10" spans="2:26" x14ac:dyDescent="0.25">
      <c r="B10" s="191">
        <v>6</v>
      </c>
      <c r="C10" s="192" t="s">
        <v>3247</v>
      </c>
      <c r="D10" s="201">
        <v>0</v>
      </c>
      <c r="E10" s="200">
        <v>0</v>
      </c>
    </row>
    <row r="11" spans="2:26" x14ac:dyDescent="0.25">
      <c r="B11" s="191">
        <v>7</v>
      </c>
      <c r="C11" s="192" t="s">
        <v>3248</v>
      </c>
      <c r="D11" s="202">
        <v>1</v>
      </c>
      <c r="E11" s="200">
        <f t="shared" si="0"/>
        <v>1</v>
      </c>
    </row>
    <row r="12" spans="2:26" x14ac:dyDescent="0.25">
      <c r="B12" s="191">
        <v>8</v>
      </c>
      <c r="C12" s="192" t="s">
        <v>3249</v>
      </c>
      <c r="D12" s="202">
        <v>0</v>
      </c>
      <c r="E12" s="200">
        <f t="shared" si="0"/>
        <v>0</v>
      </c>
    </row>
    <row r="13" spans="2:26" x14ac:dyDescent="0.25">
      <c r="B13" s="191">
        <v>9</v>
      </c>
      <c r="C13" s="192" t="s">
        <v>3250</v>
      </c>
      <c r="D13" s="202">
        <v>2</v>
      </c>
      <c r="E13" s="200">
        <f t="shared" si="0"/>
        <v>2</v>
      </c>
    </row>
    <row r="14" spans="2:26" ht="18.75" x14ac:dyDescent="0.25">
      <c r="B14" s="191"/>
      <c r="C14" s="203" t="s">
        <v>3203</v>
      </c>
      <c r="D14" s="204"/>
      <c r="E14" s="204">
        <f>SUM(E5:E13)</f>
        <v>92</v>
      </c>
    </row>
    <row r="15" spans="2:26" ht="18.75" x14ac:dyDescent="0.25">
      <c r="B15" s="205" t="s">
        <v>3251</v>
      </c>
      <c r="C15" s="205"/>
      <c r="D15" s="205"/>
      <c r="E15" s="206">
        <f>D14</f>
        <v>0</v>
      </c>
    </row>
    <row r="16" spans="2:26" x14ac:dyDescent="0.25">
      <c r="B16" s="207">
        <v>1</v>
      </c>
      <c r="C16" s="208" t="s">
        <v>3252</v>
      </c>
      <c r="D16" s="209">
        <f>E14:E14</f>
        <v>92</v>
      </c>
      <c r="E16" s="207"/>
    </row>
    <row r="17" spans="2:5" x14ac:dyDescent="0.25">
      <c r="B17" s="207">
        <v>2</v>
      </c>
      <c r="C17" s="208" t="s">
        <v>3253</v>
      </c>
      <c r="D17" s="207">
        <v>8</v>
      </c>
      <c r="E17" s="207">
        <f>D16*8</f>
        <v>736</v>
      </c>
    </row>
    <row r="18" spans="2:5" ht="36" x14ac:dyDescent="0.25">
      <c r="B18" s="207">
        <v>3</v>
      </c>
      <c r="C18" s="210" t="s">
        <v>3254</v>
      </c>
      <c r="D18" s="211">
        <v>2</v>
      </c>
      <c r="E18" s="207">
        <f>D18*10</f>
        <v>20</v>
      </c>
    </row>
    <row r="19" spans="2:5" x14ac:dyDescent="0.25">
      <c r="B19" s="207">
        <v>4</v>
      </c>
      <c r="C19" s="212" t="s">
        <v>3255</v>
      </c>
      <c r="D19" s="212"/>
      <c r="E19" s="213">
        <f>E17-E18</f>
        <v>716</v>
      </c>
    </row>
    <row r="20" spans="2:5" ht="15.75" x14ac:dyDescent="0.25">
      <c r="B20" s="214"/>
      <c r="C20" s="215" t="s">
        <v>3256</v>
      </c>
      <c r="D20" s="216"/>
      <c r="E20" s="217"/>
    </row>
    <row r="21" spans="2:5" ht="18.75" x14ac:dyDescent="0.25">
      <c r="B21" s="214"/>
      <c r="C21" s="218" t="s">
        <v>3257</v>
      </c>
      <c r="D21" s="218"/>
      <c r="E21" s="219">
        <f>E19</f>
        <v>716</v>
      </c>
    </row>
  </sheetData>
  <mergeCells count="11">
    <mergeCell ref="L3:L4"/>
    <mergeCell ref="B15:D15"/>
    <mergeCell ref="C19:D19"/>
    <mergeCell ref="C20:D20"/>
    <mergeCell ref="C21:D21"/>
    <mergeCell ref="D3:D4"/>
    <mergeCell ref="E3:E4"/>
    <mergeCell ref="H3:H4"/>
    <mergeCell ref="I3:I4"/>
    <mergeCell ref="J3:J4"/>
    <mergeCell ref="K3:K4"/>
  </mergeCells>
  <conditionalFormatting sqref="H5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0"/>
  <sheetViews>
    <sheetView workbookViewId="0">
      <selection activeCell="AC8" sqref="AC8"/>
    </sheetView>
  </sheetViews>
  <sheetFormatPr defaultRowHeight="15" x14ac:dyDescent="0.25"/>
  <cols>
    <col min="1" max="1" width="4.140625" customWidth="1"/>
    <col min="2" max="2" width="3.5703125" customWidth="1"/>
    <col min="3" max="3" width="5.7109375" customWidth="1"/>
    <col min="5" max="5" width="28.140625" customWidth="1"/>
    <col min="6" max="6" width="17.7109375" customWidth="1"/>
    <col min="7" max="12" width="9.7109375" customWidth="1"/>
    <col min="13" max="13" width="5.140625" customWidth="1"/>
    <col min="14" max="14" width="3.140625" customWidth="1"/>
    <col min="15" max="17" width="8.7109375" hidden="1" customWidth="1"/>
    <col min="18" max="18" width="4.140625" customWidth="1"/>
    <col min="19" max="19" width="8.7109375" hidden="1" customWidth="1"/>
  </cols>
  <sheetData>
    <row r="1" spans="1:2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291</v>
      </c>
      <c r="G1" s="2">
        <v>100</v>
      </c>
      <c r="H1" s="2">
        <v>70</v>
      </c>
      <c r="I1" s="2">
        <v>30</v>
      </c>
      <c r="J1" s="2" t="s">
        <v>295</v>
      </c>
      <c r="K1" s="2" t="s">
        <v>296</v>
      </c>
      <c r="L1" s="2" t="s">
        <v>297</v>
      </c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</row>
    <row r="2" spans="1:26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292</v>
      </c>
      <c r="G2">
        <v>130</v>
      </c>
      <c r="H2">
        <f>G2*70%</f>
        <v>91</v>
      </c>
      <c r="I2">
        <f>G2*30%</f>
        <v>39</v>
      </c>
      <c r="J2">
        <v>0</v>
      </c>
      <c r="K2">
        <v>50</v>
      </c>
      <c r="L2">
        <v>0</v>
      </c>
      <c r="M2" t="s">
        <v>22</v>
      </c>
      <c r="N2" s="1">
        <v>45810</v>
      </c>
      <c r="O2" t="s">
        <v>23</v>
      </c>
      <c r="P2" t="s">
        <v>24</v>
      </c>
      <c r="Q2" t="s">
        <v>25</v>
      </c>
      <c r="R2" t="s">
        <v>26</v>
      </c>
      <c r="S2" s="1">
        <v>45812</v>
      </c>
      <c r="T2" t="s">
        <v>27</v>
      </c>
      <c r="U2">
        <v>1300</v>
      </c>
      <c r="V2">
        <v>0</v>
      </c>
      <c r="W2">
        <v>234</v>
      </c>
      <c r="X2">
        <v>1534</v>
      </c>
    </row>
    <row r="3" spans="1:26" x14ac:dyDescent="0.2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294</v>
      </c>
      <c r="G3">
        <v>130</v>
      </c>
      <c r="H3">
        <f t="shared" ref="H3:H66" si="0">G3*70%</f>
        <v>91</v>
      </c>
      <c r="I3">
        <f t="shared" ref="I3:I66" si="1">G3*30%</f>
        <v>39</v>
      </c>
      <c r="J3">
        <v>0</v>
      </c>
      <c r="K3">
        <v>50</v>
      </c>
      <c r="L3">
        <v>0</v>
      </c>
      <c r="M3" t="s">
        <v>28</v>
      </c>
      <c r="N3" s="1">
        <v>45811</v>
      </c>
      <c r="O3" t="s">
        <v>29</v>
      </c>
      <c r="P3" t="s">
        <v>30</v>
      </c>
      <c r="Q3" t="s">
        <v>31</v>
      </c>
      <c r="R3" t="s">
        <v>32</v>
      </c>
      <c r="S3" s="1">
        <v>45811</v>
      </c>
      <c r="T3" t="s">
        <v>27</v>
      </c>
      <c r="U3">
        <v>1300</v>
      </c>
      <c r="V3">
        <v>0</v>
      </c>
      <c r="W3">
        <v>234</v>
      </c>
      <c r="X3">
        <v>1534</v>
      </c>
    </row>
    <row r="4" spans="1:26" x14ac:dyDescent="0.2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293</v>
      </c>
      <c r="G4">
        <v>130</v>
      </c>
      <c r="H4">
        <f t="shared" si="0"/>
        <v>91</v>
      </c>
      <c r="I4">
        <f t="shared" si="1"/>
        <v>39</v>
      </c>
      <c r="J4">
        <v>0</v>
      </c>
      <c r="K4">
        <v>50</v>
      </c>
      <c r="L4">
        <v>0</v>
      </c>
      <c r="M4" t="s">
        <v>33</v>
      </c>
      <c r="N4" s="1">
        <v>45814</v>
      </c>
      <c r="O4" t="s">
        <v>34</v>
      </c>
      <c r="P4" t="s">
        <v>35</v>
      </c>
      <c r="Q4" t="s">
        <v>36</v>
      </c>
      <c r="R4" t="s">
        <v>37</v>
      </c>
      <c r="S4" s="1">
        <v>45814</v>
      </c>
      <c r="T4" t="s">
        <v>27</v>
      </c>
      <c r="U4">
        <v>1300</v>
      </c>
      <c r="V4">
        <v>0</v>
      </c>
      <c r="W4">
        <v>234</v>
      </c>
      <c r="X4">
        <v>1534</v>
      </c>
    </row>
    <row r="5" spans="1:26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293</v>
      </c>
      <c r="G5">
        <v>130</v>
      </c>
      <c r="H5">
        <f t="shared" si="0"/>
        <v>91</v>
      </c>
      <c r="I5">
        <f t="shared" si="1"/>
        <v>39</v>
      </c>
      <c r="J5">
        <v>0</v>
      </c>
      <c r="K5">
        <v>50</v>
      </c>
      <c r="L5">
        <v>0</v>
      </c>
      <c r="M5" t="s">
        <v>38</v>
      </c>
      <c r="N5" s="1">
        <v>45814</v>
      </c>
      <c r="O5" t="s">
        <v>39</v>
      </c>
      <c r="P5" t="s">
        <v>40</v>
      </c>
      <c r="Q5" t="s">
        <v>41</v>
      </c>
      <c r="R5" t="s">
        <v>42</v>
      </c>
      <c r="S5" s="1">
        <v>45814</v>
      </c>
      <c r="T5" t="s">
        <v>27</v>
      </c>
      <c r="U5">
        <v>1300</v>
      </c>
      <c r="V5">
        <v>0</v>
      </c>
      <c r="W5">
        <v>234</v>
      </c>
      <c r="X5">
        <v>1534</v>
      </c>
    </row>
    <row r="6" spans="1:26" x14ac:dyDescent="0.2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293</v>
      </c>
      <c r="G6">
        <v>130</v>
      </c>
      <c r="H6">
        <f t="shared" si="0"/>
        <v>91</v>
      </c>
      <c r="I6">
        <f t="shared" si="1"/>
        <v>39</v>
      </c>
      <c r="J6">
        <v>0</v>
      </c>
      <c r="K6">
        <v>50</v>
      </c>
      <c r="L6">
        <v>0</v>
      </c>
      <c r="M6" t="s">
        <v>43</v>
      </c>
      <c r="N6" s="1">
        <v>45815</v>
      </c>
      <c r="O6" t="s">
        <v>44</v>
      </c>
      <c r="P6" t="s">
        <v>45</v>
      </c>
      <c r="Q6" t="s">
        <v>46</v>
      </c>
      <c r="R6" t="s">
        <v>47</v>
      </c>
      <c r="S6" s="1">
        <v>45815</v>
      </c>
      <c r="T6" t="s">
        <v>27</v>
      </c>
      <c r="U6">
        <v>31</v>
      </c>
      <c r="V6">
        <v>0</v>
      </c>
      <c r="W6">
        <v>234</v>
      </c>
      <c r="X6">
        <v>1534</v>
      </c>
      <c r="Z6">
        <v>2</v>
      </c>
    </row>
    <row r="7" spans="1:26" x14ac:dyDescent="0.2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293</v>
      </c>
      <c r="G7">
        <v>130</v>
      </c>
      <c r="H7">
        <f t="shared" si="0"/>
        <v>91</v>
      </c>
      <c r="I7">
        <f t="shared" si="1"/>
        <v>39</v>
      </c>
      <c r="J7">
        <v>0</v>
      </c>
      <c r="K7">
        <v>50</v>
      </c>
      <c r="L7">
        <v>0</v>
      </c>
      <c r="M7" t="s">
        <v>48</v>
      </c>
      <c r="N7" s="1">
        <v>45821</v>
      </c>
      <c r="O7" t="s">
        <v>49</v>
      </c>
      <c r="P7" t="s">
        <v>50</v>
      </c>
      <c r="Q7" t="s">
        <v>51</v>
      </c>
      <c r="R7" t="s">
        <v>52</v>
      </c>
      <c r="S7" s="1">
        <v>45821</v>
      </c>
      <c r="T7" t="s">
        <v>27</v>
      </c>
      <c r="U7">
        <v>1300</v>
      </c>
      <c r="V7">
        <v>0</v>
      </c>
      <c r="W7">
        <v>234</v>
      </c>
      <c r="X7">
        <v>1534</v>
      </c>
    </row>
    <row r="8" spans="1:26" x14ac:dyDescent="0.25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292</v>
      </c>
      <c r="G8">
        <v>130</v>
      </c>
      <c r="H8">
        <f t="shared" si="0"/>
        <v>91</v>
      </c>
      <c r="I8">
        <f t="shared" si="1"/>
        <v>39</v>
      </c>
      <c r="J8">
        <v>0</v>
      </c>
      <c r="K8">
        <v>50</v>
      </c>
      <c r="L8">
        <v>0</v>
      </c>
      <c r="M8" t="s">
        <v>53</v>
      </c>
      <c r="N8" s="1">
        <v>45822</v>
      </c>
      <c r="O8" t="s">
        <v>54</v>
      </c>
      <c r="P8" t="s">
        <v>55</v>
      </c>
      <c r="Q8" t="s">
        <v>25</v>
      </c>
      <c r="R8" t="s">
        <v>56</v>
      </c>
      <c r="S8" s="1">
        <v>45824</v>
      </c>
      <c r="T8" t="s">
        <v>27</v>
      </c>
      <c r="U8">
        <v>1300</v>
      </c>
      <c r="V8">
        <v>0</v>
      </c>
      <c r="W8">
        <v>234</v>
      </c>
      <c r="X8">
        <v>1534</v>
      </c>
    </row>
    <row r="9" spans="1:26" x14ac:dyDescent="0.25">
      <c r="A9" t="s">
        <v>17</v>
      </c>
      <c r="B9" t="s">
        <v>18</v>
      </c>
      <c r="C9" t="s">
        <v>19</v>
      </c>
      <c r="D9" t="s">
        <v>20</v>
      </c>
      <c r="E9" t="s">
        <v>21</v>
      </c>
      <c r="F9" t="s">
        <v>292</v>
      </c>
      <c r="G9">
        <v>130</v>
      </c>
      <c r="H9">
        <f t="shared" si="0"/>
        <v>91</v>
      </c>
      <c r="I9">
        <f t="shared" si="1"/>
        <v>39</v>
      </c>
      <c r="J9">
        <v>0</v>
      </c>
      <c r="K9">
        <v>50</v>
      </c>
      <c r="L9">
        <v>0</v>
      </c>
      <c r="M9" t="s">
        <v>57</v>
      </c>
      <c r="N9" s="1">
        <v>45822</v>
      </c>
      <c r="O9" t="s">
        <v>58</v>
      </c>
      <c r="P9" t="s">
        <v>59</v>
      </c>
      <c r="Q9" t="s">
        <v>60</v>
      </c>
      <c r="R9" t="s">
        <v>61</v>
      </c>
      <c r="S9" s="1">
        <v>45822</v>
      </c>
      <c r="T9" t="s">
        <v>27</v>
      </c>
      <c r="U9">
        <v>1300</v>
      </c>
      <c r="V9">
        <v>0</v>
      </c>
      <c r="W9">
        <v>234</v>
      </c>
      <c r="X9">
        <v>1534</v>
      </c>
    </row>
    <row r="10" spans="1:26" x14ac:dyDescent="0.25">
      <c r="A10" t="s">
        <v>17</v>
      </c>
      <c r="B10" t="s">
        <v>18</v>
      </c>
      <c r="C10" t="s">
        <v>19</v>
      </c>
      <c r="D10" t="s">
        <v>20</v>
      </c>
      <c r="E10" t="s">
        <v>21</v>
      </c>
      <c r="F10" t="s">
        <v>293</v>
      </c>
      <c r="G10">
        <v>130</v>
      </c>
      <c r="H10">
        <f t="shared" si="0"/>
        <v>91</v>
      </c>
      <c r="I10">
        <f t="shared" si="1"/>
        <v>39</v>
      </c>
      <c r="J10">
        <v>0</v>
      </c>
      <c r="K10">
        <v>50</v>
      </c>
      <c r="L10">
        <v>0</v>
      </c>
      <c r="M10" t="s">
        <v>62</v>
      </c>
      <c r="N10" s="1">
        <v>45822</v>
      </c>
      <c r="O10" t="s">
        <v>63</v>
      </c>
      <c r="P10" t="s">
        <v>64</v>
      </c>
      <c r="Q10" t="s">
        <v>65</v>
      </c>
      <c r="R10" t="s">
        <v>66</v>
      </c>
      <c r="S10" s="1">
        <v>45822</v>
      </c>
      <c r="T10" t="s">
        <v>27</v>
      </c>
      <c r="U10">
        <v>1300</v>
      </c>
      <c r="V10">
        <v>0</v>
      </c>
      <c r="W10">
        <v>234</v>
      </c>
      <c r="X10">
        <v>1534</v>
      </c>
    </row>
    <row r="11" spans="1:26" x14ac:dyDescent="0.25">
      <c r="A11" t="s">
        <v>17</v>
      </c>
      <c r="B11" t="s">
        <v>18</v>
      </c>
      <c r="C11" t="s">
        <v>19</v>
      </c>
      <c r="D11" t="s">
        <v>20</v>
      </c>
      <c r="E11" t="s">
        <v>21</v>
      </c>
      <c r="F11" t="s">
        <v>293</v>
      </c>
      <c r="G11">
        <v>130</v>
      </c>
      <c r="H11">
        <f t="shared" si="0"/>
        <v>91</v>
      </c>
      <c r="I11">
        <f t="shared" si="1"/>
        <v>39</v>
      </c>
      <c r="J11">
        <v>0</v>
      </c>
      <c r="K11">
        <v>50</v>
      </c>
      <c r="L11">
        <v>0</v>
      </c>
      <c r="M11" t="s">
        <v>67</v>
      </c>
      <c r="N11" s="1">
        <v>45825</v>
      </c>
      <c r="O11" t="s">
        <v>68</v>
      </c>
      <c r="P11" t="s">
        <v>69</v>
      </c>
      <c r="Q11" t="s">
        <v>25</v>
      </c>
      <c r="R11" t="s">
        <v>70</v>
      </c>
      <c r="S11" s="1">
        <v>45825</v>
      </c>
      <c r="T11" t="s">
        <v>27</v>
      </c>
      <c r="U11">
        <v>1300</v>
      </c>
      <c r="V11">
        <v>0</v>
      </c>
      <c r="W11">
        <v>234</v>
      </c>
      <c r="X11">
        <v>1534</v>
      </c>
    </row>
    <row r="12" spans="1:26" x14ac:dyDescent="0.2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292</v>
      </c>
      <c r="G12">
        <v>130</v>
      </c>
      <c r="H12">
        <f t="shared" si="0"/>
        <v>91</v>
      </c>
      <c r="I12">
        <f t="shared" si="1"/>
        <v>39</v>
      </c>
      <c r="J12">
        <v>0</v>
      </c>
      <c r="K12">
        <v>50</v>
      </c>
      <c r="L12">
        <v>0</v>
      </c>
      <c r="M12" t="s">
        <v>71</v>
      </c>
      <c r="N12" s="1">
        <v>45836</v>
      </c>
      <c r="O12" t="s">
        <v>72</v>
      </c>
      <c r="P12" t="s">
        <v>73</v>
      </c>
      <c r="Q12" t="s">
        <v>51</v>
      </c>
      <c r="R12" t="s">
        <v>74</v>
      </c>
      <c r="S12" s="1">
        <v>45836</v>
      </c>
      <c r="T12" t="s">
        <v>27</v>
      </c>
      <c r="U12">
        <v>1300</v>
      </c>
      <c r="V12">
        <v>0</v>
      </c>
      <c r="W12">
        <v>234</v>
      </c>
      <c r="X12">
        <v>1534</v>
      </c>
    </row>
    <row r="13" spans="1:26" x14ac:dyDescent="0.25">
      <c r="A13" t="s">
        <v>17</v>
      </c>
      <c r="B13" t="s">
        <v>18</v>
      </c>
      <c r="C13" t="s">
        <v>19</v>
      </c>
      <c r="D13" t="s">
        <v>20</v>
      </c>
      <c r="E13" t="s">
        <v>21</v>
      </c>
      <c r="F13" t="s">
        <v>292</v>
      </c>
      <c r="G13">
        <v>130</v>
      </c>
      <c r="H13">
        <f t="shared" si="0"/>
        <v>91</v>
      </c>
      <c r="I13">
        <f t="shared" si="1"/>
        <v>39</v>
      </c>
      <c r="J13">
        <v>0</v>
      </c>
      <c r="K13">
        <v>50</v>
      </c>
      <c r="L13">
        <v>0</v>
      </c>
      <c r="M13" t="s">
        <v>75</v>
      </c>
      <c r="N13" s="1">
        <v>45836</v>
      </c>
      <c r="O13" t="s">
        <v>76</v>
      </c>
      <c r="P13" t="s">
        <v>77</v>
      </c>
      <c r="Q13" t="s">
        <v>25</v>
      </c>
      <c r="R13" t="s">
        <v>78</v>
      </c>
      <c r="S13" s="1">
        <v>45836</v>
      </c>
      <c r="T13" t="s">
        <v>27</v>
      </c>
      <c r="U13">
        <v>1300</v>
      </c>
      <c r="V13">
        <v>0</v>
      </c>
      <c r="W13">
        <v>234</v>
      </c>
      <c r="X13">
        <v>1534</v>
      </c>
    </row>
    <row r="14" spans="1:26" x14ac:dyDescent="0.25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294</v>
      </c>
      <c r="G14">
        <v>130</v>
      </c>
      <c r="H14">
        <f t="shared" si="0"/>
        <v>91</v>
      </c>
      <c r="I14">
        <f t="shared" si="1"/>
        <v>39</v>
      </c>
      <c r="J14">
        <v>0</v>
      </c>
      <c r="K14">
        <v>50</v>
      </c>
      <c r="L14">
        <v>0</v>
      </c>
      <c r="M14" t="s">
        <v>79</v>
      </c>
      <c r="N14" s="1">
        <v>45836</v>
      </c>
      <c r="O14" t="s">
        <v>80</v>
      </c>
      <c r="P14" t="s">
        <v>81</v>
      </c>
      <c r="Q14" t="s">
        <v>36</v>
      </c>
      <c r="R14" t="s">
        <v>82</v>
      </c>
      <c r="S14" s="1">
        <v>45836</v>
      </c>
      <c r="T14" t="s">
        <v>27</v>
      </c>
      <c r="U14">
        <v>1300</v>
      </c>
      <c r="V14">
        <v>0</v>
      </c>
      <c r="W14">
        <v>234</v>
      </c>
      <c r="X14">
        <v>1534</v>
      </c>
    </row>
    <row r="15" spans="1:26" x14ac:dyDescent="0.25">
      <c r="A15" t="s">
        <v>17</v>
      </c>
      <c r="B15" t="s">
        <v>18</v>
      </c>
      <c r="C15" t="s">
        <v>19</v>
      </c>
      <c r="D15" t="s">
        <v>20</v>
      </c>
      <c r="E15" t="s">
        <v>21</v>
      </c>
      <c r="F15" t="s">
        <v>293</v>
      </c>
      <c r="G15">
        <v>130</v>
      </c>
      <c r="H15">
        <f t="shared" si="0"/>
        <v>91</v>
      </c>
      <c r="I15">
        <f t="shared" si="1"/>
        <v>39</v>
      </c>
      <c r="J15">
        <v>0</v>
      </c>
      <c r="K15">
        <v>50</v>
      </c>
      <c r="L15">
        <v>0</v>
      </c>
      <c r="M15" t="s">
        <v>83</v>
      </c>
      <c r="N15" s="1">
        <v>45838</v>
      </c>
      <c r="O15" t="s">
        <v>84</v>
      </c>
      <c r="P15" t="s">
        <v>85</v>
      </c>
      <c r="Q15" t="s">
        <v>31</v>
      </c>
      <c r="R15" t="s">
        <v>86</v>
      </c>
      <c r="S15" s="1">
        <v>45838</v>
      </c>
      <c r="T15" t="s">
        <v>27</v>
      </c>
      <c r="U15">
        <v>1300</v>
      </c>
      <c r="V15">
        <v>0</v>
      </c>
      <c r="W15">
        <v>234</v>
      </c>
      <c r="X15">
        <v>1534</v>
      </c>
    </row>
    <row r="16" spans="1:26" x14ac:dyDescent="0.25">
      <c r="A16" t="s">
        <v>17</v>
      </c>
      <c r="B16" t="s">
        <v>18</v>
      </c>
      <c r="C16" t="s">
        <v>19</v>
      </c>
      <c r="D16" t="s">
        <v>87</v>
      </c>
      <c r="E16" t="s">
        <v>88</v>
      </c>
      <c r="F16" t="s">
        <v>293</v>
      </c>
      <c r="G16">
        <v>25</v>
      </c>
      <c r="H16">
        <f t="shared" si="0"/>
        <v>17.5</v>
      </c>
      <c r="I16">
        <f t="shared" si="1"/>
        <v>7.5</v>
      </c>
      <c r="J16">
        <v>2</v>
      </c>
      <c r="K16">
        <v>0</v>
      </c>
      <c r="L16">
        <v>0</v>
      </c>
      <c r="M16" t="s">
        <v>89</v>
      </c>
      <c r="N16" s="1">
        <v>45830</v>
      </c>
      <c r="O16" t="s">
        <v>90</v>
      </c>
      <c r="P16" t="s">
        <v>91</v>
      </c>
      <c r="Q16" t="s">
        <v>92</v>
      </c>
      <c r="R16" t="s">
        <v>93</v>
      </c>
      <c r="S16" s="1">
        <v>45830</v>
      </c>
      <c r="T16" t="s">
        <v>27</v>
      </c>
      <c r="U16">
        <v>250</v>
      </c>
      <c r="V16">
        <v>0</v>
      </c>
      <c r="W16">
        <v>45</v>
      </c>
      <c r="X16">
        <v>295</v>
      </c>
    </row>
    <row r="17" spans="1:24" x14ac:dyDescent="0.25">
      <c r="A17" t="s">
        <v>17</v>
      </c>
      <c r="B17" t="s">
        <v>18</v>
      </c>
      <c r="C17" t="s">
        <v>19</v>
      </c>
      <c r="D17" t="s">
        <v>87</v>
      </c>
      <c r="E17" t="s">
        <v>88</v>
      </c>
      <c r="F17" t="s">
        <v>293</v>
      </c>
      <c r="G17">
        <v>25</v>
      </c>
      <c r="H17">
        <f t="shared" si="0"/>
        <v>17.5</v>
      </c>
      <c r="I17">
        <f t="shared" si="1"/>
        <v>7.5</v>
      </c>
      <c r="J17">
        <v>2</v>
      </c>
      <c r="K17">
        <v>0</v>
      </c>
      <c r="L17">
        <v>0</v>
      </c>
      <c r="M17" t="s">
        <v>94</v>
      </c>
      <c r="N17" s="1">
        <v>45834</v>
      </c>
      <c r="O17" t="s">
        <v>95</v>
      </c>
      <c r="P17" t="s">
        <v>96</v>
      </c>
      <c r="Q17" t="s">
        <v>97</v>
      </c>
      <c r="R17" t="s">
        <v>98</v>
      </c>
      <c r="S17" s="1">
        <v>45834</v>
      </c>
      <c r="T17" t="s">
        <v>27</v>
      </c>
      <c r="U17">
        <v>150</v>
      </c>
      <c r="V17">
        <v>0</v>
      </c>
      <c r="W17">
        <v>27</v>
      </c>
      <c r="X17">
        <v>177</v>
      </c>
    </row>
    <row r="18" spans="1:24" x14ac:dyDescent="0.25">
      <c r="A18" t="s">
        <v>17</v>
      </c>
      <c r="B18" t="s">
        <v>18</v>
      </c>
      <c r="C18" t="s">
        <v>19</v>
      </c>
      <c r="D18" t="s">
        <v>99</v>
      </c>
      <c r="E18" t="s">
        <v>100</v>
      </c>
      <c r="F18" t="s">
        <v>293</v>
      </c>
      <c r="G18">
        <v>85</v>
      </c>
      <c r="H18">
        <f t="shared" si="0"/>
        <v>59.499999999999993</v>
      </c>
      <c r="I18">
        <f t="shared" si="1"/>
        <v>25.5</v>
      </c>
      <c r="J18">
        <v>0</v>
      </c>
      <c r="K18">
        <v>15</v>
      </c>
      <c r="L18">
        <v>0</v>
      </c>
      <c r="M18" t="s">
        <v>67</v>
      </c>
      <c r="N18" s="1">
        <v>45825</v>
      </c>
      <c r="O18" t="s">
        <v>68</v>
      </c>
      <c r="P18" t="s">
        <v>69</v>
      </c>
      <c r="Q18" t="s">
        <v>25</v>
      </c>
      <c r="R18" t="s">
        <v>70</v>
      </c>
      <c r="S18" s="1">
        <v>45825</v>
      </c>
      <c r="T18" t="s">
        <v>27</v>
      </c>
      <c r="U18">
        <v>850</v>
      </c>
      <c r="V18">
        <v>0</v>
      </c>
      <c r="W18">
        <v>153</v>
      </c>
      <c r="X18">
        <v>1003</v>
      </c>
    </row>
    <row r="19" spans="1:24" x14ac:dyDescent="0.25">
      <c r="A19" t="s">
        <v>17</v>
      </c>
      <c r="B19" t="s">
        <v>18</v>
      </c>
      <c r="C19" t="s">
        <v>19</v>
      </c>
      <c r="D19" t="s">
        <v>99</v>
      </c>
      <c r="E19" t="s">
        <v>100</v>
      </c>
      <c r="F19" t="s">
        <v>293</v>
      </c>
      <c r="G19">
        <v>85</v>
      </c>
      <c r="H19">
        <f t="shared" si="0"/>
        <v>59.499999999999993</v>
      </c>
      <c r="I19">
        <f t="shared" si="1"/>
        <v>25.5</v>
      </c>
      <c r="J19">
        <v>0</v>
      </c>
      <c r="K19">
        <v>15</v>
      </c>
      <c r="L19">
        <v>0</v>
      </c>
      <c r="M19" t="s">
        <v>101</v>
      </c>
      <c r="N19" s="1">
        <v>45836</v>
      </c>
      <c r="O19" t="s">
        <v>102</v>
      </c>
      <c r="P19" t="s">
        <v>103</v>
      </c>
      <c r="Q19" t="s">
        <v>104</v>
      </c>
      <c r="R19" t="s">
        <v>105</v>
      </c>
      <c r="S19" s="1">
        <v>45837</v>
      </c>
      <c r="T19" t="s">
        <v>27</v>
      </c>
      <c r="U19">
        <v>750</v>
      </c>
      <c r="V19">
        <v>0</v>
      </c>
      <c r="W19">
        <v>135</v>
      </c>
      <c r="X19">
        <v>885</v>
      </c>
    </row>
    <row r="20" spans="1:24" x14ac:dyDescent="0.25">
      <c r="A20" t="s">
        <v>17</v>
      </c>
      <c r="B20" t="s">
        <v>18</v>
      </c>
      <c r="C20" t="s">
        <v>19</v>
      </c>
      <c r="D20" t="s">
        <v>99</v>
      </c>
      <c r="E20" t="s">
        <v>100</v>
      </c>
      <c r="F20" t="s">
        <v>293</v>
      </c>
      <c r="G20">
        <v>85</v>
      </c>
      <c r="H20">
        <f t="shared" si="0"/>
        <v>59.499999999999993</v>
      </c>
      <c r="I20">
        <f t="shared" si="1"/>
        <v>25.5</v>
      </c>
      <c r="J20">
        <v>0</v>
      </c>
      <c r="K20">
        <v>15</v>
      </c>
      <c r="L20">
        <v>0</v>
      </c>
      <c r="M20" t="s">
        <v>106</v>
      </c>
      <c r="N20" s="1">
        <v>45836</v>
      </c>
      <c r="O20" t="s">
        <v>107</v>
      </c>
      <c r="P20" t="s">
        <v>108</v>
      </c>
      <c r="Q20" t="s">
        <v>25</v>
      </c>
      <c r="R20" t="s">
        <v>109</v>
      </c>
      <c r="S20" s="1">
        <v>45836</v>
      </c>
      <c r="T20" t="s">
        <v>27</v>
      </c>
      <c r="U20">
        <v>750</v>
      </c>
      <c r="V20">
        <v>0</v>
      </c>
      <c r="W20">
        <v>135</v>
      </c>
      <c r="X20">
        <v>885</v>
      </c>
    </row>
    <row r="21" spans="1:24" x14ac:dyDescent="0.25">
      <c r="A21" t="s">
        <v>17</v>
      </c>
      <c r="B21" t="s">
        <v>18</v>
      </c>
      <c r="C21" t="s">
        <v>19</v>
      </c>
      <c r="D21" t="s">
        <v>110</v>
      </c>
      <c r="E21" t="s">
        <v>111</v>
      </c>
      <c r="F21" t="s">
        <v>293</v>
      </c>
      <c r="G21">
        <v>65</v>
      </c>
      <c r="H21">
        <f t="shared" si="0"/>
        <v>45.5</v>
      </c>
      <c r="I21">
        <f t="shared" si="1"/>
        <v>19.5</v>
      </c>
      <c r="J21">
        <v>0</v>
      </c>
      <c r="K21">
        <v>10</v>
      </c>
      <c r="L21">
        <v>0</v>
      </c>
      <c r="M21" t="s">
        <v>112</v>
      </c>
      <c r="N21" s="1">
        <v>45814</v>
      </c>
      <c r="O21" t="s">
        <v>113</v>
      </c>
      <c r="P21" t="s">
        <v>114</v>
      </c>
      <c r="Q21" t="s">
        <v>115</v>
      </c>
      <c r="R21" t="s">
        <v>116</v>
      </c>
      <c r="S21" s="1">
        <v>45814</v>
      </c>
      <c r="T21" t="s">
        <v>27</v>
      </c>
      <c r="U21">
        <v>550</v>
      </c>
      <c r="V21">
        <v>0</v>
      </c>
      <c r="W21">
        <v>0</v>
      </c>
      <c r="X21">
        <v>550</v>
      </c>
    </row>
    <row r="22" spans="1:24" x14ac:dyDescent="0.25">
      <c r="A22" t="s">
        <v>17</v>
      </c>
      <c r="B22" t="s">
        <v>18</v>
      </c>
      <c r="C22" t="s">
        <v>19</v>
      </c>
      <c r="D22" t="s">
        <v>110</v>
      </c>
      <c r="E22" t="s">
        <v>111</v>
      </c>
      <c r="F22" t="s">
        <v>293</v>
      </c>
      <c r="G22">
        <v>65</v>
      </c>
      <c r="H22">
        <f t="shared" si="0"/>
        <v>45.5</v>
      </c>
      <c r="I22">
        <f t="shared" si="1"/>
        <v>19.5</v>
      </c>
      <c r="J22">
        <v>0</v>
      </c>
      <c r="K22">
        <v>10</v>
      </c>
      <c r="L22">
        <v>0</v>
      </c>
      <c r="M22" t="s">
        <v>117</v>
      </c>
      <c r="N22" s="1">
        <v>45815</v>
      </c>
      <c r="O22" t="s">
        <v>118</v>
      </c>
      <c r="P22" t="s">
        <v>119</v>
      </c>
      <c r="Q22" t="s">
        <v>104</v>
      </c>
      <c r="R22" t="s">
        <v>120</v>
      </c>
      <c r="S22" s="1">
        <v>45815</v>
      </c>
      <c r="T22" t="s">
        <v>27</v>
      </c>
      <c r="U22">
        <v>550</v>
      </c>
      <c r="V22">
        <v>0</v>
      </c>
      <c r="W22">
        <v>99</v>
      </c>
      <c r="X22">
        <v>649</v>
      </c>
    </row>
    <row r="23" spans="1:24" x14ac:dyDescent="0.25">
      <c r="A23" t="s">
        <v>17</v>
      </c>
      <c r="B23" t="s">
        <v>18</v>
      </c>
      <c r="C23" t="s">
        <v>19</v>
      </c>
      <c r="D23" t="s">
        <v>110</v>
      </c>
      <c r="E23" t="s">
        <v>111</v>
      </c>
      <c r="F23" t="s">
        <v>292</v>
      </c>
      <c r="G23">
        <v>65</v>
      </c>
      <c r="H23">
        <f t="shared" si="0"/>
        <v>45.5</v>
      </c>
      <c r="I23">
        <f t="shared" si="1"/>
        <v>19.5</v>
      </c>
      <c r="J23">
        <v>0</v>
      </c>
      <c r="K23">
        <v>10</v>
      </c>
      <c r="L23">
        <v>0</v>
      </c>
      <c r="M23" t="s">
        <v>121</v>
      </c>
      <c r="N23" s="1">
        <v>45817</v>
      </c>
      <c r="O23" t="s">
        <v>122</v>
      </c>
      <c r="P23" t="s">
        <v>123</v>
      </c>
      <c r="Q23" t="s">
        <v>124</v>
      </c>
      <c r="R23" t="s">
        <v>125</v>
      </c>
      <c r="S23" s="1">
        <v>45817</v>
      </c>
      <c r="T23" t="s">
        <v>27</v>
      </c>
      <c r="U23">
        <v>550</v>
      </c>
      <c r="V23">
        <v>0</v>
      </c>
      <c r="W23">
        <v>99</v>
      </c>
      <c r="X23">
        <v>649</v>
      </c>
    </row>
    <row r="24" spans="1:24" x14ac:dyDescent="0.25">
      <c r="A24" t="s">
        <v>17</v>
      </c>
      <c r="B24" t="s">
        <v>18</v>
      </c>
      <c r="C24" t="s">
        <v>19</v>
      </c>
      <c r="D24" t="s">
        <v>110</v>
      </c>
      <c r="E24" t="s">
        <v>111</v>
      </c>
      <c r="F24" t="s">
        <v>293</v>
      </c>
      <c r="G24">
        <v>65</v>
      </c>
      <c r="H24">
        <f t="shared" si="0"/>
        <v>45.5</v>
      </c>
      <c r="I24">
        <f t="shared" si="1"/>
        <v>19.5</v>
      </c>
      <c r="J24">
        <v>0</v>
      </c>
      <c r="K24">
        <v>10</v>
      </c>
      <c r="L24">
        <v>0</v>
      </c>
      <c r="M24" t="s">
        <v>126</v>
      </c>
      <c r="N24" s="1">
        <v>45818</v>
      </c>
      <c r="O24" t="s">
        <v>127</v>
      </c>
      <c r="P24" t="s">
        <v>128</v>
      </c>
      <c r="Q24" t="s">
        <v>129</v>
      </c>
      <c r="R24" t="s">
        <v>130</v>
      </c>
      <c r="S24" s="1">
        <v>45818</v>
      </c>
      <c r="T24" t="s">
        <v>27</v>
      </c>
      <c r="U24">
        <v>550</v>
      </c>
      <c r="V24">
        <v>0</v>
      </c>
      <c r="W24">
        <v>99</v>
      </c>
      <c r="X24">
        <v>649</v>
      </c>
    </row>
    <row r="25" spans="1:24" x14ac:dyDescent="0.25">
      <c r="A25" t="s">
        <v>17</v>
      </c>
      <c r="B25" t="s">
        <v>18</v>
      </c>
      <c r="C25" t="s">
        <v>19</v>
      </c>
      <c r="D25" t="s">
        <v>110</v>
      </c>
      <c r="E25" t="s">
        <v>111</v>
      </c>
      <c r="F25" t="s">
        <v>292</v>
      </c>
      <c r="G25">
        <v>65</v>
      </c>
      <c r="H25">
        <f t="shared" si="0"/>
        <v>45.5</v>
      </c>
      <c r="I25">
        <f t="shared" si="1"/>
        <v>19.5</v>
      </c>
      <c r="J25">
        <v>0</v>
      </c>
      <c r="K25">
        <v>10</v>
      </c>
      <c r="L25">
        <v>0</v>
      </c>
      <c r="M25" t="s">
        <v>53</v>
      </c>
      <c r="N25" s="1">
        <v>45822</v>
      </c>
      <c r="O25" t="s">
        <v>54</v>
      </c>
      <c r="P25" t="s">
        <v>55</v>
      </c>
      <c r="Q25" t="s">
        <v>25</v>
      </c>
      <c r="R25" t="s">
        <v>56</v>
      </c>
      <c r="S25" s="1">
        <v>45824</v>
      </c>
      <c r="T25" t="s">
        <v>27</v>
      </c>
      <c r="U25">
        <v>550</v>
      </c>
      <c r="V25">
        <v>0</v>
      </c>
      <c r="W25">
        <v>99</v>
      </c>
      <c r="X25">
        <v>649</v>
      </c>
    </row>
    <row r="26" spans="1:24" x14ac:dyDescent="0.25">
      <c r="A26" t="s">
        <v>17</v>
      </c>
      <c r="B26" t="s">
        <v>18</v>
      </c>
      <c r="C26" t="s">
        <v>19</v>
      </c>
      <c r="D26" t="s">
        <v>110</v>
      </c>
      <c r="E26" t="s">
        <v>111</v>
      </c>
      <c r="F26" t="s">
        <v>292</v>
      </c>
      <c r="G26">
        <v>65</v>
      </c>
      <c r="H26">
        <f t="shared" si="0"/>
        <v>45.5</v>
      </c>
      <c r="I26">
        <f t="shared" si="1"/>
        <v>19.5</v>
      </c>
      <c r="J26">
        <v>0</v>
      </c>
      <c r="K26">
        <v>10</v>
      </c>
      <c r="L26">
        <v>0</v>
      </c>
      <c r="M26" t="s">
        <v>57</v>
      </c>
      <c r="N26" s="1">
        <v>45822</v>
      </c>
      <c r="O26" t="s">
        <v>58</v>
      </c>
      <c r="P26" t="s">
        <v>59</v>
      </c>
      <c r="Q26" t="s">
        <v>60</v>
      </c>
      <c r="R26" t="s">
        <v>61</v>
      </c>
      <c r="S26" s="1">
        <v>45822</v>
      </c>
      <c r="T26" t="s">
        <v>27</v>
      </c>
      <c r="U26">
        <v>550</v>
      </c>
      <c r="V26">
        <v>0</v>
      </c>
      <c r="W26">
        <v>99</v>
      </c>
      <c r="X26">
        <v>649</v>
      </c>
    </row>
    <row r="27" spans="1:24" x14ac:dyDescent="0.25">
      <c r="A27" t="s">
        <v>17</v>
      </c>
      <c r="B27" t="s">
        <v>18</v>
      </c>
      <c r="C27" t="s">
        <v>19</v>
      </c>
      <c r="D27" t="s">
        <v>110</v>
      </c>
      <c r="E27" t="s">
        <v>111</v>
      </c>
      <c r="F27" t="s">
        <v>292</v>
      </c>
      <c r="G27">
        <v>65</v>
      </c>
      <c r="H27">
        <f t="shared" si="0"/>
        <v>45.5</v>
      </c>
      <c r="I27">
        <f t="shared" si="1"/>
        <v>19.5</v>
      </c>
      <c r="J27">
        <v>0</v>
      </c>
      <c r="K27">
        <v>10</v>
      </c>
      <c r="L27">
        <v>0</v>
      </c>
      <c r="M27" t="s">
        <v>131</v>
      </c>
      <c r="N27" s="1">
        <v>45824</v>
      </c>
      <c r="O27" t="s">
        <v>132</v>
      </c>
      <c r="P27" t="s">
        <v>133</v>
      </c>
      <c r="Q27" t="s">
        <v>41</v>
      </c>
      <c r="R27" t="s">
        <v>134</v>
      </c>
      <c r="S27" s="1">
        <v>45824</v>
      </c>
      <c r="T27" t="s">
        <v>27</v>
      </c>
      <c r="U27">
        <v>550</v>
      </c>
      <c r="V27">
        <v>0</v>
      </c>
      <c r="W27">
        <v>99</v>
      </c>
      <c r="X27">
        <v>649</v>
      </c>
    </row>
    <row r="28" spans="1:24" x14ac:dyDescent="0.25">
      <c r="A28" t="s">
        <v>17</v>
      </c>
      <c r="B28" t="s">
        <v>18</v>
      </c>
      <c r="C28" t="s">
        <v>19</v>
      </c>
      <c r="D28" t="s">
        <v>110</v>
      </c>
      <c r="E28" t="s">
        <v>111</v>
      </c>
      <c r="F28" t="s">
        <v>292</v>
      </c>
      <c r="G28">
        <v>65</v>
      </c>
      <c r="H28">
        <f t="shared" si="0"/>
        <v>45.5</v>
      </c>
      <c r="I28">
        <f t="shared" si="1"/>
        <v>19.5</v>
      </c>
      <c r="J28">
        <v>0</v>
      </c>
      <c r="K28">
        <v>10</v>
      </c>
      <c r="L28">
        <v>0</v>
      </c>
      <c r="M28" t="s">
        <v>135</v>
      </c>
      <c r="N28" s="1">
        <v>45825</v>
      </c>
      <c r="O28" t="s">
        <v>136</v>
      </c>
      <c r="P28" t="s">
        <v>137</v>
      </c>
      <c r="Q28" t="s">
        <v>51</v>
      </c>
      <c r="R28" t="s">
        <v>138</v>
      </c>
      <c r="S28" s="1">
        <v>45833</v>
      </c>
      <c r="T28" t="s">
        <v>27</v>
      </c>
      <c r="U28">
        <v>550</v>
      </c>
      <c r="V28">
        <v>0</v>
      </c>
      <c r="W28">
        <v>99</v>
      </c>
      <c r="X28">
        <v>649</v>
      </c>
    </row>
    <row r="29" spans="1:24" x14ac:dyDescent="0.25">
      <c r="A29" t="s">
        <v>17</v>
      </c>
      <c r="B29" t="s">
        <v>18</v>
      </c>
      <c r="C29" t="s">
        <v>19</v>
      </c>
      <c r="D29" t="s">
        <v>110</v>
      </c>
      <c r="E29" t="s">
        <v>111</v>
      </c>
      <c r="F29" t="s">
        <v>293</v>
      </c>
      <c r="G29">
        <v>65</v>
      </c>
      <c r="H29">
        <f t="shared" si="0"/>
        <v>45.5</v>
      </c>
      <c r="I29">
        <f t="shared" si="1"/>
        <v>19.5</v>
      </c>
      <c r="J29">
        <v>0</v>
      </c>
      <c r="K29">
        <v>10</v>
      </c>
      <c r="L29">
        <v>0</v>
      </c>
      <c r="M29" t="s">
        <v>67</v>
      </c>
      <c r="N29" s="1">
        <v>45825</v>
      </c>
      <c r="O29" t="s">
        <v>68</v>
      </c>
      <c r="P29" t="s">
        <v>69</v>
      </c>
      <c r="Q29" t="s">
        <v>25</v>
      </c>
      <c r="R29" t="s">
        <v>70</v>
      </c>
      <c r="S29" s="1">
        <v>45825</v>
      </c>
      <c r="T29" t="s">
        <v>27</v>
      </c>
      <c r="U29">
        <v>550</v>
      </c>
      <c r="V29">
        <v>0</v>
      </c>
      <c r="W29">
        <v>99</v>
      </c>
      <c r="X29">
        <v>649</v>
      </c>
    </row>
    <row r="30" spans="1:24" x14ac:dyDescent="0.25">
      <c r="A30" t="s">
        <v>17</v>
      </c>
      <c r="B30" t="s">
        <v>18</v>
      </c>
      <c r="C30" t="s">
        <v>19</v>
      </c>
      <c r="D30" t="s">
        <v>110</v>
      </c>
      <c r="E30" t="s">
        <v>111</v>
      </c>
      <c r="F30" t="s">
        <v>292</v>
      </c>
      <c r="G30">
        <v>65</v>
      </c>
      <c r="H30">
        <f t="shared" si="0"/>
        <v>45.5</v>
      </c>
      <c r="I30">
        <f t="shared" si="1"/>
        <v>19.5</v>
      </c>
      <c r="J30">
        <v>0</v>
      </c>
      <c r="K30">
        <v>10</v>
      </c>
      <c r="L30">
        <v>0</v>
      </c>
      <c r="M30" t="s">
        <v>139</v>
      </c>
      <c r="N30" s="1">
        <v>45825</v>
      </c>
      <c r="O30" t="s">
        <v>140</v>
      </c>
      <c r="P30" t="s">
        <v>141</v>
      </c>
      <c r="Q30" t="s">
        <v>142</v>
      </c>
      <c r="R30" t="s">
        <v>143</v>
      </c>
      <c r="S30" s="1">
        <v>45827</v>
      </c>
      <c r="T30" t="s">
        <v>27</v>
      </c>
      <c r="U30">
        <v>550</v>
      </c>
      <c r="V30">
        <v>0</v>
      </c>
      <c r="W30">
        <v>99</v>
      </c>
      <c r="X30">
        <v>649</v>
      </c>
    </row>
    <row r="31" spans="1:24" x14ac:dyDescent="0.25">
      <c r="A31" t="s">
        <v>17</v>
      </c>
      <c r="B31" t="s">
        <v>18</v>
      </c>
      <c r="C31" t="s">
        <v>19</v>
      </c>
      <c r="D31" t="s">
        <v>110</v>
      </c>
      <c r="E31" t="s">
        <v>111</v>
      </c>
      <c r="F31" t="s">
        <v>292</v>
      </c>
      <c r="G31">
        <v>65</v>
      </c>
      <c r="H31">
        <f t="shared" si="0"/>
        <v>45.5</v>
      </c>
      <c r="I31">
        <f t="shared" si="1"/>
        <v>19.5</v>
      </c>
      <c r="J31">
        <v>0</v>
      </c>
      <c r="K31">
        <v>10</v>
      </c>
      <c r="L31">
        <v>0</v>
      </c>
      <c r="M31" t="s">
        <v>144</v>
      </c>
      <c r="N31" s="1">
        <v>45827</v>
      </c>
      <c r="O31" t="s">
        <v>145</v>
      </c>
      <c r="P31" t="s">
        <v>146</v>
      </c>
      <c r="Q31" t="s">
        <v>104</v>
      </c>
      <c r="R31" t="s">
        <v>147</v>
      </c>
      <c r="S31" s="1">
        <v>45827</v>
      </c>
      <c r="T31" t="s">
        <v>27</v>
      </c>
      <c r="U31">
        <v>550</v>
      </c>
      <c r="V31">
        <v>0</v>
      </c>
      <c r="W31">
        <v>99</v>
      </c>
      <c r="X31">
        <v>649</v>
      </c>
    </row>
    <row r="32" spans="1:24" x14ac:dyDescent="0.25">
      <c r="A32" t="s">
        <v>17</v>
      </c>
      <c r="B32" t="s">
        <v>18</v>
      </c>
      <c r="C32" t="s">
        <v>19</v>
      </c>
      <c r="D32" t="s">
        <v>110</v>
      </c>
      <c r="E32" t="s">
        <v>111</v>
      </c>
      <c r="F32" t="s">
        <v>293</v>
      </c>
      <c r="G32">
        <v>65</v>
      </c>
      <c r="H32">
        <f t="shared" si="0"/>
        <v>45.5</v>
      </c>
      <c r="I32">
        <f t="shared" si="1"/>
        <v>19.5</v>
      </c>
      <c r="J32">
        <v>0</v>
      </c>
      <c r="K32">
        <v>10</v>
      </c>
      <c r="L32">
        <v>0</v>
      </c>
      <c r="M32" t="s">
        <v>148</v>
      </c>
      <c r="N32" s="1">
        <v>45828</v>
      </c>
      <c r="O32" t="s">
        <v>149</v>
      </c>
      <c r="P32" t="s">
        <v>150</v>
      </c>
      <c r="Q32" t="s">
        <v>46</v>
      </c>
      <c r="R32" t="s">
        <v>151</v>
      </c>
      <c r="S32" s="1">
        <v>45828</v>
      </c>
      <c r="T32" t="s">
        <v>27</v>
      </c>
      <c r="U32">
        <v>550</v>
      </c>
      <c r="V32">
        <v>0</v>
      </c>
      <c r="W32">
        <v>99</v>
      </c>
      <c r="X32">
        <v>649</v>
      </c>
    </row>
    <row r="33" spans="1:24" x14ac:dyDescent="0.25">
      <c r="A33" t="s">
        <v>17</v>
      </c>
      <c r="B33" t="s">
        <v>18</v>
      </c>
      <c r="C33" t="s">
        <v>19</v>
      </c>
      <c r="D33" t="s">
        <v>110</v>
      </c>
      <c r="E33" t="s">
        <v>111</v>
      </c>
      <c r="F33" t="s">
        <v>292</v>
      </c>
      <c r="G33">
        <v>65</v>
      </c>
      <c r="H33">
        <f t="shared" si="0"/>
        <v>45.5</v>
      </c>
      <c r="I33">
        <f t="shared" si="1"/>
        <v>19.5</v>
      </c>
      <c r="J33">
        <v>0</v>
      </c>
      <c r="K33">
        <v>10</v>
      </c>
      <c r="L33">
        <v>0</v>
      </c>
      <c r="M33" t="s">
        <v>152</v>
      </c>
      <c r="N33" s="1">
        <v>45828</v>
      </c>
      <c r="O33" t="s">
        <v>153</v>
      </c>
      <c r="P33" t="s">
        <v>154</v>
      </c>
      <c r="Q33" t="s">
        <v>36</v>
      </c>
      <c r="R33" t="s">
        <v>155</v>
      </c>
      <c r="S33" s="1">
        <v>45828</v>
      </c>
      <c r="T33" t="s">
        <v>27</v>
      </c>
      <c r="U33">
        <v>550</v>
      </c>
      <c r="V33">
        <v>0</v>
      </c>
      <c r="W33">
        <v>99</v>
      </c>
      <c r="X33">
        <v>649</v>
      </c>
    </row>
    <row r="34" spans="1:24" x14ac:dyDescent="0.25">
      <c r="A34" t="s">
        <v>17</v>
      </c>
      <c r="B34" t="s">
        <v>18</v>
      </c>
      <c r="C34" t="s">
        <v>19</v>
      </c>
      <c r="D34" t="s">
        <v>110</v>
      </c>
      <c r="E34" t="s">
        <v>111</v>
      </c>
      <c r="F34" t="s">
        <v>292</v>
      </c>
      <c r="G34">
        <v>65</v>
      </c>
      <c r="H34">
        <f t="shared" si="0"/>
        <v>45.5</v>
      </c>
      <c r="I34">
        <f t="shared" si="1"/>
        <v>19.5</v>
      </c>
      <c r="J34">
        <v>0</v>
      </c>
      <c r="K34">
        <v>10</v>
      </c>
      <c r="L34">
        <v>0</v>
      </c>
      <c r="M34" t="s">
        <v>156</v>
      </c>
      <c r="N34" s="1">
        <v>45832</v>
      </c>
      <c r="O34" t="s">
        <v>157</v>
      </c>
      <c r="P34" t="s">
        <v>158</v>
      </c>
      <c r="Q34" t="s">
        <v>159</v>
      </c>
      <c r="R34" t="s">
        <v>160</v>
      </c>
      <c r="S34" s="1">
        <v>45832</v>
      </c>
      <c r="T34" t="s">
        <v>27</v>
      </c>
      <c r="U34">
        <v>550</v>
      </c>
      <c r="V34">
        <v>0</v>
      </c>
      <c r="W34">
        <v>99</v>
      </c>
      <c r="X34">
        <v>649</v>
      </c>
    </row>
    <row r="35" spans="1:24" x14ac:dyDescent="0.25">
      <c r="A35" t="s">
        <v>17</v>
      </c>
      <c r="B35" t="s">
        <v>18</v>
      </c>
      <c r="C35" t="s">
        <v>19</v>
      </c>
      <c r="D35" t="s">
        <v>110</v>
      </c>
      <c r="E35" t="s">
        <v>111</v>
      </c>
      <c r="F35" t="s">
        <v>292</v>
      </c>
      <c r="G35">
        <v>65</v>
      </c>
      <c r="H35">
        <f t="shared" si="0"/>
        <v>45.5</v>
      </c>
      <c r="I35">
        <f t="shared" si="1"/>
        <v>19.5</v>
      </c>
      <c r="J35">
        <v>0</v>
      </c>
      <c r="K35">
        <v>10</v>
      </c>
      <c r="L35">
        <v>0</v>
      </c>
      <c r="M35" t="s">
        <v>161</v>
      </c>
      <c r="N35" s="1">
        <v>45835</v>
      </c>
      <c r="O35" t="s">
        <v>162</v>
      </c>
      <c r="P35" t="s">
        <v>163</v>
      </c>
      <c r="Q35" t="s">
        <v>164</v>
      </c>
      <c r="R35" t="s">
        <v>165</v>
      </c>
      <c r="S35" s="1">
        <v>45835</v>
      </c>
      <c r="T35" t="s">
        <v>27</v>
      </c>
      <c r="U35">
        <v>550</v>
      </c>
      <c r="V35">
        <v>0</v>
      </c>
      <c r="W35">
        <v>99</v>
      </c>
      <c r="X35">
        <v>649</v>
      </c>
    </row>
    <row r="36" spans="1:24" x14ac:dyDescent="0.25">
      <c r="A36" t="s">
        <v>17</v>
      </c>
      <c r="B36" t="s">
        <v>18</v>
      </c>
      <c r="C36" t="s">
        <v>19</v>
      </c>
      <c r="D36" t="s">
        <v>166</v>
      </c>
      <c r="E36" t="s">
        <v>167</v>
      </c>
      <c r="F36" t="s">
        <v>293</v>
      </c>
      <c r="G36">
        <v>40</v>
      </c>
      <c r="H36">
        <f t="shared" si="0"/>
        <v>28</v>
      </c>
      <c r="I36">
        <f t="shared" si="1"/>
        <v>12</v>
      </c>
      <c r="J36">
        <v>0</v>
      </c>
      <c r="K36">
        <v>5</v>
      </c>
      <c r="L36">
        <v>0</v>
      </c>
      <c r="M36" t="s">
        <v>168</v>
      </c>
      <c r="N36" s="1">
        <v>45814</v>
      </c>
      <c r="O36" t="s">
        <v>169</v>
      </c>
      <c r="P36" t="s">
        <v>170</v>
      </c>
      <c r="Q36" t="s">
        <v>171</v>
      </c>
      <c r="R36" t="s">
        <v>172</v>
      </c>
      <c r="S36" s="1">
        <v>45814</v>
      </c>
      <c r="T36" t="s">
        <v>27</v>
      </c>
      <c r="U36">
        <v>350</v>
      </c>
      <c r="V36">
        <v>0</v>
      </c>
      <c r="W36">
        <v>63</v>
      </c>
      <c r="X36">
        <v>413</v>
      </c>
    </row>
    <row r="37" spans="1:24" x14ac:dyDescent="0.25">
      <c r="A37" t="s">
        <v>17</v>
      </c>
      <c r="B37" t="s">
        <v>18</v>
      </c>
      <c r="C37" t="s">
        <v>19</v>
      </c>
      <c r="D37" t="s">
        <v>166</v>
      </c>
      <c r="E37" t="s">
        <v>167</v>
      </c>
      <c r="F37" t="s">
        <v>293</v>
      </c>
      <c r="G37">
        <v>40</v>
      </c>
      <c r="H37">
        <f t="shared" si="0"/>
        <v>28</v>
      </c>
      <c r="I37">
        <f t="shared" si="1"/>
        <v>12</v>
      </c>
      <c r="J37">
        <v>0</v>
      </c>
      <c r="K37">
        <v>5</v>
      </c>
      <c r="L37">
        <v>0</v>
      </c>
      <c r="M37" t="s">
        <v>173</v>
      </c>
      <c r="N37" s="1">
        <v>45827</v>
      </c>
      <c r="O37" t="s">
        <v>174</v>
      </c>
      <c r="P37" t="s">
        <v>175</v>
      </c>
      <c r="Q37" t="s">
        <v>176</v>
      </c>
      <c r="R37" t="s">
        <v>177</v>
      </c>
      <c r="S37" s="1">
        <v>45827</v>
      </c>
      <c r="T37" t="s">
        <v>27</v>
      </c>
      <c r="U37">
        <v>550</v>
      </c>
      <c r="V37">
        <v>0</v>
      </c>
      <c r="W37">
        <v>99</v>
      </c>
      <c r="X37">
        <v>649</v>
      </c>
    </row>
    <row r="38" spans="1:24" x14ac:dyDescent="0.25">
      <c r="A38" t="s">
        <v>17</v>
      </c>
      <c r="B38" t="s">
        <v>18</v>
      </c>
      <c r="C38" t="s">
        <v>19</v>
      </c>
      <c r="D38" t="s">
        <v>178</v>
      </c>
      <c r="E38" t="s">
        <v>179</v>
      </c>
      <c r="F38" t="s">
        <v>292</v>
      </c>
      <c r="G38">
        <v>225</v>
      </c>
      <c r="H38">
        <f t="shared" si="0"/>
        <v>157.5</v>
      </c>
      <c r="I38">
        <f t="shared" si="1"/>
        <v>67.5</v>
      </c>
      <c r="J38">
        <v>0</v>
      </c>
      <c r="K38">
        <v>50</v>
      </c>
      <c r="L38">
        <v>0</v>
      </c>
      <c r="M38" t="s">
        <v>22</v>
      </c>
      <c r="N38" s="1">
        <v>45810</v>
      </c>
      <c r="O38" t="s">
        <v>23</v>
      </c>
      <c r="P38" t="s">
        <v>24</v>
      </c>
      <c r="Q38" t="s">
        <v>25</v>
      </c>
      <c r="R38" t="s">
        <v>26</v>
      </c>
      <c r="S38" s="1">
        <v>45812</v>
      </c>
      <c r="T38" t="s">
        <v>27</v>
      </c>
      <c r="U38">
        <v>2296</v>
      </c>
      <c r="V38">
        <v>0</v>
      </c>
      <c r="W38">
        <v>413.28</v>
      </c>
      <c r="X38">
        <v>2709.28</v>
      </c>
    </row>
    <row r="39" spans="1:24" x14ac:dyDescent="0.25">
      <c r="A39" t="s">
        <v>17</v>
      </c>
      <c r="B39" t="s">
        <v>18</v>
      </c>
      <c r="C39" t="s">
        <v>19</v>
      </c>
      <c r="D39" t="s">
        <v>178</v>
      </c>
      <c r="E39" t="s">
        <v>179</v>
      </c>
      <c r="F39" t="s">
        <v>293</v>
      </c>
      <c r="G39">
        <v>225</v>
      </c>
      <c r="H39">
        <f t="shared" si="0"/>
        <v>157.5</v>
      </c>
      <c r="I39">
        <f t="shared" si="1"/>
        <v>67.5</v>
      </c>
      <c r="J39">
        <v>0</v>
      </c>
      <c r="K39">
        <v>50</v>
      </c>
      <c r="L39">
        <v>0</v>
      </c>
      <c r="M39" t="s">
        <v>180</v>
      </c>
      <c r="N39" s="1">
        <v>45817</v>
      </c>
      <c r="O39" t="s">
        <v>181</v>
      </c>
      <c r="P39" t="s">
        <v>182</v>
      </c>
      <c r="Q39" t="s">
        <v>183</v>
      </c>
      <c r="R39" t="s">
        <v>184</v>
      </c>
      <c r="S39" s="1">
        <v>45817</v>
      </c>
      <c r="T39" t="s">
        <v>27</v>
      </c>
      <c r="U39">
        <v>2296</v>
      </c>
      <c r="V39">
        <v>0</v>
      </c>
      <c r="W39">
        <v>413.28</v>
      </c>
      <c r="X39">
        <v>2709.28</v>
      </c>
    </row>
    <row r="40" spans="1:24" x14ac:dyDescent="0.25">
      <c r="A40" t="s">
        <v>17</v>
      </c>
      <c r="B40" t="s">
        <v>18</v>
      </c>
      <c r="C40" t="s">
        <v>19</v>
      </c>
      <c r="D40" t="s">
        <v>178</v>
      </c>
      <c r="E40" t="s">
        <v>179</v>
      </c>
      <c r="F40" t="s">
        <v>294</v>
      </c>
      <c r="G40">
        <v>0</v>
      </c>
      <c r="H40">
        <f t="shared" si="0"/>
        <v>0</v>
      </c>
      <c r="I40">
        <f t="shared" si="1"/>
        <v>0</v>
      </c>
      <c r="J40">
        <v>0</v>
      </c>
      <c r="K40">
        <v>0</v>
      </c>
      <c r="L40">
        <v>0</v>
      </c>
      <c r="M40" t="s">
        <v>185</v>
      </c>
      <c r="N40" s="1">
        <v>45825</v>
      </c>
      <c r="O40" t="s">
        <v>186</v>
      </c>
      <c r="P40" t="s">
        <v>187</v>
      </c>
      <c r="Q40" t="s">
        <v>188</v>
      </c>
      <c r="R40" t="s">
        <v>189</v>
      </c>
      <c r="S40" s="1">
        <v>45835</v>
      </c>
      <c r="T40" t="s">
        <v>27</v>
      </c>
      <c r="U40">
        <v>15000</v>
      </c>
      <c r="V40">
        <v>0</v>
      </c>
      <c r="W40">
        <v>2700</v>
      </c>
      <c r="X40">
        <v>17700</v>
      </c>
    </row>
    <row r="41" spans="1:24" x14ac:dyDescent="0.25">
      <c r="A41" t="s">
        <v>17</v>
      </c>
      <c r="B41" t="s">
        <v>18</v>
      </c>
      <c r="C41" t="s">
        <v>19</v>
      </c>
      <c r="D41" t="s">
        <v>178</v>
      </c>
      <c r="E41" t="s">
        <v>179</v>
      </c>
      <c r="F41" t="s">
        <v>292</v>
      </c>
      <c r="G41">
        <v>225</v>
      </c>
      <c r="H41">
        <f t="shared" si="0"/>
        <v>157.5</v>
      </c>
      <c r="I41">
        <f t="shared" si="1"/>
        <v>67.5</v>
      </c>
      <c r="J41">
        <v>0</v>
      </c>
      <c r="K41">
        <v>50</v>
      </c>
      <c r="L41">
        <v>0</v>
      </c>
      <c r="M41" t="s">
        <v>75</v>
      </c>
      <c r="N41" s="1">
        <v>45836</v>
      </c>
      <c r="O41" t="s">
        <v>76</v>
      </c>
      <c r="P41" t="s">
        <v>77</v>
      </c>
      <c r="Q41" t="s">
        <v>25</v>
      </c>
      <c r="R41" t="s">
        <v>78</v>
      </c>
      <c r="S41" s="1">
        <v>45836</v>
      </c>
      <c r="T41" t="s">
        <v>27</v>
      </c>
      <c r="U41">
        <v>2000</v>
      </c>
      <c r="V41">
        <v>0</v>
      </c>
      <c r="W41">
        <v>360</v>
      </c>
      <c r="X41">
        <v>2360</v>
      </c>
    </row>
    <row r="42" spans="1:24" x14ac:dyDescent="0.25">
      <c r="A42" t="s">
        <v>17</v>
      </c>
      <c r="B42" t="s">
        <v>18</v>
      </c>
      <c r="C42" t="s">
        <v>19</v>
      </c>
      <c r="D42" t="s">
        <v>178</v>
      </c>
      <c r="E42" t="s">
        <v>179</v>
      </c>
      <c r="F42" t="s">
        <v>292</v>
      </c>
      <c r="G42">
        <v>225</v>
      </c>
      <c r="H42">
        <f t="shared" si="0"/>
        <v>157.5</v>
      </c>
      <c r="I42">
        <f t="shared" si="1"/>
        <v>67.5</v>
      </c>
      <c r="J42">
        <v>0</v>
      </c>
      <c r="K42">
        <v>50</v>
      </c>
      <c r="L42">
        <v>0</v>
      </c>
      <c r="M42" t="s">
        <v>190</v>
      </c>
      <c r="N42" s="1">
        <v>45837</v>
      </c>
      <c r="O42" t="s">
        <v>191</v>
      </c>
      <c r="P42" t="s">
        <v>192</v>
      </c>
      <c r="Q42" t="s">
        <v>25</v>
      </c>
      <c r="R42" t="s">
        <v>193</v>
      </c>
      <c r="S42" s="1">
        <v>45837</v>
      </c>
      <c r="T42" t="s">
        <v>27</v>
      </c>
      <c r="U42">
        <v>2296</v>
      </c>
      <c r="V42">
        <v>0</v>
      </c>
      <c r="W42">
        <v>413.28</v>
      </c>
      <c r="X42">
        <v>2709.28</v>
      </c>
    </row>
    <row r="43" spans="1:24" x14ac:dyDescent="0.25">
      <c r="A43" t="s">
        <v>17</v>
      </c>
      <c r="B43" t="s">
        <v>18</v>
      </c>
      <c r="C43" t="s">
        <v>19</v>
      </c>
      <c r="D43" t="s">
        <v>194</v>
      </c>
      <c r="E43" t="s">
        <v>195</v>
      </c>
      <c r="F43" t="s">
        <v>294</v>
      </c>
      <c r="G43">
        <v>225</v>
      </c>
      <c r="H43">
        <f t="shared" si="0"/>
        <v>157.5</v>
      </c>
      <c r="I43">
        <f t="shared" si="1"/>
        <v>67.5</v>
      </c>
      <c r="J43">
        <v>0</v>
      </c>
      <c r="K43">
        <v>50</v>
      </c>
      <c r="L43">
        <v>0</v>
      </c>
      <c r="M43" t="s">
        <v>28</v>
      </c>
      <c r="N43" s="1">
        <v>45811</v>
      </c>
      <c r="O43" t="s">
        <v>29</v>
      </c>
      <c r="P43" t="s">
        <v>30</v>
      </c>
      <c r="Q43" t="s">
        <v>31</v>
      </c>
      <c r="R43" t="s">
        <v>32</v>
      </c>
      <c r="S43" s="1">
        <v>45811</v>
      </c>
      <c r="T43" t="s">
        <v>27</v>
      </c>
      <c r="U43">
        <v>2348</v>
      </c>
      <c r="V43">
        <v>0</v>
      </c>
      <c r="W43">
        <v>422.64</v>
      </c>
      <c r="X43">
        <v>2770.64</v>
      </c>
    </row>
    <row r="44" spans="1:24" x14ac:dyDescent="0.25">
      <c r="A44" t="s">
        <v>17</v>
      </c>
      <c r="B44" t="s">
        <v>18</v>
      </c>
      <c r="C44" t="s">
        <v>19</v>
      </c>
      <c r="D44" t="s">
        <v>194</v>
      </c>
      <c r="E44" t="s">
        <v>195</v>
      </c>
      <c r="F44" t="s">
        <v>292</v>
      </c>
      <c r="G44">
        <v>225</v>
      </c>
      <c r="H44">
        <f t="shared" si="0"/>
        <v>157.5</v>
      </c>
      <c r="I44">
        <f t="shared" si="1"/>
        <v>67.5</v>
      </c>
      <c r="J44">
        <v>0</v>
      </c>
      <c r="K44">
        <v>50</v>
      </c>
      <c r="L44">
        <v>0</v>
      </c>
      <c r="M44" t="s">
        <v>57</v>
      </c>
      <c r="N44" s="1">
        <v>45822</v>
      </c>
      <c r="O44" t="s">
        <v>58</v>
      </c>
      <c r="P44" t="s">
        <v>59</v>
      </c>
      <c r="Q44" t="s">
        <v>60</v>
      </c>
      <c r="R44" t="s">
        <v>61</v>
      </c>
      <c r="S44" s="1">
        <v>45822</v>
      </c>
      <c r="T44" t="s">
        <v>27</v>
      </c>
      <c r="U44">
        <v>2348</v>
      </c>
      <c r="V44">
        <v>0</v>
      </c>
      <c r="W44">
        <v>422.64</v>
      </c>
      <c r="X44">
        <v>2770.64</v>
      </c>
    </row>
    <row r="45" spans="1:24" x14ac:dyDescent="0.25">
      <c r="A45" t="s">
        <v>17</v>
      </c>
      <c r="B45" t="s">
        <v>18</v>
      </c>
      <c r="C45" t="s">
        <v>19</v>
      </c>
      <c r="D45" t="s">
        <v>194</v>
      </c>
      <c r="E45" t="s">
        <v>195</v>
      </c>
      <c r="F45" t="s">
        <v>292</v>
      </c>
      <c r="G45">
        <v>225</v>
      </c>
      <c r="H45">
        <f t="shared" si="0"/>
        <v>157.5</v>
      </c>
      <c r="I45">
        <f t="shared" si="1"/>
        <v>67.5</v>
      </c>
      <c r="J45">
        <v>0</v>
      </c>
      <c r="K45">
        <v>50</v>
      </c>
      <c r="L45">
        <v>0</v>
      </c>
      <c r="M45" t="s">
        <v>196</v>
      </c>
      <c r="N45" s="1">
        <v>45823</v>
      </c>
      <c r="O45" t="s">
        <v>197</v>
      </c>
      <c r="P45" t="s">
        <v>198</v>
      </c>
      <c r="Q45" t="s">
        <v>183</v>
      </c>
      <c r="R45" t="s">
        <v>199</v>
      </c>
      <c r="S45" s="1">
        <v>45823</v>
      </c>
      <c r="T45" t="s">
        <v>27</v>
      </c>
      <c r="U45">
        <v>2348</v>
      </c>
      <c r="V45">
        <v>0</v>
      </c>
      <c r="W45">
        <v>422.64</v>
      </c>
      <c r="X45">
        <v>2770.64</v>
      </c>
    </row>
    <row r="46" spans="1:24" x14ac:dyDescent="0.25">
      <c r="A46" t="s">
        <v>17</v>
      </c>
      <c r="B46" t="s">
        <v>18</v>
      </c>
      <c r="C46" t="s">
        <v>19</v>
      </c>
      <c r="D46" t="s">
        <v>194</v>
      </c>
      <c r="E46" t="s">
        <v>195</v>
      </c>
      <c r="F46" t="s">
        <v>292</v>
      </c>
      <c r="G46">
        <v>225</v>
      </c>
      <c r="H46">
        <f t="shared" si="0"/>
        <v>157.5</v>
      </c>
      <c r="I46">
        <f t="shared" si="1"/>
        <v>67.5</v>
      </c>
      <c r="J46">
        <v>0</v>
      </c>
      <c r="K46">
        <v>50</v>
      </c>
      <c r="L46">
        <v>0</v>
      </c>
      <c r="M46" t="s">
        <v>200</v>
      </c>
      <c r="N46" s="1">
        <v>45831</v>
      </c>
      <c r="O46" t="s">
        <v>201</v>
      </c>
      <c r="P46" t="s">
        <v>202</v>
      </c>
      <c r="Q46" t="s">
        <v>203</v>
      </c>
      <c r="R46" t="s">
        <v>204</v>
      </c>
      <c r="S46" s="1">
        <v>45831</v>
      </c>
      <c r="T46" t="s">
        <v>27</v>
      </c>
      <c r="U46">
        <v>2348</v>
      </c>
      <c r="V46">
        <v>0</v>
      </c>
      <c r="W46">
        <v>422.64</v>
      </c>
      <c r="X46">
        <v>2770.64</v>
      </c>
    </row>
    <row r="47" spans="1:24" x14ac:dyDescent="0.25">
      <c r="A47" t="s">
        <v>17</v>
      </c>
      <c r="B47" t="s">
        <v>18</v>
      </c>
      <c r="C47" t="s">
        <v>19</v>
      </c>
      <c r="D47" t="s">
        <v>194</v>
      </c>
      <c r="E47" t="s">
        <v>195</v>
      </c>
      <c r="F47" t="s">
        <v>292</v>
      </c>
      <c r="G47">
        <v>225</v>
      </c>
      <c r="H47">
        <f t="shared" si="0"/>
        <v>157.5</v>
      </c>
      <c r="I47">
        <f t="shared" si="1"/>
        <v>67.5</v>
      </c>
      <c r="J47">
        <v>0</v>
      </c>
      <c r="K47">
        <v>50</v>
      </c>
      <c r="L47">
        <v>0</v>
      </c>
      <c r="M47" t="s">
        <v>71</v>
      </c>
      <c r="N47" s="1">
        <v>45836</v>
      </c>
      <c r="O47" t="s">
        <v>72</v>
      </c>
      <c r="P47" t="s">
        <v>73</v>
      </c>
      <c r="Q47" t="s">
        <v>51</v>
      </c>
      <c r="R47" t="s">
        <v>74</v>
      </c>
      <c r="S47" s="1">
        <v>45836</v>
      </c>
      <c r="T47" t="s">
        <v>27</v>
      </c>
      <c r="U47">
        <v>2348</v>
      </c>
      <c r="V47">
        <v>0</v>
      </c>
      <c r="W47">
        <v>422.64</v>
      </c>
      <c r="X47">
        <v>2770.64</v>
      </c>
    </row>
    <row r="48" spans="1:24" x14ac:dyDescent="0.25">
      <c r="A48" t="s">
        <v>17</v>
      </c>
      <c r="B48" t="s">
        <v>18</v>
      </c>
      <c r="C48" t="s">
        <v>19</v>
      </c>
      <c r="D48" t="s">
        <v>194</v>
      </c>
      <c r="E48" t="s">
        <v>195</v>
      </c>
      <c r="F48" t="s">
        <v>292</v>
      </c>
      <c r="G48">
        <v>225</v>
      </c>
      <c r="H48">
        <f t="shared" si="0"/>
        <v>157.5</v>
      </c>
      <c r="I48">
        <f t="shared" si="1"/>
        <v>67.5</v>
      </c>
      <c r="J48">
        <v>0</v>
      </c>
      <c r="K48">
        <v>50</v>
      </c>
      <c r="L48">
        <v>0</v>
      </c>
      <c r="M48" t="s">
        <v>75</v>
      </c>
      <c r="N48" s="1">
        <v>45836</v>
      </c>
      <c r="O48" t="s">
        <v>76</v>
      </c>
      <c r="P48" t="s">
        <v>77</v>
      </c>
      <c r="Q48" t="s">
        <v>25</v>
      </c>
      <c r="R48" t="s">
        <v>78</v>
      </c>
      <c r="S48" s="1">
        <v>45836</v>
      </c>
      <c r="T48" t="s">
        <v>27</v>
      </c>
      <c r="U48">
        <v>2348</v>
      </c>
      <c r="V48">
        <v>0</v>
      </c>
      <c r="W48">
        <v>422.64</v>
      </c>
      <c r="X48">
        <v>2770.64</v>
      </c>
    </row>
    <row r="49" spans="1:24" x14ac:dyDescent="0.25">
      <c r="A49" t="s">
        <v>17</v>
      </c>
      <c r="B49" t="s">
        <v>18</v>
      </c>
      <c r="C49" t="s">
        <v>19</v>
      </c>
      <c r="D49" t="s">
        <v>194</v>
      </c>
      <c r="E49" t="s">
        <v>195</v>
      </c>
      <c r="F49" t="s">
        <v>293</v>
      </c>
      <c r="G49">
        <v>225</v>
      </c>
      <c r="H49">
        <f t="shared" si="0"/>
        <v>157.5</v>
      </c>
      <c r="I49">
        <f t="shared" si="1"/>
        <v>67.5</v>
      </c>
      <c r="J49">
        <v>0</v>
      </c>
      <c r="K49">
        <v>50</v>
      </c>
      <c r="L49">
        <v>0</v>
      </c>
      <c r="M49" t="s">
        <v>83</v>
      </c>
      <c r="N49" s="1">
        <v>45838</v>
      </c>
      <c r="O49" t="s">
        <v>84</v>
      </c>
      <c r="P49" t="s">
        <v>85</v>
      </c>
      <c r="Q49" t="s">
        <v>31</v>
      </c>
      <c r="R49" t="s">
        <v>86</v>
      </c>
      <c r="S49" s="1">
        <v>45838</v>
      </c>
      <c r="T49" t="s">
        <v>27</v>
      </c>
      <c r="U49">
        <v>2348</v>
      </c>
      <c r="V49">
        <v>0</v>
      </c>
      <c r="W49">
        <v>422.64</v>
      </c>
      <c r="X49">
        <v>2770.64</v>
      </c>
    </row>
    <row r="50" spans="1:24" x14ac:dyDescent="0.25">
      <c r="A50" t="s">
        <v>17</v>
      </c>
      <c r="B50" t="s">
        <v>18</v>
      </c>
      <c r="C50" t="s">
        <v>19</v>
      </c>
      <c r="D50" t="s">
        <v>205</v>
      </c>
      <c r="E50" t="s">
        <v>206</v>
      </c>
      <c r="F50" t="s">
        <v>293</v>
      </c>
      <c r="G50">
        <v>100</v>
      </c>
      <c r="H50">
        <f t="shared" si="0"/>
        <v>70</v>
      </c>
      <c r="I50">
        <f t="shared" si="1"/>
        <v>30</v>
      </c>
      <c r="J50">
        <v>0</v>
      </c>
      <c r="K50">
        <v>0</v>
      </c>
      <c r="L50">
        <v>25</v>
      </c>
      <c r="M50" t="s">
        <v>38</v>
      </c>
      <c r="N50" s="1">
        <v>45814</v>
      </c>
      <c r="O50" t="s">
        <v>39</v>
      </c>
      <c r="P50" t="s">
        <v>40</v>
      </c>
      <c r="Q50" t="s">
        <v>41</v>
      </c>
      <c r="R50" t="s">
        <v>42</v>
      </c>
      <c r="S50" s="1">
        <v>45814</v>
      </c>
      <c r="T50" t="s">
        <v>27</v>
      </c>
      <c r="U50">
        <v>950</v>
      </c>
      <c r="V50">
        <v>0</v>
      </c>
      <c r="W50">
        <v>171</v>
      </c>
      <c r="X50">
        <v>1121</v>
      </c>
    </row>
    <row r="51" spans="1:24" x14ac:dyDescent="0.25">
      <c r="A51" t="s">
        <v>17</v>
      </c>
      <c r="B51" t="s">
        <v>18</v>
      </c>
      <c r="C51" t="s">
        <v>19</v>
      </c>
      <c r="D51" t="s">
        <v>205</v>
      </c>
      <c r="E51" t="s">
        <v>206</v>
      </c>
      <c r="F51" t="s">
        <v>293</v>
      </c>
      <c r="G51">
        <v>100</v>
      </c>
      <c r="H51">
        <f t="shared" si="0"/>
        <v>70</v>
      </c>
      <c r="I51">
        <f t="shared" si="1"/>
        <v>30</v>
      </c>
      <c r="J51">
        <v>0</v>
      </c>
      <c r="K51">
        <v>0</v>
      </c>
      <c r="L51">
        <v>25</v>
      </c>
      <c r="M51" t="s">
        <v>207</v>
      </c>
      <c r="N51" s="1">
        <v>45815</v>
      </c>
      <c r="O51" t="s">
        <v>208</v>
      </c>
      <c r="P51" t="s">
        <v>209</v>
      </c>
      <c r="Q51" t="s">
        <v>104</v>
      </c>
      <c r="R51" t="s">
        <v>210</v>
      </c>
      <c r="S51" s="1">
        <v>45815</v>
      </c>
      <c r="T51" t="s">
        <v>27</v>
      </c>
      <c r="U51">
        <v>950</v>
      </c>
      <c r="V51">
        <v>0</v>
      </c>
      <c r="W51">
        <v>171</v>
      </c>
      <c r="X51">
        <v>1121</v>
      </c>
    </row>
    <row r="52" spans="1:24" x14ac:dyDescent="0.25">
      <c r="A52" t="s">
        <v>17</v>
      </c>
      <c r="B52" t="s">
        <v>18</v>
      </c>
      <c r="C52" t="s">
        <v>19</v>
      </c>
      <c r="D52" t="s">
        <v>205</v>
      </c>
      <c r="E52" t="s">
        <v>206</v>
      </c>
      <c r="F52" t="s">
        <v>293</v>
      </c>
      <c r="G52">
        <v>100</v>
      </c>
      <c r="H52">
        <f t="shared" si="0"/>
        <v>70</v>
      </c>
      <c r="I52">
        <f t="shared" si="1"/>
        <v>30</v>
      </c>
      <c r="J52">
        <v>0</v>
      </c>
      <c r="K52">
        <v>0</v>
      </c>
      <c r="L52">
        <v>25</v>
      </c>
      <c r="M52" t="s">
        <v>43</v>
      </c>
      <c r="N52" s="1">
        <v>45815</v>
      </c>
      <c r="O52" t="s">
        <v>44</v>
      </c>
      <c r="P52" t="s">
        <v>45</v>
      </c>
      <c r="Q52" t="s">
        <v>46</v>
      </c>
      <c r="R52" t="s">
        <v>47</v>
      </c>
      <c r="S52" s="1">
        <v>45815</v>
      </c>
      <c r="T52" t="s">
        <v>27</v>
      </c>
      <c r="U52">
        <v>950</v>
      </c>
      <c r="V52">
        <v>0</v>
      </c>
      <c r="W52">
        <v>171</v>
      </c>
      <c r="X52">
        <v>1121</v>
      </c>
    </row>
    <row r="53" spans="1:24" x14ac:dyDescent="0.25">
      <c r="A53" t="s">
        <v>17</v>
      </c>
      <c r="B53" t="s">
        <v>18</v>
      </c>
      <c r="C53" t="s">
        <v>19</v>
      </c>
      <c r="D53" t="s">
        <v>205</v>
      </c>
      <c r="E53" t="s">
        <v>206</v>
      </c>
      <c r="F53" t="s">
        <v>293</v>
      </c>
      <c r="G53">
        <v>100</v>
      </c>
      <c r="H53">
        <f t="shared" si="0"/>
        <v>70</v>
      </c>
      <c r="I53">
        <f t="shared" si="1"/>
        <v>30</v>
      </c>
      <c r="J53">
        <v>0</v>
      </c>
      <c r="K53">
        <v>0</v>
      </c>
      <c r="L53">
        <v>25</v>
      </c>
      <c r="M53" t="s">
        <v>48</v>
      </c>
      <c r="N53" s="1">
        <v>45821</v>
      </c>
      <c r="O53" t="s">
        <v>49</v>
      </c>
      <c r="P53" t="s">
        <v>50</v>
      </c>
      <c r="Q53" t="s">
        <v>51</v>
      </c>
      <c r="R53" t="s">
        <v>52</v>
      </c>
      <c r="S53" s="1">
        <v>45821</v>
      </c>
      <c r="T53" t="s">
        <v>27</v>
      </c>
      <c r="U53">
        <v>950</v>
      </c>
      <c r="V53">
        <v>0</v>
      </c>
      <c r="W53">
        <v>171</v>
      </c>
      <c r="X53">
        <v>1121</v>
      </c>
    </row>
    <row r="54" spans="1:24" x14ac:dyDescent="0.25">
      <c r="A54" t="s">
        <v>17</v>
      </c>
      <c r="B54" t="s">
        <v>18</v>
      </c>
      <c r="C54" t="s">
        <v>19</v>
      </c>
      <c r="D54" t="s">
        <v>205</v>
      </c>
      <c r="E54" t="s">
        <v>206</v>
      </c>
      <c r="F54" t="s">
        <v>293</v>
      </c>
      <c r="G54">
        <v>0</v>
      </c>
      <c r="H54">
        <f t="shared" si="0"/>
        <v>0</v>
      </c>
      <c r="I54">
        <f t="shared" si="1"/>
        <v>0</v>
      </c>
      <c r="J54">
        <v>0</v>
      </c>
      <c r="K54">
        <v>0</v>
      </c>
      <c r="L54">
        <v>0</v>
      </c>
      <c r="M54" t="s">
        <v>211</v>
      </c>
      <c r="N54" s="1">
        <v>45821</v>
      </c>
      <c r="O54" t="s">
        <v>212</v>
      </c>
      <c r="P54" t="s">
        <v>213</v>
      </c>
      <c r="Q54" t="s">
        <v>51</v>
      </c>
      <c r="R54" t="s">
        <v>214</v>
      </c>
      <c r="S54" s="1">
        <v>45821</v>
      </c>
      <c r="T54" t="s">
        <v>27</v>
      </c>
      <c r="U54">
        <v>100</v>
      </c>
      <c r="V54">
        <v>0</v>
      </c>
      <c r="W54">
        <v>18</v>
      </c>
      <c r="X54">
        <v>118</v>
      </c>
    </row>
    <row r="55" spans="1:24" x14ac:dyDescent="0.25">
      <c r="A55" t="s">
        <v>17</v>
      </c>
      <c r="B55" t="s">
        <v>18</v>
      </c>
      <c r="C55" t="s">
        <v>19</v>
      </c>
      <c r="D55" t="s">
        <v>205</v>
      </c>
      <c r="E55" t="s">
        <v>206</v>
      </c>
      <c r="F55" t="s">
        <v>292</v>
      </c>
      <c r="G55">
        <v>100</v>
      </c>
      <c r="H55">
        <f t="shared" si="0"/>
        <v>70</v>
      </c>
      <c r="I55">
        <f t="shared" si="1"/>
        <v>30</v>
      </c>
      <c r="J55">
        <v>0</v>
      </c>
      <c r="K55">
        <v>0</v>
      </c>
      <c r="L55">
        <v>25</v>
      </c>
      <c r="M55" t="s">
        <v>53</v>
      </c>
      <c r="N55" s="1">
        <v>45822</v>
      </c>
      <c r="O55" t="s">
        <v>54</v>
      </c>
      <c r="P55" t="s">
        <v>55</v>
      </c>
      <c r="Q55" t="s">
        <v>25</v>
      </c>
      <c r="R55" t="s">
        <v>56</v>
      </c>
      <c r="S55" s="1">
        <v>45824</v>
      </c>
      <c r="T55" t="s">
        <v>27</v>
      </c>
      <c r="U55">
        <v>950</v>
      </c>
      <c r="V55">
        <v>0</v>
      </c>
      <c r="W55">
        <v>171</v>
      </c>
      <c r="X55">
        <v>1121</v>
      </c>
    </row>
    <row r="56" spans="1:24" x14ac:dyDescent="0.25">
      <c r="A56" t="s">
        <v>17</v>
      </c>
      <c r="B56" t="s">
        <v>18</v>
      </c>
      <c r="C56" t="s">
        <v>19</v>
      </c>
      <c r="D56" t="s">
        <v>205</v>
      </c>
      <c r="E56" t="s">
        <v>206</v>
      </c>
      <c r="F56" t="s">
        <v>292</v>
      </c>
      <c r="G56">
        <v>100</v>
      </c>
      <c r="H56">
        <f t="shared" si="0"/>
        <v>70</v>
      </c>
      <c r="I56">
        <f t="shared" si="1"/>
        <v>30</v>
      </c>
      <c r="J56">
        <v>0</v>
      </c>
      <c r="K56">
        <v>0</v>
      </c>
      <c r="L56">
        <v>25</v>
      </c>
      <c r="M56" t="s">
        <v>215</v>
      </c>
      <c r="N56" s="1">
        <v>45822</v>
      </c>
      <c r="O56" t="s">
        <v>216</v>
      </c>
      <c r="P56" t="s">
        <v>217</v>
      </c>
      <c r="Q56" t="s">
        <v>218</v>
      </c>
      <c r="R56" t="s">
        <v>219</v>
      </c>
      <c r="S56" s="1">
        <v>45835</v>
      </c>
      <c r="T56" t="s">
        <v>27</v>
      </c>
      <c r="U56">
        <v>950</v>
      </c>
      <c r="V56">
        <v>0</v>
      </c>
      <c r="W56">
        <v>171</v>
      </c>
      <c r="X56">
        <v>1121</v>
      </c>
    </row>
    <row r="57" spans="1:24" x14ac:dyDescent="0.25">
      <c r="A57" t="s">
        <v>17</v>
      </c>
      <c r="B57" t="s">
        <v>18</v>
      </c>
      <c r="C57" t="s">
        <v>19</v>
      </c>
      <c r="D57" t="s">
        <v>205</v>
      </c>
      <c r="E57" t="s">
        <v>206</v>
      </c>
      <c r="F57" t="s">
        <v>293</v>
      </c>
      <c r="G57">
        <v>100</v>
      </c>
      <c r="H57">
        <f t="shared" si="0"/>
        <v>70</v>
      </c>
      <c r="I57">
        <f t="shared" si="1"/>
        <v>30</v>
      </c>
      <c r="J57">
        <v>0</v>
      </c>
      <c r="K57">
        <v>0</v>
      </c>
      <c r="L57">
        <v>25</v>
      </c>
      <c r="M57" t="s">
        <v>67</v>
      </c>
      <c r="N57" s="1">
        <v>45825</v>
      </c>
      <c r="O57" t="s">
        <v>68</v>
      </c>
      <c r="P57" t="s">
        <v>69</v>
      </c>
      <c r="Q57" t="s">
        <v>25</v>
      </c>
      <c r="R57" t="s">
        <v>70</v>
      </c>
      <c r="S57" s="1">
        <v>45825</v>
      </c>
      <c r="T57" t="s">
        <v>27</v>
      </c>
      <c r="U57">
        <v>950</v>
      </c>
      <c r="V57">
        <v>0</v>
      </c>
      <c r="W57">
        <v>171</v>
      </c>
      <c r="X57">
        <v>1121</v>
      </c>
    </row>
    <row r="58" spans="1:24" x14ac:dyDescent="0.25">
      <c r="A58" t="s">
        <v>17</v>
      </c>
      <c r="B58" t="s">
        <v>18</v>
      </c>
      <c r="C58" t="s">
        <v>19</v>
      </c>
      <c r="D58" t="s">
        <v>205</v>
      </c>
      <c r="E58" t="s">
        <v>206</v>
      </c>
      <c r="F58" t="s">
        <v>292</v>
      </c>
      <c r="G58">
        <v>100</v>
      </c>
      <c r="H58">
        <f t="shared" si="0"/>
        <v>70</v>
      </c>
      <c r="I58">
        <f t="shared" si="1"/>
        <v>30</v>
      </c>
      <c r="J58">
        <v>0</v>
      </c>
      <c r="K58">
        <v>0</v>
      </c>
      <c r="L58">
        <v>25</v>
      </c>
      <c r="M58" t="s">
        <v>144</v>
      </c>
      <c r="N58" s="1">
        <v>45827</v>
      </c>
      <c r="O58" t="s">
        <v>145</v>
      </c>
      <c r="P58" t="s">
        <v>146</v>
      </c>
      <c r="Q58" t="s">
        <v>104</v>
      </c>
      <c r="R58" t="s">
        <v>147</v>
      </c>
      <c r="S58" s="1">
        <v>45827</v>
      </c>
      <c r="T58" t="s">
        <v>27</v>
      </c>
      <c r="U58">
        <v>950</v>
      </c>
      <c r="V58">
        <v>0</v>
      </c>
      <c r="W58">
        <v>171</v>
      </c>
      <c r="X58">
        <v>1121</v>
      </c>
    </row>
    <row r="59" spans="1:24" x14ac:dyDescent="0.25">
      <c r="A59" t="s">
        <v>17</v>
      </c>
      <c r="B59" t="s">
        <v>18</v>
      </c>
      <c r="C59" t="s">
        <v>19</v>
      </c>
      <c r="D59" t="s">
        <v>205</v>
      </c>
      <c r="E59" t="s">
        <v>206</v>
      </c>
      <c r="F59" t="s">
        <v>293</v>
      </c>
      <c r="G59">
        <v>100</v>
      </c>
      <c r="H59">
        <f t="shared" si="0"/>
        <v>70</v>
      </c>
      <c r="I59">
        <f t="shared" si="1"/>
        <v>30</v>
      </c>
      <c r="J59">
        <v>0</v>
      </c>
      <c r="K59">
        <v>0</v>
      </c>
      <c r="L59">
        <v>25</v>
      </c>
      <c r="M59" t="s">
        <v>148</v>
      </c>
      <c r="N59" s="1">
        <v>45828</v>
      </c>
      <c r="O59" t="s">
        <v>149</v>
      </c>
      <c r="P59" t="s">
        <v>150</v>
      </c>
      <c r="Q59" t="s">
        <v>46</v>
      </c>
      <c r="R59" t="s">
        <v>151</v>
      </c>
      <c r="S59" s="1">
        <v>45828</v>
      </c>
      <c r="T59" t="s">
        <v>27</v>
      </c>
      <c r="U59">
        <v>950</v>
      </c>
      <c r="V59">
        <v>0</v>
      </c>
      <c r="W59">
        <v>171</v>
      </c>
      <c r="X59">
        <v>1121</v>
      </c>
    </row>
    <row r="60" spans="1:24" x14ac:dyDescent="0.25">
      <c r="A60" t="s">
        <v>17</v>
      </c>
      <c r="B60" t="s">
        <v>18</v>
      </c>
      <c r="C60" t="s">
        <v>19</v>
      </c>
      <c r="D60" t="s">
        <v>220</v>
      </c>
      <c r="E60" t="s">
        <v>221</v>
      </c>
      <c r="F60" t="s">
        <v>292</v>
      </c>
      <c r="G60">
        <v>50</v>
      </c>
      <c r="H60">
        <f t="shared" si="0"/>
        <v>35</v>
      </c>
      <c r="I60">
        <f t="shared" si="1"/>
        <v>15</v>
      </c>
      <c r="J60">
        <v>0</v>
      </c>
      <c r="K60">
        <v>5</v>
      </c>
      <c r="L60">
        <v>0</v>
      </c>
      <c r="M60" t="s">
        <v>53</v>
      </c>
      <c r="N60" s="1">
        <v>45822</v>
      </c>
      <c r="O60" t="s">
        <v>54</v>
      </c>
      <c r="P60" t="s">
        <v>55</v>
      </c>
      <c r="Q60" t="s">
        <v>25</v>
      </c>
      <c r="R60" t="s">
        <v>56</v>
      </c>
      <c r="S60" s="1">
        <v>45824</v>
      </c>
      <c r="T60" t="s">
        <v>27</v>
      </c>
      <c r="U60">
        <v>600</v>
      </c>
      <c r="V60">
        <v>0</v>
      </c>
      <c r="W60">
        <v>108</v>
      </c>
      <c r="X60">
        <v>708</v>
      </c>
    </row>
    <row r="61" spans="1:24" x14ac:dyDescent="0.25">
      <c r="A61" t="s">
        <v>17</v>
      </c>
      <c r="B61" t="s">
        <v>18</v>
      </c>
      <c r="C61" t="s">
        <v>19</v>
      </c>
      <c r="D61" t="s">
        <v>222</v>
      </c>
      <c r="E61" t="s">
        <v>223</v>
      </c>
      <c r="F61" t="s">
        <v>293</v>
      </c>
      <c r="G61">
        <v>75</v>
      </c>
      <c r="H61">
        <f t="shared" si="0"/>
        <v>52.5</v>
      </c>
      <c r="I61">
        <f t="shared" si="1"/>
        <v>22.5</v>
      </c>
      <c r="J61">
        <v>0</v>
      </c>
      <c r="K61">
        <v>0</v>
      </c>
      <c r="L61">
        <v>20</v>
      </c>
      <c r="M61" t="s">
        <v>112</v>
      </c>
      <c r="N61" s="1">
        <v>45814</v>
      </c>
      <c r="O61" t="s">
        <v>113</v>
      </c>
      <c r="P61" t="s">
        <v>114</v>
      </c>
      <c r="Q61" t="s">
        <v>115</v>
      </c>
      <c r="R61" t="s">
        <v>116</v>
      </c>
      <c r="S61" s="1">
        <v>45814</v>
      </c>
      <c r="T61" t="s">
        <v>27</v>
      </c>
      <c r="U61">
        <v>750</v>
      </c>
      <c r="V61">
        <v>0</v>
      </c>
      <c r="W61">
        <v>0</v>
      </c>
      <c r="X61">
        <v>750</v>
      </c>
    </row>
    <row r="62" spans="1:24" x14ac:dyDescent="0.25">
      <c r="A62" t="s">
        <v>17</v>
      </c>
      <c r="B62" t="s">
        <v>18</v>
      </c>
      <c r="C62" t="s">
        <v>19</v>
      </c>
      <c r="D62" t="s">
        <v>222</v>
      </c>
      <c r="E62" t="s">
        <v>223</v>
      </c>
      <c r="F62" t="s">
        <v>293</v>
      </c>
      <c r="G62">
        <v>75</v>
      </c>
      <c r="H62">
        <f t="shared" si="0"/>
        <v>52.5</v>
      </c>
      <c r="I62">
        <f t="shared" si="1"/>
        <v>22.5</v>
      </c>
      <c r="J62">
        <v>0</v>
      </c>
      <c r="K62">
        <v>0</v>
      </c>
      <c r="L62">
        <v>20</v>
      </c>
      <c r="M62" t="s">
        <v>224</v>
      </c>
      <c r="N62" s="1">
        <v>45819</v>
      </c>
      <c r="O62" t="s">
        <v>225</v>
      </c>
      <c r="P62" t="s">
        <v>226</v>
      </c>
      <c r="Q62" t="s">
        <v>227</v>
      </c>
      <c r="R62" t="s">
        <v>228</v>
      </c>
      <c r="S62" s="1">
        <v>45819</v>
      </c>
      <c r="T62" t="s">
        <v>27</v>
      </c>
      <c r="U62">
        <v>750</v>
      </c>
      <c r="V62">
        <v>0</v>
      </c>
      <c r="W62">
        <v>135</v>
      </c>
      <c r="X62">
        <v>885</v>
      </c>
    </row>
    <row r="63" spans="1:24" x14ac:dyDescent="0.25">
      <c r="A63" t="s">
        <v>17</v>
      </c>
      <c r="B63" t="s">
        <v>18</v>
      </c>
      <c r="C63" t="s">
        <v>19</v>
      </c>
      <c r="D63" t="s">
        <v>222</v>
      </c>
      <c r="E63" t="s">
        <v>223</v>
      </c>
      <c r="F63" t="s">
        <v>292</v>
      </c>
      <c r="G63">
        <v>150</v>
      </c>
      <c r="H63">
        <f t="shared" si="0"/>
        <v>105</v>
      </c>
      <c r="I63">
        <f t="shared" si="1"/>
        <v>45</v>
      </c>
      <c r="J63">
        <v>0</v>
      </c>
      <c r="K63">
        <v>0</v>
      </c>
      <c r="L63">
        <v>30</v>
      </c>
      <c r="M63" t="s">
        <v>139</v>
      </c>
      <c r="N63" s="1">
        <v>45825</v>
      </c>
      <c r="O63" t="s">
        <v>140</v>
      </c>
      <c r="P63" t="s">
        <v>141</v>
      </c>
      <c r="Q63" t="s">
        <v>142</v>
      </c>
      <c r="R63" t="s">
        <v>143</v>
      </c>
      <c r="S63" s="1">
        <v>45827</v>
      </c>
      <c r="T63" t="s">
        <v>27</v>
      </c>
      <c r="U63">
        <v>1400</v>
      </c>
      <c r="V63">
        <v>0</v>
      </c>
      <c r="W63">
        <v>252</v>
      </c>
      <c r="X63">
        <v>1652</v>
      </c>
    </row>
    <row r="64" spans="1:24" x14ac:dyDescent="0.25">
      <c r="A64" t="s">
        <v>17</v>
      </c>
      <c r="B64" t="s">
        <v>18</v>
      </c>
      <c r="C64" t="s">
        <v>19</v>
      </c>
      <c r="D64" t="s">
        <v>222</v>
      </c>
      <c r="E64" t="s">
        <v>223</v>
      </c>
      <c r="F64" t="s">
        <v>292</v>
      </c>
      <c r="G64">
        <v>75</v>
      </c>
      <c r="H64">
        <f t="shared" si="0"/>
        <v>52.5</v>
      </c>
      <c r="I64">
        <f t="shared" si="1"/>
        <v>22.5</v>
      </c>
      <c r="J64">
        <v>0</v>
      </c>
      <c r="K64">
        <v>0</v>
      </c>
      <c r="L64">
        <v>20</v>
      </c>
      <c r="M64" t="s">
        <v>156</v>
      </c>
      <c r="N64" s="1">
        <v>45832</v>
      </c>
      <c r="O64" t="s">
        <v>157</v>
      </c>
      <c r="P64" t="s">
        <v>158</v>
      </c>
      <c r="Q64" t="s">
        <v>159</v>
      </c>
      <c r="R64" t="s">
        <v>160</v>
      </c>
      <c r="S64" s="1">
        <v>45832</v>
      </c>
      <c r="T64" t="s">
        <v>27</v>
      </c>
      <c r="U64">
        <v>750</v>
      </c>
      <c r="V64">
        <v>0</v>
      </c>
      <c r="W64">
        <v>135</v>
      </c>
      <c r="X64">
        <v>885</v>
      </c>
    </row>
    <row r="65" spans="1:24" x14ac:dyDescent="0.25">
      <c r="A65" t="s">
        <v>17</v>
      </c>
      <c r="B65" t="s">
        <v>18</v>
      </c>
      <c r="C65" t="s">
        <v>19</v>
      </c>
      <c r="D65" t="s">
        <v>222</v>
      </c>
      <c r="E65" t="s">
        <v>223</v>
      </c>
      <c r="F65" t="s">
        <v>292</v>
      </c>
      <c r="G65">
        <v>75</v>
      </c>
      <c r="H65">
        <f t="shared" si="0"/>
        <v>52.5</v>
      </c>
      <c r="I65">
        <f t="shared" si="1"/>
        <v>22.5</v>
      </c>
      <c r="J65">
        <v>0</v>
      </c>
      <c r="K65">
        <v>0</v>
      </c>
      <c r="L65">
        <v>20</v>
      </c>
      <c r="M65" t="s">
        <v>75</v>
      </c>
      <c r="N65" s="1">
        <v>45836</v>
      </c>
      <c r="O65" t="s">
        <v>76</v>
      </c>
      <c r="P65" t="s">
        <v>77</v>
      </c>
      <c r="Q65" t="s">
        <v>25</v>
      </c>
      <c r="R65" t="s">
        <v>78</v>
      </c>
      <c r="S65" s="1">
        <v>45836</v>
      </c>
      <c r="T65" t="s">
        <v>27</v>
      </c>
      <c r="U65">
        <v>750</v>
      </c>
      <c r="V65">
        <v>0</v>
      </c>
      <c r="W65">
        <v>135</v>
      </c>
      <c r="X65">
        <v>885</v>
      </c>
    </row>
    <row r="66" spans="1:24" x14ac:dyDescent="0.25">
      <c r="A66" t="s">
        <v>17</v>
      </c>
      <c r="B66" t="s">
        <v>18</v>
      </c>
      <c r="C66" t="s">
        <v>19</v>
      </c>
      <c r="D66" t="s">
        <v>229</v>
      </c>
      <c r="E66" t="s">
        <v>230</v>
      </c>
      <c r="F66" t="s">
        <v>292</v>
      </c>
      <c r="G66">
        <v>0</v>
      </c>
      <c r="H66">
        <f t="shared" si="0"/>
        <v>0</v>
      </c>
      <c r="I66">
        <f t="shared" si="1"/>
        <v>0</v>
      </c>
      <c r="J66">
        <v>0</v>
      </c>
      <c r="K66">
        <v>0</v>
      </c>
      <c r="L66">
        <v>0</v>
      </c>
      <c r="M66" t="s">
        <v>231</v>
      </c>
      <c r="N66" s="1">
        <v>45809</v>
      </c>
      <c r="O66" t="s">
        <v>232</v>
      </c>
      <c r="P66" t="s">
        <v>233</v>
      </c>
      <c r="Q66" t="s">
        <v>31</v>
      </c>
      <c r="R66" t="s">
        <v>234</v>
      </c>
      <c r="S66" s="1">
        <v>45809</v>
      </c>
      <c r="T66" t="s">
        <v>27</v>
      </c>
      <c r="U66">
        <v>360</v>
      </c>
      <c r="V66">
        <v>0</v>
      </c>
      <c r="W66">
        <v>64.8</v>
      </c>
      <c r="X66">
        <v>424.8</v>
      </c>
    </row>
    <row r="67" spans="1:24" x14ac:dyDescent="0.25">
      <c r="A67" t="s">
        <v>17</v>
      </c>
      <c r="B67" t="s">
        <v>18</v>
      </c>
      <c r="C67" t="s">
        <v>19</v>
      </c>
      <c r="D67" t="s">
        <v>229</v>
      </c>
      <c r="E67" t="s">
        <v>230</v>
      </c>
      <c r="F67" t="s">
        <v>292</v>
      </c>
      <c r="G67">
        <v>0</v>
      </c>
      <c r="H67">
        <f t="shared" ref="H67:H110" si="2">G67*70%</f>
        <v>0</v>
      </c>
      <c r="I67">
        <f t="shared" ref="I67:I110" si="3">G67*30%</f>
        <v>0</v>
      </c>
      <c r="J67">
        <v>0</v>
      </c>
      <c r="K67">
        <v>0</v>
      </c>
      <c r="L67">
        <v>0</v>
      </c>
      <c r="M67" t="s">
        <v>22</v>
      </c>
      <c r="N67" s="1">
        <v>45810</v>
      </c>
      <c r="O67" t="s">
        <v>23</v>
      </c>
      <c r="P67" t="s">
        <v>24</v>
      </c>
      <c r="Q67" t="s">
        <v>25</v>
      </c>
      <c r="R67" t="s">
        <v>26</v>
      </c>
      <c r="S67" s="1">
        <v>45812</v>
      </c>
      <c r="T67" t="s">
        <v>27</v>
      </c>
      <c r="U67">
        <v>360</v>
      </c>
      <c r="V67">
        <v>180</v>
      </c>
      <c r="W67">
        <v>32.4</v>
      </c>
      <c r="X67">
        <v>212.4</v>
      </c>
    </row>
    <row r="68" spans="1:24" x14ac:dyDescent="0.25">
      <c r="A68" t="s">
        <v>17</v>
      </c>
      <c r="B68" t="s">
        <v>18</v>
      </c>
      <c r="C68" t="s">
        <v>19</v>
      </c>
      <c r="D68" t="s">
        <v>229</v>
      </c>
      <c r="E68" t="s">
        <v>230</v>
      </c>
      <c r="F68" t="s">
        <v>292</v>
      </c>
      <c r="G68">
        <v>0</v>
      </c>
      <c r="H68">
        <f t="shared" si="2"/>
        <v>0</v>
      </c>
      <c r="I68">
        <f t="shared" si="3"/>
        <v>0</v>
      </c>
      <c r="J68">
        <v>0</v>
      </c>
      <c r="K68">
        <v>0</v>
      </c>
      <c r="L68">
        <v>0</v>
      </c>
      <c r="M68" t="s">
        <v>235</v>
      </c>
      <c r="N68" s="1">
        <v>45810</v>
      </c>
      <c r="O68" t="s">
        <v>236</v>
      </c>
      <c r="P68" t="s">
        <v>237</v>
      </c>
      <c r="Q68" t="s">
        <v>36</v>
      </c>
      <c r="R68" t="s">
        <v>238</v>
      </c>
      <c r="S68" s="1">
        <v>45810</v>
      </c>
      <c r="T68" t="s">
        <v>27</v>
      </c>
      <c r="U68">
        <v>360</v>
      </c>
      <c r="V68">
        <v>180</v>
      </c>
      <c r="W68">
        <v>32.4</v>
      </c>
      <c r="X68">
        <v>212.4</v>
      </c>
    </row>
    <row r="69" spans="1:24" x14ac:dyDescent="0.25">
      <c r="A69" t="s">
        <v>17</v>
      </c>
      <c r="B69" t="s">
        <v>18</v>
      </c>
      <c r="C69" t="s">
        <v>19</v>
      </c>
      <c r="D69" t="s">
        <v>229</v>
      </c>
      <c r="E69" t="s">
        <v>230</v>
      </c>
      <c r="F69" t="s">
        <v>292</v>
      </c>
      <c r="G69">
        <v>0</v>
      </c>
      <c r="H69">
        <f t="shared" si="2"/>
        <v>0</v>
      </c>
      <c r="I69">
        <f t="shared" si="3"/>
        <v>0</v>
      </c>
      <c r="J69">
        <v>0</v>
      </c>
      <c r="K69">
        <v>0</v>
      </c>
      <c r="L69">
        <v>0</v>
      </c>
      <c r="M69" t="s">
        <v>239</v>
      </c>
      <c r="N69" s="1">
        <v>45812</v>
      </c>
      <c r="O69" t="s">
        <v>240</v>
      </c>
      <c r="P69" t="s">
        <v>241</v>
      </c>
      <c r="Q69" t="s">
        <v>242</v>
      </c>
      <c r="R69" t="s">
        <v>243</v>
      </c>
      <c r="S69" s="1">
        <v>45812</v>
      </c>
      <c r="T69" t="s">
        <v>27</v>
      </c>
      <c r="U69">
        <v>360</v>
      </c>
      <c r="V69">
        <v>180</v>
      </c>
      <c r="W69">
        <v>32.4</v>
      </c>
      <c r="X69">
        <v>212.4</v>
      </c>
    </row>
    <row r="70" spans="1:24" x14ac:dyDescent="0.25">
      <c r="A70" t="s">
        <v>17</v>
      </c>
      <c r="B70" t="s">
        <v>18</v>
      </c>
      <c r="C70" t="s">
        <v>19</v>
      </c>
      <c r="D70" t="s">
        <v>229</v>
      </c>
      <c r="E70" t="s">
        <v>230</v>
      </c>
      <c r="F70" t="s">
        <v>292</v>
      </c>
      <c r="G70">
        <v>0</v>
      </c>
      <c r="H70">
        <f t="shared" si="2"/>
        <v>0</v>
      </c>
      <c r="I70">
        <f t="shared" si="3"/>
        <v>0</v>
      </c>
      <c r="J70">
        <v>0</v>
      </c>
      <c r="K70">
        <v>0</v>
      </c>
      <c r="L70">
        <v>0</v>
      </c>
      <c r="M70" t="s">
        <v>121</v>
      </c>
      <c r="N70" s="1">
        <v>45817</v>
      </c>
      <c r="O70" t="s">
        <v>122</v>
      </c>
      <c r="P70" t="s">
        <v>123</v>
      </c>
      <c r="Q70" t="s">
        <v>124</v>
      </c>
      <c r="R70" t="s">
        <v>125</v>
      </c>
      <c r="S70" s="1">
        <v>45817</v>
      </c>
      <c r="T70" t="s">
        <v>27</v>
      </c>
      <c r="U70">
        <v>360</v>
      </c>
      <c r="V70">
        <v>180</v>
      </c>
      <c r="W70">
        <v>32.4</v>
      </c>
      <c r="X70">
        <v>212.4</v>
      </c>
    </row>
    <row r="71" spans="1:24" x14ac:dyDescent="0.25">
      <c r="A71" t="s">
        <v>17</v>
      </c>
      <c r="B71" t="s">
        <v>18</v>
      </c>
      <c r="C71" t="s">
        <v>19</v>
      </c>
      <c r="D71" t="s">
        <v>229</v>
      </c>
      <c r="E71" t="s">
        <v>230</v>
      </c>
      <c r="F71" t="s">
        <v>292</v>
      </c>
      <c r="G71">
        <v>0</v>
      </c>
      <c r="H71">
        <f t="shared" si="2"/>
        <v>0</v>
      </c>
      <c r="I71">
        <f t="shared" si="3"/>
        <v>0</v>
      </c>
      <c r="J71">
        <v>0</v>
      </c>
      <c r="K71">
        <v>0</v>
      </c>
      <c r="L71">
        <v>0</v>
      </c>
      <c r="M71" t="s">
        <v>131</v>
      </c>
      <c r="N71" s="1">
        <v>45824</v>
      </c>
      <c r="O71" t="s">
        <v>132</v>
      </c>
      <c r="P71" t="s">
        <v>133</v>
      </c>
      <c r="Q71" t="s">
        <v>41</v>
      </c>
      <c r="R71" t="s">
        <v>134</v>
      </c>
      <c r="S71" s="1">
        <v>45824</v>
      </c>
      <c r="T71" t="s">
        <v>27</v>
      </c>
      <c r="U71">
        <v>360</v>
      </c>
      <c r="V71">
        <v>180</v>
      </c>
      <c r="W71">
        <v>32.4</v>
      </c>
      <c r="X71">
        <v>212.4</v>
      </c>
    </row>
    <row r="72" spans="1:24" x14ac:dyDescent="0.25">
      <c r="A72" t="s">
        <v>17</v>
      </c>
      <c r="B72" t="s">
        <v>18</v>
      </c>
      <c r="C72" t="s">
        <v>19</v>
      </c>
      <c r="D72" t="s">
        <v>229</v>
      </c>
      <c r="E72" t="s">
        <v>230</v>
      </c>
      <c r="F72" t="s">
        <v>292</v>
      </c>
      <c r="G72">
        <v>0</v>
      </c>
      <c r="H72">
        <f t="shared" si="2"/>
        <v>0</v>
      </c>
      <c r="I72">
        <f t="shared" si="3"/>
        <v>0</v>
      </c>
      <c r="J72">
        <v>0</v>
      </c>
      <c r="K72">
        <v>0</v>
      </c>
      <c r="L72">
        <v>0</v>
      </c>
      <c r="M72" t="s">
        <v>139</v>
      </c>
      <c r="N72" s="1">
        <v>45825</v>
      </c>
      <c r="O72" t="s">
        <v>140</v>
      </c>
      <c r="P72" t="s">
        <v>141</v>
      </c>
      <c r="Q72" t="s">
        <v>142</v>
      </c>
      <c r="R72" t="s">
        <v>143</v>
      </c>
      <c r="S72" s="1">
        <v>45827</v>
      </c>
      <c r="T72" t="s">
        <v>27</v>
      </c>
      <c r="U72">
        <v>400</v>
      </c>
      <c r="V72">
        <v>200</v>
      </c>
      <c r="W72">
        <v>36</v>
      </c>
      <c r="X72">
        <v>236</v>
      </c>
    </row>
    <row r="73" spans="1:24" x14ac:dyDescent="0.25">
      <c r="A73" t="s">
        <v>17</v>
      </c>
      <c r="B73" t="s">
        <v>18</v>
      </c>
      <c r="C73" t="s">
        <v>19</v>
      </c>
      <c r="D73" t="s">
        <v>229</v>
      </c>
      <c r="E73" t="s">
        <v>230</v>
      </c>
      <c r="F73" t="s">
        <v>292</v>
      </c>
      <c r="G73">
        <v>0</v>
      </c>
      <c r="H73">
        <f t="shared" si="2"/>
        <v>0</v>
      </c>
      <c r="I73">
        <f t="shared" si="3"/>
        <v>0</v>
      </c>
      <c r="J73">
        <v>0</v>
      </c>
      <c r="K73">
        <v>0</v>
      </c>
      <c r="L73">
        <v>0</v>
      </c>
      <c r="M73" t="s">
        <v>152</v>
      </c>
      <c r="N73" s="1">
        <v>45828</v>
      </c>
      <c r="O73" t="s">
        <v>153</v>
      </c>
      <c r="P73" t="s">
        <v>154</v>
      </c>
      <c r="Q73" t="s">
        <v>36</v>
      </c>
      <c r="R73" t="s">
        <v>155</v>
      </c>
      <c r="S73" s="1">
        <v>45828</v>
      </c>
      <c r="T73" t="s">
        <v>27</v>
      </c>
      <c r="U73">
        <v>360</v>
      </c>
      <c r="V73">
        <v>180</v>
      </c>
      <c r="W73">
        <v>32.4</v>
      </c>
      <c r="X73">
        <v>212.4</v>
      </c>
    </row>
    <row r="74" spans="1:24" x14ac:dyDescent="0.25">
      <c r="A74" t="s">
        <v>17</v>
      </c>
      <c r="B74" t="s">
        <v>18</v>
      </c>
      <c r="C74" t="s">
        <v>19</v>
      </c>
      <c r="D74" t="s">
        <v>229</v>
      </c>
      <c r="E74" t="s">
        <v>230</v>
      </c>
      <c r="F74" t="s">
        <v>292</v>
      </c>
      <c r="G74">
        <v>0</v>
      </c>
      <c r="H74">
        <f t="shared" si="2"/>
        <v>0</v>
      </c>
      <c r="I74">
        <f t="shared" si="3"/>
        <v>0</v>
      </c>
      <c r="J74">
        <v>0</v>
      </c>
      <c r="K74">
        <v>0</v>
      </c>
      <c r="L74">
        <v>0</v>
      </c>
      <c r="M74" t="s">
        <v>156</v>
      </c>
      <c r="N74" s="1">
        <v>45832</v>
      </c>
      <c r="O74" t="s">
        <v>157</v>
      </c>
      <c r="P74" t="s">
        <v>158</v>
      </c>
      <c r="Q74" t="s">
        <v>159</v>
      </c>
      <c r="R74" t="s">
        <v>160</v>
      </c>
      <c r="S74" s="1">
        <v>45832</v>
      </c>
      <c r="T74" t="s">
        <v>27</v>
      </c>
      <c r="U74">
        <v>360</v>
      </c>
      <c r="V74">
        <v>180</v>
      </c>
      <c r="W74">
        <v>32.4</v>
      </c>
      <c r="X74">
        <v>212.4</v>
      </c>
    </row>
    <row r="75" spans="1:24" x14ac:dyDescent="0.25">
      <c r="A75" t="s">
        <v>17</v>
      </c>
      <c r="B75" t="s">
        <v>18</v>
      </c>
      <c r="C75" t="s">
        <v>19</v>
      </c>
      <c r="D75" t="s">
        <v>229</v>
      </c>
      <c r="E75" t="s">
        <v>230</v>
      </c>
      <c r="F75" t="s">
        <v>292</v>
      </c>
      <c r="G75">
        <v>0</v>
      </c>
      <c r="H75">
        <f t="shared" si="2"/>
        <v>0</v>
      </c>
      <c r="I75">
        <f t="shared" si="3"/>
        <v>0</v>
      </c>
      <c r="J75">
        <v>0</v>
      </c>
      <c r="K75">
        <v>0</v>
      </c>
      <c r="L75">
        <v>0</v>
      </c>
      <c r="M75" t="s">
        <v>244</v>
      </c>
      <c r="N75" s="1">
        <v>45835</v>
      </c>
      <c r="O75" t="s">
        <v>245</v>
      </c>
      <c r="P75" t="s">
        <v>246</v>
      </c>
      <c r="Q75" t="s">
        <v>188</v>
      </c>
      <c r="R75" t="s">
        <v>247</v>
      </c>
      <c r="S75" s="1">
        <v>45838</v>
      </c>
      <c r="T75" t="s">
        <v>27</v>
      </c>
      <c r="U75">
        <v>360</v>
      </c>
      <c r="V75">
        <v>180</v>
      </c>
      <c r="W75">
        <v>32.4</v>
      </c>
      <c r="X75">
        <v>212.4</v>
      </c>
    </row>
    <row r="76" spans="1:24" x14ac:dyDescent="0.25">
      <c r="A76" t="s">
        <v>17</v>
      </c>
      <c r="B76" t="s">
        <v>18</v>
      </c>
      <c r="C76" t="s">
        <v>19</v>
      </c>
      <c r="D76" t="s">
        <v>229</v>
      </c>
      <c r="E76" t="s">
        <v>230</v>
      </c>
      <c r="F76" t="s">
        <v>292</v>
      </c>
      <c r="G76">
        <v>0</v>
      </c>
      <c r="H76">
        <f t="shared" si="2"/>
        <v>0</v>
      </c>
      <c r="I76">
        <f t="shared" si="3"/>
        <v>0</v>
      </c>
      <c r="J76">
        <v>0</v>
      </c>
      <c r="K76">
        <v>0</v>
      </c>
      <c r="L76">
        <v>0</v>
      </c>
      <c r="M76" t="s">
        <v>248</v>
      </c>
      <c r="N76" s="1">
        <v>45836</v>
      </c>
      <c r="O76" t="s">
        <v>249</v>
      </c>
      <c r="P76" t="s">
        <v>250</v>
      </c>
      <c r="Q76" t="s">
        <v>46</v>
      </c>
      <c r="R76" t="s">
        <v>251</v>
      </c>
      <c r="S76" s="1">
        <v>45836</v>
      </c>
      <c r="T76" t="s">
        <v>27</v>
      </c>
      <c r="U76">
        <v>340</v>
      </c>
      <c r="V76">
        <v>170</v>
      </c>
      <c r="W76">
        <v>30.6</v>
      </c>
      <c r="X76">
        <v>200.6</v>
      </c>
    </row>
    <row r="77" spans="1:24" x14ac:dyDescent="0.25">
      <c r="A77" t="s">
        <v>17</v>
      </c>
      <c r="B77" t="s">
        <v>18</v>
      </c>
      <c r="C77" t="s">
        <v>19</v>
      </c>
      <c r="D77" t="s">
        <v>229</v>
      </c>
      <c r="E77" t="s">
        <v>230</v>
      </c>
      <c r="F77" t="s">
        <v>292</v>
      </c>
      <c r="G77">
        <v>0</v>
      </c>
      <c r="H77">
        <f t="shared" si="2"/>
        <v>0</v>
      </c>
      <c r="I77">
        <f t="shared" si="3"/>
        <v>0</v>
      </c>
      <c r="J77">
        <v>0</v>
      </c>
      <c r="K77">
        <v>0</v>
      </c>
      <c r="L77">
        <v>0</v>
      </c>
      <c r="M77" t="s">
        <v>252</v>
      </c>
      <c r="N77" s="1">
        <v>45837</v>
      </c>
      <c r="O77" t="s">
        <v>253</v>
      </c>
      <c r="P77" t="s">
        <v>254</v>
      </c>
      <c r="Q77" t="s">
        <v>255</v>
      </c>
      <c r="R77" t="s">
        <v>256</v>
      </c>
      <c r="S77" s="1">
        <v>45837</v>
      </c>
      <c r="T77" t="s">
        <v>27</v>
      </c>
      <c r="U77">
        <v>340</v>
      </c>
      <c r="V77">
        <v>170</v>
      </c>
      <c r="W77">
        <v>30.6</v>
      </c>
      <c r="X77">
        <v>200.6</v>
      </c>
    </row>
    <row r="78" spans="1:24" x14ac:dyDescent="0.25">
      <c r="A78" t="s">
        <v>17</v>
      </c>
      <c r="B78" t="s">
        <v>18</v>
      </c>
      <c r="C78" t="s">
        <v>19</v>
      </c>
      <c r="D78" t="s">
        <v>257</v>
      </c>
      <c r="E78" t="s">
        <v>258</v>
      </c>
      <c r="F78" t="s">
        <v>293</v>
      </c>
      <c r="G78">
        <v>0</v>
      </c>
      <c r="H78">
        <f t="shared" si="2"/>
        <v>0</v>
      </c>
      <c r="I78">
        <f t="shared" si="3"/>
        <v>0</v>
      </c>
      <c r="J78">
        <v>0</v>
      </c>
      <c r="K78">
        <v>0</v>
      </c>
      <c r="L78">
        <v>0</v>
      </c>
      <c r="M78" t="s">
        <v>112</v>
      </c>
      <c r="N78" s="1">
        <v>45814</v>
      </c>
      <c r="O78" t="s">
        <v>113</v>
      </c>
      <c r="P78" t="s">
        <v>114</v>
      </c>
      <c r="Q78" t="s">
        <v>115</v>
      </c>
      <c r="R78" t="s">
        <v>116</v>
      </c>
      <c r="S78" s="1">
        <v>45814</v>
      </c>
      <c r="T78" t="s">
        <v>27</v>
      </c>
      <c r="U78">
        <v>425</v>
      </c>
      <c r="V78">
        <v>0</v>
      </c>
      <c r="W78">
        <v>0</v>
      </c>
      <c r="X78">
        <v>425</v>
      </c>
    </row>
    <row r="79" spans="1:24" x14ac:dyDescent="0.25">
      <c r="A79" t="s">
        <v>17</v>
      </c>
      <c r="B79" t="s">
        <v>18</v>
      </c>
      <c r="C79" t="s">
        <v>19</v>
      </c>
      <c r="D79" t="s">
        <v>257</v>
      </c>
      <c r="E79" t="s">
        <v>258</v>
      </c>
      <c r="F79" t="s">
        <v>293</v>
      </c>
      <c r="G79">
        <v>0</v>
      </c>
      <c r="H79">
        <f t="shared" si="2"/>
        <v>0</v>
      </c>
      <c r="I79">
        <f t="shared" si="3"/>
        <v>0</v>
      </c>
      <c r="J79">
        <v>0</v>
      </c>
      <c r="K79">
        <v>0</v>
      </c>
      <c r="L79">
        <v>0</v>
      </c>
      <c r="M79" t="s">
        <v>259</v>
      </c>
      <c r="N79" s="1">
        <v>45818</v>
      </c>
      <c r="O79" t="s">
        <v>260</v>
      </c>
      <c r="P79" t="s">
        <v>261</v>
      </c>
      <c r="Q79" t="s">
        <v>242</v>
      </c>
      <c r="R79" t="s">
        <v>262</v>
      </c>
      <c r="S79" s="1">
        <v>45818</v>
      </c>
      <c r="T79" t="s">
        <v>27</v>
      </c>
      <c r="U79">
        <v>450</v>
      </c>
      <c r="V79">
        <v>225</v>
      </c>
      <c r="W79">
        <v>40.5</v>
      </c>
      <c r="X79">
        <v>265.5</v>
      </c>
    </row>
    <row r="80" spans="1:24" x14ac:dyDescent="0.25">
      <c r="A80" t="s">
        <v>17</v>
      </c>
      <c r="B80" t="s">
        <v>18</v>
      </c>
      <c r="C80" t="s">
        <v>19</v>
      </c>
      <c r="D80" t="s">
        <v>257</v>
      </c>
      <c r="E80" t="s">
        <v>258</v>
      </c>
      <c r="F80" t="s">
        <v>293</v>
      </c>
      <c r="G80">
        <v>0</v>
      </c>
      <c r="H80">
        <f t="shared" si="2"/>
        <v>0</v>
      </c>
      <c r="I80">
        <f t="shared" si="3"/>
        <v>0</v>
      </c>
      <c r="J80">
        <v>0</v>
      </c>
      <c r="K80">
        <v>0</v>
      </c>
      <c r="L80">
        <v>0</v>
      </c>
      <c r="M80" t="s">
        <v>126</v>
      </c>
      <c r="N80" s="1">
        <v>45818</v>
      </c>
      <c r="O80" t="s">
        <v>127</v>
      </c>
      <c r="P80" t="s">
        <v>128</v>
      </c>
      <c r="Q80" t="s">
        <v>129</v>
      </c>
      <c r="R80" t="s">
        <v>130</v>
      </c>
      <c r="S80" s="1">
        <v>45818</v>
      </c>
      <c r="T80" t="s">
        <v>27</v>
      </c>
      <c r="U80">
        <v>450</v>
      </c>
      <c r="V80">
        <v>225</v>
      </c>
      <c r="W80">
        <v>40.5</v>
      </c>
      <c r="X80">
        <v>265.5</v>
      </c>
    </row>
    <row r="81" spans="1:24" x14ac:dyDescent="0.25">
      <c r="A81" t="s">
        <v>17</v>
      </c>
      <c r="B81" t="s">
        <v>18</v>
      </c>
      <c r="C81" t="s">
        <v>19</v>
      </c>
      <c r="D81" t="s">
        <v>257</v>
      </c>
      <c r="E81" t="s">
        <v>258</v>
      </c>
      <c r="F81" t="s">
        <v>293</v>
      </c>
      <c r="G81">
        <v>0</v>
      </c>
      <c r="H81">
        <f t="shared" si="2"/>
        <v>0</v>
      </c>
      <c r="I81">
        <f t="shared" si="3"/>
        <v>0</v>
      </c>
      <c r="J81">
        <v>0</v>
      </c>
      <c r="K81">
        <v>0</v>
      </c>
      <c r="L81">
        <v>0</v>
      </c>
      <c r="M81" t="s">
        <v>263</v>
      </c>
      <c r="N81" s="1">
        <v>45822</v>
      </c>
      <c r="O81" t="s">
        <v>264</v>
      </c>
      <c r="P81" t="s">
        <v>265</v>
      </c>
      <c r="Q81" t="s">
        <v>36</v>
      </c>
      <c r="R81" t="s">
        <v>266</v>
      </c>
      <c r="S81" s="1">
        <v>45822</v>
      </c>
      <c r="T81" t="s">
        <v>27</v>
      </c>
      <c r="U81">
        <v>450</v>
      </c>
      <c r="V81">
        <v>225</v>
      </c>
      <c r="W81">
        <v>40.5</v>
      </c>
      <c r="X81">
        <v>265.5</v>
      </c>
    </row>
    <row r="82" spans="1:24" x14ac:dyDescent="0.25">
      <c r="A82" t="s">
        <v>17</v>
      </c>
      <c r="B82" t="s">
        <v>18</v>
      </c>
      <c r="C82" t="s">
        <v>19</v>
      </c>
      <c r="D82" t="s">
        <v>257</v>
      </c>
      <c r="E82" t="s">
        <v>258</v>
      </c>
      <c r="F82" t="s">
        <v>293</v>
      </c>
      <c r="G82">
        <v>0</v>
      </c>
      <c r="H82">
        <f t="shared" si="2"/>
        <v>0</v>
      </c>
      <c r="I82">
        <f t="shared" si="3"/>
        <v>0</v>
      </c>
      <c r="J82">
        <v>0</v>
      </c>
      <c r="K82">
        <v>0</v>
      </c>
      <c r="L82">
        <v>0</v>
      </c>
      <c r="M82" t="s">
        <v>67</v>
      </c>
      <c r="N82" s="1">
        <v>45825</v>
      </c>
      <c r="O82" t="s">
        <v>68</v>
      </c>
      <c r="P82" t="s">
        <v>69</v>
      </c>
      <c r="Q82" t="s">
        <v>25</v>
      </c>
      <c r="R82" t="s">
        <v>70</v>
      </c>
      <c r="S82" s="1">
        <v>45825</v>
      </c>
      <c r="T82" t="s">
        <v>27</v>
      </c>
      <c r="U82">
        <v>450</v>
      </c>
      <c r="V82">
        <v>225</v>
      </c>
      <c r="W82">
        <v>40.5</v>
      </c>
      <c r="X82">
        <v>265.5</v>
      </c>
    </row>
    <row r="83" spans="1:24" x14ac:dyDescent="0.25">
      <c r="A83" t="s">
        <v>17</v>
      </c>
      <c r="B83" t="s">
        <v>18</v>
      </c>
      <c r="C83" t="s">
        <v>19</v>
      </c>
      <c r="D83" t="s">
        <v>257</v>
      </c>
      <c r="E83" t="s">
        <v>258</v>
      </c>
      <c r="F83" t="s">
        <v>292</v>
      </c>
      <c r="G83">
        <v>0</v>
      </c>
      <c r="H83">
        <f t="shared" si="2"/>
        <v>0</v>
      </c>
      <c r="I83">
        <f t="shared" si="3"/>
        <v>0</v>
      </c>
      <c r="J83">
        <v>0</v>
      </c>
      <c r="K83">
        <v>0</v>
      </c>
      <c r="L83">
        <v>0</v>
      </c>
      <c r="M83" t="s">
        <v>144</v>
      </c>
      <c r="N83" s="1">
        <v>45827</v>
      </c>
      <c r="O83" t="s">
        <v>145</v>
      </c>
      <c r="P83" t="s">
        <v>146</v>
      </c>
      <c r="Q83" t="s">
        <v>104</v>
      </c>
      <c r="R83" t="s">
        <v>147</v>
      </c>
      <c r="S83" s="1">
        <v>45827</v>
      </c>
      <c r="T83" t="s">
        <v>27</v>
      </c>
      <c r="U83">
        <v>450</v>
      </c>
      <c r="V83">
        <v>0</v>
      </c>
      <c r="W83">
        <v>81</v>
      </c>
      <c r="X83">
        <v>531</v>
      </c>
    </row>
    <row r="84" spans="1:24" x14ac:dyDescent="0.25">
      <c r="A84" t="s">
        <v>17</v>
      </c>
      <c r="B84" t="s">
        <v>18</v>
      </c>
      <c r="C84" t="s">
        <v>19</v>
      </c>
      <c r="D84" t="s">
        <v>257</v>
      </c>
      <c r="E84" t="s">
        <v>258</v>
      </c>
      <c r="F84" t="s">
        <v>293</v>
      </c>
      <c r="G84">
        <v>0</v>
      </c>
      <c r="H84">
        <f t="shared" si="2"/>
        <v>0</v>
      </c>
      <c r="I84">
        <f t="shared" si="3"/>
        <v>0</v>
      </c>
      <c r="J84">
        <v>0</v>
      </c>
      <c r="K84">
        <v>0</v>
      </c>
      <c r="L84">
        <v>0</v>
      </c>
      <c r="M84" t="s">
        <v>267</v>
      </c>
      <c r="N84" s="1">
        <v>45832</v>
      </c>
      <c r="O84" t="s">
        <v>268</v>
      </c>
      <c r="P84" t="s">
        <v>269</v>
      </c>
      <c r="Q84" t="s">
        <v>270</v>
      </c>
      <c r="R84" t="s">
        <v>271</v>
      </c>
      <c r="S84" s="1">
        <v>45832</v>
      </c>
      <c r="T84" t="s">
        <v>27</v>
      </c>
      <c r="U84">
        <v>450</v>
      </c>
      <c r="V84">
        <v>225</v>
      </c>
      <c r="W84">
        <v>40.5</v>
      </c>
      <c r="X84">
        <v>265.5</v>
      </c>
    </row>
    <row r="85" spans="1:24" x14ac:dyDescent="0.25">
      <c r="A85" t="s">
        <v>17</v>
      </c>
      <c r="B85" t="s">
        <v>18</v>
      </c>
      <c r="C85" t="s">
        <v>19</v>
      </c>
      <c r="D85" t="s">
        <v>257</v>
      </c>
      <c r="E85" t="s">
        <v>258</v>
      </c>
      <c r="F85" t="s">
        <v>293</v>
      </c>
      <c r="G85">
        <v>0</v>
      </c>
      <c r="H85">
        <f t="shared" si="2"/>
        <v>0</v>
      </c>
      <c r="I85">
        <f t="shared" si="3"/>
        <v>0</v>
      </c>
      <c r="J85">
        <v>0</v>
      </c>
      <c r="K85">
        <v>0</v>
      </c>
      <c r="L85">
        <v>0</v>
      </c>
      <c r="M85" t="s">
        <v>272</v>
      </c>
      <c r="N85" s="1">
        <v>45834</v>
      </c>
      <c r="O85" t="s">
        <v>273</v>
      </c>
      <c r="P85" t="s">
        <v>274</v>
      </c>
      <c r="Q85" t="s">
        <v>31</v>
      </c>
      <c r="R85" t="s">
        <v>275</v>
      </c>
      <c r="S85" s="1">
        <v>45838</v>
      </c>
      <c r="T85" t="s">
        <v>27</v>
      </c>
      <c r="U85">
        <v>450</v>
      </c>
      <c r="V85">
        <v>225</v>
      </c>
      <c r="W85">
        <v>40.5</v>
      </c>
      <c r="X85">
        <v>265.5</v>
      </c>
    </row>
    <row r="86" spans="1:24" x14ac:dyDescent="0.25">
      <c r="A86" t="s">
        <v>17</v>
      </c>
      <c r="B86" t="s">
        <v>18</v>
      </c>
      <c r="C86" t="s">
        <v>19</v>
      </c>
      <c r="D86" t="s">
        <v>276</v>
      </c>
      <c r="E86" t="s">
        <v>277</v>
      </c>
      <c r="F86" t="s">
        <v>294</v>
      </c>
      <c r="G86">
        <v>0</v>
      </c>
      <c r="H86">
        <f t="shared" si="2"/>
        <v>0</v>
      </c>
      <c r="I86">
        <f t="shared" si="3"/>
        <v>0</v>
      </c>
      <c r="J86">
        <v>0</v>
      </c>
      <c r="K86">
        <v>0</v>
      </c>
      <c r="L86">
        <v>0</v>
      </c>
      <c r="M86" t="s">
        <v>278</v>
      </c>
      <c r="N86" s="1">
        <v>45806</v>
      </c>
      <c r="O86" t="s">
        <v>279</v>
      </c>
      <c r="P86" t="s">
        <v>280</v>
      </c>
      <c r="Q86" t="s">
        <v>281</v>
      </c>
      <c r="R86" t="s">
        <v>282</v>
      </c>
      <c r="S86" s="1">
        <v>45826</v>
      </c>
      <c r="T86" t="s">
        <v>283</v>
      </c>
      <c r="U86">
        <v>390</v>
      </c>
      <c r="V86">
        <v>0</v>
      </c>
      <c r="W86">
        <v>70.2</v>
      </c>
      <c r="X86">
        <v>460.2</v>
      </c>
    </row>
    <row r="87" spans="1:24" x14ac:dyDescent="0.25">
      <c r="A87" t="s">
        <v>17</v>
      </c>
      <c r="B87" t="s">
        <v>18</v>
      </c>
      <c r="C87" t="s">
        <v>19</v>
      </c>
      <c r="D87" t="s">
        <v>276</v>
      </c>
      <c r="E87" t="s">
        <v>277</v>
      </c>
      <c r="F87" t="s">
        <v>292</v>
      </c>
      <c r="G87">
        <v>0</v>
      </c>
      <c r="H87">
        <f t="shared" si="2"/>
        <v>0</v>
      </c>
      <c r="I87">
        <f t="shared" si="3"/>
        <v>0</v>
      </c>
      <c r="J87">
        <v>0</v>
      </c>
      <c r="K87">
        <v>0</v>
      </c>
      <c r="L87">
        <v>0</v>
      </c>
      <c r="M87" t="s">
        <v>231</v>
      </c>
      <c r="N87" s="1">
        <v>45809</v>
      </c>
      <c r="O87" t="s">
        <v>232</v>
      </c>
      <c r="P87" t="s">
        <v>233</v>
      </c>
      <c r="Q87" t="s">
        <v>31</v>
      </c>
      <c r="R87" t="s">
        <v>234</v>
      </c>
      <c r="S87" s="1">
        <v>45809</v>
      </c>
      <c r="T87" t="s">
        <v>27</v>
      </c>
      <c r="U87">
        <v>440</v>
      </c>
      <c r="V87">
        <v>220</v>
      </c>
      <c r="W87">
        <v>39.6</v>
      </c>
      <c r="X87">
        <v>259.60000000000002</v>
      </c>
    </row>
    <row r="88" spans="1:24" x14ac:dyDescent="0.25">
      <c r="A88" t="s">
        <v>17</v>
      </c>
      <c r="B88" t="s">
        <v>18</v>
      </c>
      <c r="C88" t="s">
        <v>19</v>
      </c>
      <c r="D88" t="s">
        <v>276</v>
      </c>
      <c r="E88" t="s">
        <v>277</v>
      </c>
      <c r="F88" t="s">
        <v>292</v>
      </c>
      <c r="G88">
        <v>0</v>
      </c>
      <c r="H88">
        <f t="shared" si="2"/>
        <v>0</v>
      </c>
      <c r="I88">
        <f t="shared" si="3"/>
        <v>0</v>
      </c>
      <c r="J88">
        <v>0</v>
      </c>
      <c r="K88">
        <v>0</v>
      </c>
      <c r="L88">
        <v>0</v>
      </c>
      <c r="M88" t="s">
        <v>22</v>
      </c>
      <c r="N88" s="1">
        <v>45810</v>
      </c>
      <c r="O88" t="s">
        <v>23</v>
      </c>
      <c r="P88" t="s">
        <v>24</v>
      </c>
      <c r="Q88" t="s">
        <v>25</v>
      </c>
      <c r="R88" t="s">
        <v>26</v>
      </c>
      <c r="S88" s="1">
        <v>45812</v>
      </c>
      <c r="T88" t="s">
        <v>27</v>
      </c>
      <c r="U88">
        <v>440</v>
      </c>
      <c r="V88">
        <v>220</v>
      </c>
      <c r="W88">
        <v>39.6</v>
      </c>
      <c r="X88">
        <v>259.60000000000002</v>
      </c>
    </row>
    <row r="89" spans="1:24" x14ac:dyDescent="0.25">
      <c r="A89" t="s">
        <v>17</v>
      </c>
      <c r="B89" t="s">
        <v>18</v>
      </c>
      <c r="C89" t="s">
        <v>19</v>
      </c>
      <c r="D89" t="s">
        <v>276</v>
      </c>
      <c r="E89" t="s">
        <v>277</v>
      </c>
      <c r="F89" t="s">
        <v>292</v>
      </c>
      <c r="G89">
        <v>0</v>
      </c>
      <c r="H89">
        <f t="shared" si="2"/>
        <v>0</v>
      </c>
      <c r="I89">
        <f t="shared" si="3"/>
        <v>0</v>
      </c>
      <c r="J89">
        <v>0</v>
      </c>
      <c r="K89">
        <v>0</v>
      </c>
      <c r="L89">
        <v>0</v>
      </c>
      <c r="M89" t="s">
        <v>235</v>
      </c>
      <c r="N89" s="1">
        <v>45810</v>
      </c>
      <c r="O89" t="s">
        <v>236</v>
      </c>
      <c r="P89" t="s">
        <v>237</v>
      </c>
      <c r="Q89" t="s">
        <v>36</v>
      </c>
      <c r="R89" t="s">
        <v>238</v>
      </c>
      <c r="S89" s="1">
        <v>45810</v>
      </c>
      <c r="T89" t="s">
        <v>27</v>
      </c>
      <c r="U89">
        <v>440</v>
      </c>
      <c r="V89">
        <v>220</v>
      </c>
      <c r="W89">
        <v>39.6</v>
      </c>
      <c r="X89">
        <v>259.60000000000002</v>
      </c>
    </row>
    <row r="90" spans="1:24" x14ac:dyDescent="0.25">
      <c r="A90" t="s">
        <v>17</v>
      </c>
      <c r="B90" t="s">
        <v>18</v>
      </c>
      <c r="C90" t="s">
        <v>19</v>
      </c>
      <c r="D90" t="s">
        <v>276</v>
      </c>
      <c r="E90" t="s">
        <v>277</v>
      </c>
      <c r="F90" t="s">
        <v>292</v>
      </c>
      <c r="G90">
        <v>0</v>
      </c>
      <c r="H90">
        <f t="shared" si="2"/>
        <v>0</v>
      </c>
      <c r="I90">
        <f t="shared" si="3"/>
        <v>0</v>
      </c>
      <c r="J90">
        <v>0</v>
      </c>
      <c r="K90">
        <v>0</v>
      </c>
      <c r="L90">
        <v>0</v>
      </c>
      <c r="M90" t="s">
        <v>239</v>
      </c>
      <c r="N90" s="1">
        <v>45812</v>
      </c>
      <c r="O90" t="s">
        <v>240</v>
      </c>
      <c r="P90" t="s">
        <v>241</v>
      </c>
      <c r="Q90" t="s">
        <v>242</v>
      </c>
      <c r="R90" t="s">
        <v>243</v>
      </c>
      <c r="S90" s="1">
        <v>45812</v>
      </c>
      <c r="T90" t="s">
        <v>27</v>
      </c>
      <c r="U90">
        <v>440</v>
      </c>
      <c r="V90">
        <v>220</v>
      </c>
      <c r="W90">
        <v>39.6</v>
      </c>
      <c r="X90">
        <v>259.60000000000002</v>
      </c>
    </row>
    <row r="91" spans="1:24" x14ac:dyDescent="0.25">
      <c r="A91" t="s">
        <v>17</v>
      </c>
      <c r="B91" t="s">
        <v>18</v>
      </c>
      <c r="C91" t="s">
        <v>19</v>
      </c>
      <c r="D91" t="s">
        <v>276</v>
      </c>
      <c r="E91" t="s">
        <v>277</v>
      </c>
      <c r="F91" t="s">
        <v>293</v>
      </c>
      <c r="G91">
        <v>0</v>
      </c>
      <c r="H91">
        <f t="shared" si="2"/>
        <v>0</v>
      </c>
      <c r="I91">
        <f t="shared" si="3"/>
        <v>0</v>
      </c>
      <c r="J91">
        <v>0</v>
      </c>
      <c r="K91">
        <v>0</v>
      </c>
      <c r="L91">
        <v>0</v>
      </c>
      <c r="M91" t="s">
        <v>112</v>
      </c>
      <c r="N91" s="1">
        <v>45814</v>
      </c>
      <c r="O91" t="s">
        <v>113</v>
      </c>
      <c r="P91" t="s">
        <v>114</v>
      </c>
      <c r="Q91" t="s">
        <v>115</v>
      </c>
      <c r="R91" t="s">
        <v>116</v>
      </c>
      <c r="S91" s="1">
        <v>45814</v>
      </c>
      <c r="T91" t="s">
        <v>27</v>
      </c>
      <c r="U91">
        <v>390</v>
      </c>
      <c r="V91">
        <v>0</v>
      </c>
      <c r="W91">
        <v>0</v>
      </c>
      <c r="X91">
        <v>390</v>
      </c>
    </row>
    <row r="92" spans="1:24" x14ac:dyDescent="0.25">
      <c r="A92" t="s">
        <v>17</v>
      </c>
      <c r="B92" t="s">
        <v>18</v>
      </c>
      <c r="C92" t="s">
        <v>19</v>
      </c>
      <c r="D92" t="s">
        <v>276</v>
      </c>
      <c r="E92" t="s">
        <v>277</v>
      </c>
      <c r="F92" t="s">
        <v>292</v>
      </c>
      <c r="G92">
        <v>0</v>
      </c>
      <c r="H92">
        <f t="shared" si="2"/>
        <v>0</v>
      </c>
      <c r="I92">
        <f t="shared" si="3"/>
        <v>0</v>
      </c>
      <c r="J92">
        <v>0</v>
      </c>
      <c r="K92">
        <v>0</v>
      </c>
      <c r="L92">
        <v>0</v>
      </c>
      <c r="M92" t="s">
        <v>121</v>
      </c>
      <c r="N92" s="1">
        <v>45817</v>
      </c>
      <c r="O92" t="s">
        <v>122</v>
      </c>
      <c r="P92" t="s">
        <v>123</v>
      </c>
      <c r="Q92" t="s">
        <v>124</v>
      </c>
      <c r="R92" t="s">
        <v>125</v>
      </c>
      <c r="S92" s="1">
        <v>45817</v>
      </c>
      <c r="T92" t="s">
        <v>27</v>
      </c>
      <c r="U92">
        <v>440</v>
      </c>
      <c r="V92">
        <v>220</v>
      </c>
      <c r="W92">
        <v>39.6</v>
      </c>
      <c r="X92">
        <v>259.60000000000002</v>
      </c>
    </row>
    <row r="93" spans="1:24" x14ac:dyDescent="0.25">
      <c r="A93" t="s">
        <v>17</v>
      </c>
      <c r="B93" t="s">
        <v>18</v>
      </c>
      <c r="C93" t="s">
        <v>19</v>
      </c>
      <c r="D93" t="s">
        <v>276</v>
      </c>
      <c r="E93" t="s">
        <v>277</v>
      </c>
      <c r="F93" t="s">
        <v>293</v>
      </c>
      <c r="G93">
        <v>0</v>
      </c>
      <c r="H93">
        <f t="shared" si="2"/>
        <v>0</v>
      </c>
      <c r="I93">
        <f t="shared" si="3"/>
        <v>0</v>
      </c>
      <c r="J93">
        <v>0</v>
      </c>
      <c r="K93">
        <v>0</v>
      </c>
      <c r="L93">
        <v>0</v>
      </c>
      <c r="M93" t="s">
        <v>259</v>
      </c>
      <c r="N93" s="1">
        <v>45818</v>
      </c>
      <c r="O93" t="s">
        <v>260</v>
      </c>
      <c r="P93" t="s">
        <v>261</v>
      </c>
      <c r="Q93" t="s">
        <v>242</v>
      </c>
      <c r="R93" t="s">
        <v>262</v>
      </c>
      <c r="S93" s="1">
        <v>45818</v>
      </c>
      <c r="T93" t="s">
        <v>27</v>
      </c>
      <c r="U93">
        <v>440</v>
      </c>
      <c r="V93">
        <v>220</v>
      </c>
      <c r="W93">
        <v>39.6</v>
      </c>
      <c r="X93">
        <v>259.60000000000002</v>
      </c>
    </row>
    <row r="94" spans="1:24" x14ac:dyDescent="0.25">
      <c r="A94" t="s">
        <v>17</v>
      </c>
      <c r="B94" t="s">
        <v>18</v>
      </c>
      <c r="C94" t="s">
        <v>19</v>
      </c>
      <c r="D94" t="s">
        <v>276</v>
      </c>
      <c r="E94" t="s">
        <v>277</v>
      </c>
      <c r="F94" t="s">
        <v>293</v>
      </c>
      <c r="G94">
        <v>0</v>
      </c>
      <c r="H94">
        <f t="shared" si="2"/>
        <v>0</v>
      </c>
      <c r="I94">
        <f t="shared" si="3"/>
        <v>0</v>
      </c>
      <c r="J94">
        <v>0</v>
      </c>
      <c r="K94">
        <v>0</v>
      </c>
      <c r="L94">
        <v>0</v>
      </c>
      <c r="M94" t="s">
        <v>126</v>
      </c>
      <c r="N94" s="1">
        <v>45818</v>
      </c>
      <c r="O94" t="s">
        <v>127</v>
      </c>
      <c r="P94" t="s">
        <v>128</v>
      </c>
      <c r="Q94" t="s">
        <v>129</v>
      </c>
      <c r="R94" t="s">
        <v>130</v>
      </c>
      <c r="S94" s="1">
        <v>45818</v>
      </c>
      <c r="T94" t="s">
        <v>27</v>
      </c>
      <c r="U94">
        <v>440</v>
      </c>
      <c r="V94">
        <v>220</v>
      </c>
      <c r="W94">
        <v>39.6</v>
      </c>
      <c r="X94">
        <v>259.60000000000002</v>
      </c>
    </row>
    <row r="95" spans="1:24" x14ac:dyDescent="0.25">
      <c r="A95" t="s">
        <v>17</v>
      </c>
      <c r="B95" t="s">
        <v>18</v>
      </c>
      <c r="C95" t="s">
        <v>19</v>
      </c>
      <c r="D95" t="s">
        <v>276</v>
      </c>
      <c r="E95" t="s">
        <v>277</v>
      </c>
      <c r="F95" t="s">
        <v>293</v>
      </c>
      <c r="G95">
        <v>0</v>
      </c>
      <c r="H95">
        <f t="shared" si="2"/>
        <v>0</v>
      </c>
      <c r="I95">
        <f t="shared" si="3"/>
        <v>0</v>
      </c>
      <c r="J95">
        <v>0</v>
      </c>
      <c r="K95">
        <v>0</v>
      </c>
      <c r="L95">
        <v>0</v>
      </c>
      <c r="M95" t="s">
        <v>284</v>
      </c>
      <c r="N95" s="1">
        <v>45819</v>
      </c>
      <c r="O95" t="s">
        <v>191</v>
      </c>
      <c r="P95" t="s">
        <v>192</v>
      </c>
      <c r="Q95" t="s">
        <v>25</v>
      </c>
      <c r="R95" t="s">
        <v>285</v>
      </c>
      <c r="S95" s="1">
        <v>45819</v>
      </c>
      <c r="T95" t="s">
        <v>286</v>
      </c>
      <c r="U95">
        <v>363.44</v>
      </c>
      <c r="V95">
        <v>0</v>
      </c>
      <c r="W95">
        <v>65.42</v>
      </c>
      <c r="X95">
        <v>428.86</v>
      </c>
    </row>
    <row r="96" spans="1:24" x14ac:dyDescent="0.25">
      <c r="A96" t="s">
        <v>17</v>
      </c>
      <c r="B96" t="s">
        <v>18</v>
      </c>
      <c r="C96" t="s">
        <v>19</v>
      </c>
      <c r="D96" t="s">
        <v>276</v>
      </c>
      <c r="E96" t="s">
        <v>277</v>
      </c>
      <c r="F96" t="s">
        <v>292</v>
      </c>
      <c r="G96">
        <v>0</v>
      </c>
      <c r="H96">
        <f t="shared" si="2"/>
        <v>0</v>
      </c>
      <c r="I96">
        <f t="shared" si="3"/>
        <v>0</v>
      </c>
      <c r="J96">
        <v>0</v>
      </c>
      <c r="K96">
        <v>0</v>
      </c>
      <c r="L96">
        <v>0</v>
      </c>
      <c r="M96" t="s">
        <v>53</v>
      </c>
      <c r="N96" s="1">
        <v>45822</v>
      </c>
      <c r="O96" t="s">
        <v>54</v>
      </c>
      <c r="P96" t="s">
        <v>55</v>
      </c>
      <c r="Q96" t="s">
        <v>25</v>
      </c>
      <c r="R96" t="s">
        <v>56</v>
      </c>
      <c r="S96" s="1">
        <v>45824</v>
      </c>
      <c r="T96" t="s">
        <v>27</v>
      </c>
      <c r="U96">
        <v>440</v>
      </c>
      <c r="V96">
        <v>220</v>
      </c>
      <c r="W96">
        <v>39.6</v>
      </c>
      <c r="X96">
        <v>259.60000000000002</v>
      </c>
    </row>
    <row r="97" spans="1:24" x14ac:dyDescent="0.25">
      <c r="A97" t="s">
        <v>17</v>
      </c>
      <c r="B97" t="s">
        <v>18</v>
      </c>
      <c r="C97" t="s">
        <v>19</v>
      </c>
      <c r="D97" t="s">
        <v>276</v>
      </c>
      <c r="E97" t="s">
        <v>277</v>
      </c>
      <c r="F97" t="s">
        <v>293</v>
      </c>
      <c r="G97">
        <v>0</v>
      </c>
      <c r="H97">
        <f t="shared" si="2"/>
        <v>0</v>
      </c>
      <c r="I97">
        <f t="shared" si="3"/>
        <v>0</v>
      </c>
      <c r="J97">
        <v>0</v>
      </c>
      <c r="K97">
        <v>0</v>
      </c>
      <c r="L97">
        <v>0</v>
      </c>
      <c r="M97" t="s">
        <v>287</v>
      </c>
      <c r="N97" s="1">
        <v>45822</v>
      </c>
      <c r="O97" t="s">
        <v>288</v>
      </c>
      <c r="P97" t="s">
        <v>289</v>
      </c>
      <c r="Q97" t="s">
        <v>31</v>
      </c>
      <c r="R97" t="s">
        <v>290</v>
      </c>
      <c r="S97" s="1">
        <v>45822</v>
      </c>
      <c r="T97" t="s">
        <v>286</v>
      </c>
      <c r="U97">
        <v>363.44</v>
      </c>
      <c r="V97">
        <v>0</v>
      </c>
      <c r="W97">
        <v>65.42</v>
      </c>
      <c r="X97">
        <v>428.86</v>
      </c>
    </row>
    <row r="98" spans="1:24" x14ac:dyDescent="0.25">
      <c r="A98" t="s">
        <v>17</v>
      </c>
      <c r="B98" t="s">
        <v>18</v>
      </c>
      <c r="C98" t="s">
        <v>19</v>
      </c>
      <c r="D98" t="s">
        <v>276</v>
      </c>
      <c r="E98" t="s">
        <v>277</v>
      </c>
      <c r="F98" t="s">
        <v>293</v>
      </c>
      <c r="G98">
        <v>0</v>
      </c>
      <c r="H98">
        <f t="shared" si="2"/>
        <v>0</v>
      </c>
      <c r="I98">
        <f t="shared" si="3"/>
        <v>0</v>
      </c>
      <c r="J98">
        <v>0</v>
      </c>
      <c r="K98">
        <v>0</v>
      </c>
      <c r="L98">
        <v>0</v>
      </c>
      <c r="M98" t="s">
        <v>263</v>
      </c>
      <c r="N98" s="1">
        <v>45822</v>
      </c>
      <c r="O98" t="s">
        <v>264</v>
      </c>
      <c r="P98" t="s">
        <v>265</v>
      </c>
      <c r="Q98" t="s">
        <v>36</v>
      </c>
      <c r="R98" t="s">
        <v>266</v>
      </c>
      <c r="S98" s="1">
        <v>45822</v>
      </c>
      <c r="T98" t="s">
        <v>27</v>
      </c>
      <c r="U98">
        <v>440</v>
      </c>
      <c r="V98">
        <v>220</v>
      </c>
      <c r="W98">
        <v>39.6</v>
      </c>
      <c r="X98">
        <v>259.60000000000002</v>
      </c>
    </row>
    <row r="99" spans="1:24" x14ac:dyDescent="0.25">
      <c r="A99" t="s">
        <v>17</v>
      </c>
      <c r="B99" t="s">
        <v>18</v>
      </c>
      <c r="C99" t="s">
        <v>19</v>
      </c>
      <c r="D99" t="s">
        <v>276</v>
      </c>
      <c r="E99" t="s">
        <v>277</v>
      </c>
      <c r="F99" t="s">
        <v>292</v>
      </c>
      <c r="G99">
        <v>0</v>
      </c>
      <c r="H99">
        <f t="shared" si="2"/>
        <v>0</v>
      </c>
      <c r="I99">
        <f t="shared" si="3"/>
        <v>0</v>
      </c>
      <c r="J99">
        <v>0</v>
      </c>
      <c r="K99">
        <v>0</v>
      </c>
      <c r="L99">
        <v>0</v>
      </c>
      <c r="M99" t="s">
        <v>131</v>
      </c>
      <c r="N99" s="1">
        <v>45824</v>
      </c>
      <c r="O99" t="s">
        <v>132</v>
      </c>
      <c r="P99" t="s">
        <v>133</v>
      </c>
      <c r="Q99" t="s">
        <v>41</v>
      </c>
      <c r="R99" t="s">
        <v>134</v>
      </c>
      <c r="S99" s="1">
        <v>45824</v>
      </c>
      <c r="T99" t="s">
        <v>27</v>
      </c>
      <c r="U99">
        <v>440</v>
      </c>
      <c r="V99">
        <v>220</v>
      </c>
      <c r="W99">
        <v>39.6</v>
      </c>
      <c r="X99">
        <v>259.60000000000002</v>
      </c>
    </row>
    <row r="100" spans="1:24" x14ac:dyDescent="0.25">
      <c r="A100" t="s">
        <v>17</v>
      </c>
      <c r="B100" t="s">
        <v>18</v>
      </c>
      <c r="C100" t="s">
        <v>19</v>
      </c>
      <c r="D100" t="s">
        <v>276</v>
      </c>
      <c r="E100" t="s">
        <v>277</v>
      </c>
      <c r="F100" t="s">
        <v>293</v>
      </c>
      <c r="G100">
        <v>0</v>
      </c>
      <c r="H100">
        <f t="shared" si="2"/>
        <v>0</v>
      </c>
      <c r="I100">
        <f t="shared" si="3"/>
        <v>0</v>
      </c>
      <c r="J100">
        <v>0</v>
      </c>
      <c r="K100">
        <v>0</v>
      </c>
      <c r="L100">
        <v>0</v>
      </c>
      <c r="M100" t="s">
        <v>67</v>
      </c>
      <c r="N100" s="1">
        <v>45825</v>
      </c>
      <c r="O100" t="s">
        <v>68</v>
      </c>
      <c r="P100" t="s">
        <v>69</v>
      </c>
      <c r="Q100" t="s">
        <v>25</v>
      </c>
      <c r="R100" t="s">
        <v>70</v>
      </c>
      <c r="S100" s="1">
        <v>45825</v>
      </c>
      <c r="T100" t="s">
        <v>27</v>
      </c>
      <c r="U100">
        <v>440</v>
      </c>
      <c r="V100">
        <v>220</v>
      </c>
      <c r="W100">
        <v>39.6</v>
      </c>
      <c r="X100">
        <v>259.60000000000002</v>
      </c>
    </row>
    <row r="101" spans="1:24" x14ac:dyDescent="0.25">
      <c r="A101" t="s">
        <v>17</v>
      </c>
      <c r="B101" t="s">
        <v>18</v>
      </c>
      <c r="C101" t="s">
        <v>19</v>
      </c>
      <c r="D101" t="s">
        <v>276</v>
      </c>
      <c r="E101" t="s">
        <v>277</v>
      </c>
      <c r="F101" t="s">
        <v>292</v>
      </c>
      <c r="G101">
        <v>0</v>
      </c>
      <c r="H101">
        <f t="shared" si="2"/>
        <v>0</v>
      </c>
      <c r="I101">
        <f t="shared" si="3"/>
        <v>0</v>
      </c>
      <c r="J101">
        <v>0</v>
      </c>
      <c r="K101">
        <v>0</v>
      </c>
      <c r="L101">
        <v>0</v>
      </c>
      <c r="M101" t="s">
        <v>139</v>
      </c>
      <c r="N101" s="1">
        <v>45825</v>
      </c>
      <c r="O101" t="s">
        <v>140</v>
      </c>
      <c r="P101" t="s">
        <v>141</v>
      </c>
      <c r="Q101" t="s">
        <v>142</v>
      </c>
      <c r="R101" t="s">
        <v>143</v>
      </c>
      <c r="S101" s="1">
        <v>45827</v>
      </c>
      <c r="T101" t="s">
        <v>27</v>
      </c>
      <c r="U101">
        <v>510</v>
      </c>
      <c r="V101">
        <v>255</v>
      </c>
      <c r="W101">
        <v>45.9</v>
      </c>
      <c r="X101">
        <v>300.89999999999998</v>
      </c>
    </row>
    <row r="102" spans="1:24" x14ac:dyDescent="0.25">
      <c r="A102" t="s">
        <v>17</v>
      </c>
      <c r="B102" t="s">
        <v>18</v>
      </c>
      <c r="C102" t="s">
        <v>19</v>
      </c>
      <c r="D102" t="s">
        <v>276</v>
      </c>
      <c r="E102" t="s">
        <v>277</v>
      </c>
      <c r="F102" t="s">
        <v>292</v>
      </c>
      <c r="G102">
        <v>0</v>
      </c>
      <c r="H102">
        <f t="shared" si="2"/>
        <v>0</v>
      </c>
      <c r="I102">
        <f t="shared" si="3"/>
        <v>0</v>
      </c>
      <c r="J102">
        <v>0</v>
      </c>
      <c r="K102">
        <v>0</v>
      </c>
      <c r="L102">
        <v>0</v>
      </c>
      <c r="M102" t="s">
        <v>144</v>
      </c>
      <c r="N102" s="1">
        <v>45827</v>
      </c>
      <c r="O102" t="s">
        <v>145</v>
      </c>
      <c r="P102" t="s">
        <v>146</v>
      </c>
      <c r="Q102" t="s">
        <v>104</v>
      </c>
      <c r="R102" t="s">
        <v>147</v>
      </c>
      <c r="S102" s="1">
        <v>45827</v>
      </c>
      <c r="T102" t="s">
        <v>27</v>
      </c>
      <c r="U102">
        <v>440</v>
      </c>
      <c r="V102">
        <v>0</v>
      </c>
      <c r="W102">
        <v>79.2</v>
      </c>
      <c r="X102">
        <v>519.20000000000005</v>
      </c>
    </row>
    <row r="103" spans="1:24" x14ac:dyDescent="0.25">
      <c r="A103" t="s">
        <v>17</v>
      </c>
      <c r="B103" t="s">
        <v>18</v>
      </c>
      <c r="C103" t="s">
        <v>19</v>
      </c>
      <c r="D103" t="s">
        <v>276</v>
      </c>
      <c r="E103" t="s">
        <v>277</v>
      </c>
      <c r="F103" t="s">
        <v>292</v>
      </c>
      <c r="G103">
        <v>0</v>
      </c>
      <c r="H103">
        <f t="shared" si="2"/>
        <v>0</v>
      </c>
      <c r="I103">
        <f t="shared" si="3"/>
        <v>0</v>
      </c>
      <c r="J103">
        <v>0</v>
      </c>
      <c r="K103">
        <v>0</v>
      </c>
      <c r="L103">
        <v>0</v>
      </c>
      <c r="M103" t="s">
        <v>152</v>
      </c>
      <c r="N103" s="1">
        <v>45828</v>
      </c>
      <c r="O103" t="s">
        <v>153</v>
      </c>
      <c r="P103" t="s">
        <v>154</v>
      </c>
      <c r="Q103" t="s">
        <v>36</v>
      </c>
      <c r="R103" t="s">
        <v>155</v>
      </c>
      <c r="S103" s="1">
        <v>45828</v>
      </c>
      <c r="T103" t="s">
        <v>27</v>
      </c>
      <c r="U103">
        <v>440</v>
      </c>
      <c r="V103">
        <v>220</v>
      </c>
      <c r="W103">
        <v>39.6</v>
      </c>
      <c r="X103">
        <v>259.60000000000002</v>
      </c>
    </row>
    <row r="104" spans="1:24" x14ac:dyDescent="0.25">
      <c r="A104" t="s">
        <v>17</v>
      </c>
      <c r="B104" t="s">
        <v>18</v>
      </c>
      <c r="C104" t="s">
        <v>19</v>
      </c>
      <c r="D104" t="s">
        <v>276</v>
      </c>
      <c r="E104" t="s">
        <v>277</v>
      </c>
      <c r="F104" t="s">
        <v>293</v>
      </c>
      <c r="G104">
        <v>0</v>
      </c>
      <c r="H104">
        <f t="shared" si="2"/>
        <v>0</v>
      </c>
      <c r="I104">
        <f t="shared" si="3"/>
        <v>0</v>
      </c>
      <c r="J104">
        <v>0</v>
      </c>
      <c r="K104">
        <v>0</v>
      </c>
      <c r="L104">
        <v>0</v>
      </c>
      <c r="M104" t="s">
        <v>267</v>
      </c>
      <c r="N104" s="1">
        <v>45832</v>
      </c>
      <c r="O104" t="s">
        <v>268</v>
      </c>
      <c r="P104" t="s">
        <v>269</v>
      </c>
      <c r="Q104" t="s">
        <v>270</v>
      </c>
      <c r="R104" t="s">
        <v>271</v>
      </c>
      <c r="S104" s="1">
        <v>45832</v>
      </c>
      <c r="T104" t="s">
        <v>27</v>
      </c>
      <c r="U104">
        <v>440</v>
      </c>
      <c r="V104">
        <v>220</v>
      </c>
      <c r="W104">
        <v>39.6</v>
      </c>
      <c r="X104">
        <v>259.60000000000002</v>
      </c>
    </row>
    <row r="105" spans="1:24" x14ac:dyDescent="0.25">
      <c r="A105" t="s">
        <v>17</v>
      </c>
      <c r="B105" t="s">
        <v>18</v>
      </c>
      <c r="C105" t="s">
        <v>19</v>
      </c>
      <c r="D105" t="s">
        <v>276</v>
      </c>
      <c r="E105" t="s">
        <v>277</v>
      </c>
      <c r="F105" t="s">
        <v>292</v>
      </c>
      <c r="G105">
        <v>0</v>
      </c>
      <c r="H105">
        <f t="shared" si="2"/>
        <v>0</v>
      </c>
      <c r="I105">
        <f t="shared" si="3"/>
        <v>0</v>
      </c>
      <c r="J105">
        <v>0</v>
      </c>
      <c r="K105">
        <v>0</v>
      </c>
      <c r="L105">
        <v>0</v>
      </c>
      <c r="M105" t="s">
        <v>156</v>
      </c>
      <c r="N105" s="1">
        <v>45832</v>
      </c>
      <c r="O105" t="s">
        <v>157</v>
      </c>
      <c r="P105" t="s">
        <v>158</v>
      </c>
      <c r="Q105" t="s">
        <v>159</v>
      </c>
      <c r="R105" t="s">
        <v>160</v>
      </c>
      <c r="S105" s="1">
        <v>45832</v>
      </c>
      <c r="T105" t="s">
        <v>27</v>
      </c>
      <c r="U105">
        <v>440</v>
      </c>
      <c r="V105">
        <v>220</v>
      </c>
      <c r="W105">
        <v>39.6</v>
      </c>
      <c r="X105">
        <v>259.60000000000002</v>
      </c>
    </row>
    <row r="106" spans="1:24" x14ac:dyDescent="0.25">
      <c r="A106" t="s">
        <v>17</v>
      </c>
      <c r="B106" t="s">
        <v>18</v>
      </c>
      <c r="C106" t="s">
        <v>19</v>
      </c>
      <c r="D106" t="s">
        <v>276</v>
      </c>
      <c r="E106" t="s">
        <v>277</v>
      </c>
      <c r="F106" t="s">
        <v>293</v>
      </c>
      <c r="G106">
        <v>0</v>
      </c>
      <c r="H106">
        <f t="shared" si="2"/>
        <v>0</v>
      </c>
      <c r="I106">
        <f t="shared" si="3"/>
        <v>0</v>
      </c>
      <c r="J106">
        <v>0</v>
      </c>
      <c r="K106">
        <v>0</v>
      </c>
      <c r="L106">
        <v>0</v>
      </c>
      <c r="M106" t="s">
        <v>272</v>
      </c>
      <c r="N106" s="1">
        <v>45834</v>
      </c>
      <c r="O106" t="s">
        <v>273</v>
      </c>
      <c r="P106" t="s">
        <v>274</v>
      </c>
      <c r="Q106" t="s">
        <v>31</v>
      </c>
      <c r="R106" t="s">
        <v>275</v>
      </c>
      <c r="S106" s="1">
        <v>45838</v>
      </c>
      <c r="T106" t="s">
        <v>27</v>
      </c>
      <c r="U106">
        <v>440</v>
      </c>
      <c r="V106">
        <v>220</v>
      </c>
      <c r="W106">
        <v>39.6</v>
      </c>
      <c r="X106">
        <v>259.60000000000002</v>
      </c>
    </row>
    <row r="107" spans="1:24" x14ac:dyDescent="0.25">
      <c r="A107" t="s">
        <v>17</v>
      </c>
      <c r="B107" t="s">
        <v>18</v>
      </c>
      <c r="C107" t="s">
        <v>19</v>
      </c>
      <c r="D107" t="s">
        <v>276</v>
      </c>
      <c r="E107" t="s">
        <v>277</v>
      </c>
      <c r="F107" t="s">
        <v>292</v>
      </c>
      <c r="G107">
        <v>0</v>
      </c>
      <c r="H107">
        <f t="shared" si="2"/>
        <v>0</v>
      </c>
      <c r="I107">
        <f t="shared" si="3"/>
        <v>0</v>
      </c>
      <c r="J107">
        <v>0</v>
      </c>
      <c r="K107">
        <v>0</v>
      </c>
      <c r="L107">
        <v>0</v>
      </c>
      <c r="M107" t="s">
        <v>244</v>
      </c>
      <c r="N107" s="1">
        <v>45835</v>
      </c>
      <c r="O107" t="s">
        <v>245</v>
      </c>
      <c r="P107" t="s">
        <v>246</v>
      </c>
      <c r="Q107" t="s">
        <v>188</v>
      </c>
      <c r="R107" t="s">
        <v>247</v>
      </c>
      <c r="S107" s="1">
        <v>45838</v>
      </c>
      <c r="T107" t="s">
        <v>27</v>
      </c>
      <c r="U107">
        <v>440</v>
      </c>
      <c r="V107">
        <v>220</v>
      </c>
      <c r="W107">
        <v>39.6</v>
      </c>
      <c r="X107">
        <v>259.60000000000002</v>
      </c>
    </row>
    <row r="108" spans="1:24" x14ac:dyDescent="0.25">
      <c r="A108" t="s">
        <v>17</v>
      </c>
      <c r="B108" t="s">
        <v>18</v>
      </c>
      <c r="C108" t="s">
        <v>19</v>
      </c>
      <c r="D108" t="s">
        <v>276</v>
      </c>
      <c r="E108" t="s">
        <v>277</v>
      </c>
      <c r="F108" t="s">
        <v>292</v>
      </c>
      <c r="G108">
        <v>0</v>
      </c>
      <c r="H108">
        <f t="shared" si="2"/>
        <v>0</v>
      </c>
      <c r="I108">
        <f t="shared" si="3"/>
        <v>0</v>
      </c>
      <c r="J108">
        <v>0</v>
      </c>
      <c r="K108">
        <v>0</v>
      </c>
      <c r="L108">
        <v>0</v>
      </c>
      <c r="M108" t="s">
        <v>248</v>
      </c>
      <c r="N108" s="1">
        <v>45836</v>
      </c>
      <c r="O108" t="s">
        <v>249</v>
      </c>
      <c r="P108" t="s">
        <v>250</v>
      </c>
      <c r="Q108" t="s">
        <v>46</v>
      </c>
      <c r="R108" t="s">
        <v>251</v>
      </c>
      <c r="S108" s="1">
        <v>45836</v>
      </c>
      <c r="T108" t="s">
        <v>27</v>
      </c>
      <c r="U108">
        <v>390</v>
      </c>
      <c r="V108">
        <v>195</v>
      </c>
      <c r="W108">
        <v>35.1</v>
      </c>
      <c r="X108">
        <v>230.1</v>
      </c>
    </row>
    <row r="109" spans="1:24" x14ac:dyDescent="0.25">
      <c r="A109" t="s">
        <v>17</v>
      </c>
      <c r="B109" t="s">
        <v>18</v>
      </c>
      <c r="C109" t="s">
        <v>19</v>
      </c>
      <c r="D109" t="s">
        <v>276</v>
      </c>
      <c r="E109" t="s">
        <v>277</v>
      </c>
      <c r="F109" t="s">
        <v>293</v>
      </c>
      <c r="G109">
        <v>0</v>
      </c>
      <c r="H109">
        <f t="shared" si="2"/>
        <v>0</v>
      </c>
      <c r="I109">
        <f t="shared" si="3"/>
        <v>0</v>
      </c>
      <c r="J109">
        <v>0</v>
      </c>
      <c r="K109">
        <v>0</v>
      </c>
      <c r="L109">
        <v>0</v>
      </c>
      <c r="M109" t="s">
        <v>101</v>
      </c>
      <c r="N109" s="1">
        <v>45836</v>
      </c>
      <c r="O109" t="s">
        <v>102</v>
      </c>
      <c r="P109" t="s">
        <v>103</v>
      </c>
      <c r="Q109" t="s">
        <v>104</v>
      </c>
      <c r="R109" t="s">
        <v>105</v>
      </c>
      <c r="S109" s="1">
        <v>45837</v>
      </c>
      <c r="T109" t="s">
        <v>27</v>
      </c>
      <c r="U109">
        <v>440</v>
      </c>
      <c r="V109">
        <v>220</v>
      </c>
      <c r="W109">
        <v>39.6</v>
      </c>
      <c r="X109">
        <v>259.60000000000002</v>
      </c>
    </row>
    <row r="110" spans="1:24" x14ac:dyDescent="0.25">
      <c r="A110" t="s">
        <v>17</v>
      </c>
      <c r="B110" t="s">
        <v>18</v>
      </c>
      <c r="C110" t="s">
        <v>19</v>
      </c>
      <c r="D110" t="s">
        <v>276</v>
      </c>
      <c r="E110" t="s">
        <v>277</v>
      </c>
      <c r="F110" t="s">
        <v>292</v>
      </c>
      <c r="G110">
        <v>0</v>
      </c>
      <c r="H110">
        <f t="shared" si="2"/>
        <v>0</v>
      </c>
      <c r="I110">
        <f t="shared" si="3"/>
        <v>0</v>
      </c>
      <c r="J110">
        <v>0</v>
      </c>
      <c r="K110">
        <v>0</v>
      </c>
      <c r="L110">
        <v>0</v>
      </c>
      <c r="M110" t="s">
        <v>252</v>
      </c>
      <c r="N110" s="1">
        <v>45837</v>
      </c>
      <c r="O110" t="s">
        <v>253</v>
      </c>
      <c r="P110" t="s">
        <v>254</v>
      </c>
      <c r="Q110" t="s">
        <v>255</v>
      </c>
      <c r="R110" t="s">
        <v>256</v>
      </c>
      <c r="S110" s="1">
        <v>45837</v>
      </c>
      <c r="T110" t="s">
        <v>27</v>
      </c>
      <c r="U110">
        <v>390</v>
      </c>
      <c r="V110">
        <v>195</v>
      </c>
      <c r="W110">
        <v>35.1</v>
      </c>
      <c r="X110">
        <v>230.1</v>
      </c>
    </row>
  </sheetData>
  <autoFilter ref="A1:X110"/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8"/>
  <sheetViews>
    <sheetView workbookViewId="0">
      <selection activeCell="AC8" sqref="AC8"/>
    </sheetView>
  </sheetViews>
  <sheetFormatPr defaultRowHeight="15" x14ac:dyDescent="0.25"/>
  <cols>
    <col min="1" max="1" width="17.28515625" bestFit="1" customWidth="1"/>
    <col min="2" max="2" width="10.5703125" bestFit="1" customWidth="1"/>
    <col min="3" max="3" width="16.5703125" bestFit="1" customWidth="1"/>
    <col min="4" max="4" width="9.5703125" bestFit="1" customWidth="1"/>
    <col min="5" max="5" width="11.140625" bestFit="1" customWidth="1"/>
    <col min="6" max="6" width="12.140625" bestFit="1" customWidth="1"/>
    <col min="7" max="7" width="14.28515625" bestFit="1" customWidth="1"/>
    <col min="10" max="10" width="19.42578125" bestFit="1" customWidth="1"/>
    <col min="11" max="11" width="13.5703125" bestFit="1" customWidth="1"/>
    <col min="14" max="14" width="10.140625" bestFit="1" customWidth="1"/>
  </cols>
  <sheetData>
    <row r="1" spans="1:26" ht="15.75" thickBot="1" x14ac:dyDescent="0.3">
      <c r="I1" s="21" t="s">
        <v>324</v>
      </c>
      <c r="J1" s="22" t="s">
        <v>308</v>
      </c>
      <c r="K1" s="22" t="s">
        <v>310</v>
      </c>
      <c r="L1" s="23">
        <v>0.3</v>
      </c>
      <c r="M1" s="24">
        <v>2116</v>
      </c>
      <c r="N1" s="25" t="s">
        <v>325</v>
      </c>
    </row>
    <row r="2" spans="1:26" x14ac:dyDescent="0.25">
      <c r="I2" s="26">
        <v>1</v>
      </c>
      <c r="J2" s="27" t="s">
        <v>326</v>
      </c>
      <c r="K2" s="27" t="s">
        <v>327</v>
      </c>
      <c r="L2" s="27">
        <v>5.5</v>
      </c>
      <c r="M2" s="28">
        <f>+M1*L2/30</f>
        <v>387.93333333333334</v>
      </c>
      <c r="N2" s="27" t="s">
        <v>328</v>
      </c>
    </row>
    <row r="3" spans="1:26" x14ac:dyDescent="0.25">
      <c r="A3" s="3" t="s">
        <v>300</v>
      </c>
      <c r="B3" t="s">
        <v>302</v>
      </c>
      <c r="C3" t="s">
        <v>303</v>
      </c>
      <c r="D3" t="s">
        <v>304</v>
      </c>
      <c r="E3" t="s">
        <v>305</v>
      </c>
      <c r="F3" t="s">
        <v>306</v>
      </c>
      <c r="G3" t="s">
        <v>307</v>
      </c>
      <c r="I3" s="26">
        <v>2</v>
      </c>
      <c r="J3" s="29" t="s">
        <v>329</v>
      </c>
      <c r="K3" s="27" t="s">
        <v>330</v>
      </c>
      <c r="L3" s="27">
        <v>5.5</v>
      </c>
      <c r="M3" s="28">
        <f>+M1*L3/30</f>
        <v>387.93333333333334</v>
      </c>
      <c r="N3" s="27" t="s">
        <v>331</v>
      </c>
    </row>
    <row r="4" spans="1:26" x14ac:dyDescent="0.25">
      <c r="A4" s="4" t="s">
        <v>292</v>
      </c>
      <c r="B4" s="5">
        <v>3750</v>
      </c>
      <c r="C4" s="5">
        <v>2625</v>
      </c>
      <c r="D4" s="5">
        <v>1125</v>
      </c>
      <c r="E4" s="5">
        <v>0</v>
      </c>
      <c r="F4" s="5">
        <v>755</v>
      </c>
      <c r="G4" s="5">
        <v>145</v>
      </c>
      <c r="I4" s="26">
        <v>3</v>
      </c>
      <c r="J4" s="27" t="s">
        <v>332</v>
      </c>
      <c r="K4" s="27" t="s">
        <v>333</v>
      </c>
      <c r="L4" s="27">
        <v>3</v>
      </c>
      <c r="M4" s="28">
        <f>+M1*L4/30</f>
        <v>211.6</v>
      </c>
      <c r="N4" s="30" t="s">
        <v>334</v>
      </c>
    </row>
    <row r="5" spans="1:26" x14ac:dyDescent="0.25">
      <c r="A5" s="4" t="s">
        <v>293</v>
      </c>
      <c r="B5" s="5">
        <v>2820</v>
      </c>
      <c r="C5" s="5">
        <v>1974</v>
      </c>
      <c r="D5" s="5">
        <v>846</v>
      </c>
      <c r="E5" s="5">
        <v>4</v>
      </c>
      <c r="F5" s="5">
        <v>555</v>
      </c>
      <c r="G5" s="5">
        <v>190</v>
      </c>
      <c r="I5" s="26">
        <v>4</v>
      </c>
      <c r="J5" s="29" t="s">
        <v>335</v>
      </c>
      <c r="K5" s="29" t="s">
        <v>336</v>
      </c>
      <c r="L5" s="27">
        <v>4</v>
      </c>
      <c r="M5" s="28">
        <f>+M1*L5/30</f>
        <v>282.13333333333333</v>
      </c>
      <c r="N5" s="27" t="s">
        <v>337</v>
      </c>
    </row>
    <row r="6" spans="1:26" x14ac:dyDescent="0.25">
      <c r="A6" s="4" t="s">
        <v>294</v>
      </c>
      <c r="B6" s="5">
        <v>485</v>
      </c>
      <c r="C6" s="5">
        <v>339.5</v>
      </c>
      <c r="D6" s="5">
        <v>145.5</v>
      </c>
      <c r="E6" s="5">
        <v>0</v>
      </c>
      <c r="F6" s="5">
        <v>150</v>
      </c>
      <c r="G6" s="5">
        <v>0</v>
      </c>
      <c r="I6" s="26">
        <v>5</v>
      </c>
      <c r="J6" s="27" t="s">
        <v>338</v>
      </c>
      <c r="K6" s="27" t="s">
        <v>339</v>
      </c>
      <c r="L6" s="27">
        <v>2</v>
      </c>
      <c r="M6" s="28">
        <f>+M1*L6/30</f>
        <v>141.06666666666666</v>
      </c>
      <c r="N6" s="30" t="s">
        <v>340</v>
      </c>
      <c r="U6">
        <v>31</v>
      </c>
      <c r="Z6">
        <v>2</v>
      </c>
    </row>
    <row r="7" spans="1:26" x14ac:dyDescent="0.25">
      <c r="A7" s="4" t="s">
        <v>301</v>
      </c>
      <c r="B7" s="5">
        <v>7055</v>
      </c>
      <c r="C7" s="5">
        <v>4938.5</v>
      </c>
      <c r="D7" s="5">
        <v>2116.5</v>
      </c>
      <c r="E7" s="5">
        <v>4</v>
      </c>
      <c r="F7" s="5">
        <v>1460</v>
      </c>
      <c r="G7" s="5">
        <v>335</v>
      </c>
      <c r="I7" s="26">
        <v>6</v>
      </c>
      <c r="J7" s="27" t="s">
        <v>341</v>
      </c>
      <c r="K7" s="27" t="s">
        <v>342</v>
      </c>
      <c r="L7" s="27">
        <v>1</v>
      </c>
      <c r="M7" s="28">
        <f>+M1*L7/30</f>
        <v>70.533333333333331</v>
      </c>
      <c r="N7" s="27" t="s">
        <v>343</v>
      </c>
    </row>
    <row r="8" spans="1:26" x14ac:dyDescent="0.25">
      <c r="I8" s="26">
        <v>7</v>
      </c>
      <c r="J8" s="27" t="s">
        <v>344</v>
      </c>
      <c r="K8" s="27" t="s">
        <v>345</v>
      </c>
      <c r="L8" s="27">
        <v>1</v>
      </c>
      <c r="M8" s="28">
        <f>+M1*L8/30</f>
        <v>70.533333333333331</v>
      </c>
      <c r="N8" s="31" t="s">
        <v>346</v>
      </c>
    </row>
    <row r="9" spans="1:26" x14ac:dyDescent="0.25">
      <c r="A9" s="6" t="s">
        <v>308</v>
      </c>
      <c r="B9" s="6" t="s">
        <v>309</v>
      </c>
      <c r="C9" s="6" t="s">
        <v>310</v>
      </c>
      <c r="D9" s="6" t="s">
        <v>311</v>
      </c>
      <c r="E9" s="6" t="s">
        <v>312</v>
      </c>
      <c r="I9" s="26">
        <v>8</v>
      </c>
      <c r="J9" s="27" t="s">
        <v>347</v>
      </c>
      <c r="K9" s="27" t="s">
        <v>348</v>
      </c>
      <c r="L9" s="27">
        <v>2</v>
      </c>
      <c r="M9" s="28">
        <f>+M1*L9/30</f>
        <v>141.06666666666666</v>
      </c>
      <c r="N9" s="7" t="s">
        <v>349</v>
      </c>
    </row>
    <row r="10" spans="1:26" x14ac:dyDescent="0.25">
      <c r="A10" s="7" t="s">
        <v>313</v>
      </c>
      <c r="B10" s="8" t="s">
        <v>314</v>
      </c>
      <c r="C10" s="9" t="s">
        <v>315</v>
      </c>
      <c r="D10" s="10">
        <f>D13*E10%</f>
        <v>439.2</v>
      </c>
      <c r="E10" s="10">
        <v>30</v>
      </c>
      <c r="I10" s="26">
        <v>9</v>
      </c>
      <c r="J10" s="27" t="s">
        <v>350</v>
      </c>
      <c r="K10" s="27" t="s">
        <v>351</v>
      </c>
      <c r="L10" s="27">
        <v>1</v>
      </c>
      <c r="M10" s="28">
        <f>+M1*L10/30</f>
        <v>70.533333333333331</v>
      </c>
      <c r="N10" s="27" t="s">
        <v>352</v>
      </c>
    </row>
    <row r="11" spans="1:26" x14ac:dyDescent="0.25">
      <c r="A11" s="7" t="s">
        <v>316</v>
      </c>
      <c r="B11" s="11" t="s">
        <v>317</v>
      </c>
      <c r="C11" s="12" t="s">
        <v>318</v>
      </c>
      <c r="D11" s="10">
        <f>D13*E11%</f>
        <v>980.88000000000011</v>
      </c>
      <c r="E11" s="10">
        <v>67</v>
      </c>
      <c r="I11" s="26">
        <v>10</v>
      </c>
      <c r="J11" s="29" t="s">
        <v>353</v>
      </c>
      <c r="K11" s="29" t="s">
        <v>354</v>
      </c>
      <c r="L11" s="27">
        <v>1</v>
      </c>
      <c r="M11" s="28">
        <f>+M1*L11/30</f>
        <v>70.533333333333331</v>
      </c>
      <c r="N11" s="27" t="s">
        <v>355</v>
      </c>
    </row>
    <row r="12" spans="1:26" x14ac:dyDescent="0.25">
      <c r="A12" s="7" t="s">
        <v>319</v>
      </c>
      <c r="B12" s="7" t="s">
        <v>320</v>
      </c>
      <c r="C12" s="13" t="s">
        <v>319</v>
      </c>
      <c r="D12" s="10">
        <f>D13*E12%</f>
        <v>43.92</v>
      </c>
      <c r="E12" s="10">
        <v>3</v>
      </c>
      <c r="I12" s="26">
        <v>11</v>
      </c>
      <c r="J12" s="27" t="s">
        <v>356</v>
      </c>
      <c r="K12" s="27" t="s">
        <v>357</v>
      </c>
      <c r="L12" s="27">
        <v>1</v>
      </c>
      <c r="M12" s="28">
        <f>+M1*L12/30</f>
        <v>70.533333333333331</v>
      </c>
      <c r="N12" s="27" t="s">
        <v>320</v>
      </c>
    </row>
    <row r="13" spans="1:26" ht="16.5" thickBot="1" x14ac:dyDescent="0.3">
      <c r="A13" s="14"/>
      <c r="B13" s="14"/>
      <c r="C13" s="15" t="s">
        <v>321</v>
      </c>
      <c r="D13" s="16">
        <v>1464</v>
      </c>
      <c r="E13" s="17">
        <f>SUM(E10:E12)</f>
        <v>100</v>
      </c>
      <c r="I13" s="26">
        <v>12</v>
      </c>
      <c r="J13" s="27" t="s">
        <v>358</v>
      </c>
      <c r="K13" s="27" t="s">
        <v>359</v>
      </c>
      <c r="L13" s="27">
        <v>1</v>
      </c>
      <c r="M13" s="28">
        <f>+M1*L13/30</f>
        <v>70.533333333333331</v>
      </c>
      <c r="N13" s="27" t="s">
        <v>360</v>
      </c>
    </row>
    <row r="14" spans="1:26" x14ac:dyDescent="0.25">
      <c r="I14" s="26">
        <v>13</v>
      </c>
      <c r="J14" s="27" t="s">
        <v>361</v>
      </c>
      <c r="K14" s="27" t="s">
        <v>362</v>
      </c>
      <c r="L14" s="27">
        <v>2</v>
      </c>
      <c r="M14" s="28">
        <f>+M1*L14/30</f>
        <v>141.06666666666666</v>
      </c>
      <c r="N14" s="27" t="s">
        <v>363</v>
      </c>
    </row>
    <row r="15" spans="1:26" x14ac:dyDescent="0.25">
      <c r="F15" s="18" t="s">
        <v>322</v>
      </c>
      <c r="G15" s="18">
        <f>45*7</f>
        <v>315</v>
      </c>
    </row>
    <row r="16" spans="1:26" x14ac:dyDescent="0.25">
      <c r="F16" s="18" t="s">
        <v>323</v>
      </c>
      <c r="G16" s="18">
        <f>2*3</f>
        <v>6</v>
      </c>
    </row>
    <row r="17" spans="6:9" ht="15.75" x14ac:dyDescent="0.25">
      <c r="F17" s="19"/>
      <c r="G17" s="20">
        <f>SUM(G15:G16)</f>
        <v>321</v>
      </c>
    </row>
    <row r="18" spans="6:9" ht="15.75" x14ac:dyDescent="0.25">
      <c r="I18" s="51">
        <f>GETPIVOTDATA("Sum of 100",$A$3)+GETPIVOTDATA("Sum of MGA",$A$3)+GETPIVOTDATA("Sum of VAS",$A$3)+GETPIVOTDATA("Sum of VAS CO",$A$3)+G17</f>
        <v>9175</v>
      </c>
    </row>
  </sheetData>
  <pageMargins left="0.70866141732283472" right="0.70866141732283472" top="0.74803149606299213" bottom="0.74803149606299213" header="0.31496062992125984" footer="0.31496062992125984"/>
  <pageSetup paperSize="9" scale="76" orientation="landscape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2"/>
  <sheetViews>
    <sheetView topLeftCell="J1" workbookViewId="0">
      <selection activeCell="AC8" sqref="AC8"/>
    </sheetView>
  </sheetViews>
  <sheetFormatPr defaultRowHeight="15" x14ac:dyDescent="0.25"/>
  <cols>
    <col min="20" max="20" width="13.7109375" bestFit="1" customWidth="1"/>
    <col min="21" max="21" width="17.28515625" bestFit="1" customWidth="1"/>
    <col min="23" max="23" width="49" bestFit="1" customWidth="1"/>
  </cols>
  <sheetData>
    <row r="1" spans="1:46" x14ac:dyDescent="0.25">
      <c r="E1" t="s">
        <v>366</v>
      </c>
    </row>
    <row r="2" spans="1:46" x14ac:dyDescent="0.25">
      <c r="E2" t="s">
        <v>367</v>
      </c>
    </row>
    <row r="3" spans="1:46" x14ac:dyDescent="0.25">
      <c r="E3" t="s">
        <v>368</v>
      </c>
    </row>
    <row r="4" spans="1:46" x14ac:dyDescent="0.25">
      <c r="E4" t="s">
        <v>369</v>
      </c>
    </row>
    <row r="5" spans="1:46" x14ac:dyDescent="0.25">
      <c r="A5" t="s">
        <v>370</v>
      </c>
      <c r="B5" t="s">
        <v>371</v>
      </c>
      <c r="C5" t="s">
        <v>372</v>
      </c>
      <c r="D5" t="s">
        <v>373</v>
      </c>
      <c r="E5" t="s">
        <v>374</v>
      </c>
      <c r="F5" t="s">
        <v>7</v>
      </c>
      <c r="G5" t="s">
        <v>375</v>
      </c>
      <c r="H5" t="s">
        <v>376</v>
      </c>
      <c r="I5" t="s">
        <v>377</v>
      </c>
      <c r="J5" t="s">
        <v>378</v>
      </c>
      <c r="K5" t="s">
        <v>379</v>
      </c>
      <c r="L5" t="s">
        <v>9</v>
      </c>
      <c r="M5" t="s">
        <v>380</v>
      </c>
      <c r="N5" t="s">
        <v>381</v>
      </c>
      <c r="O5" t="s">
        <v>382</v>
      </c>
      <c r="P5" t="s">
        <v>383</v>
      </c>
      <c r="Q5" t="s">
        <v>384</v>
      </c>
      <c r="R5" t="s">
        <v>385</v>
      </c>
      <c r="S5" t="s">
        <v>386</v>
      </c>
      <c r="T5" t="s">
        <v>387</v>
      </c>
      <c r="U5" t="s">
        <v>408</v>
      </c>
      <c r="V5" t="s">
        <v>311</v>
      </c>
      <c r="W5" t="s">
        <v>388</v>
      </c>
      <c r="X5" t="s">
        <v>389</v>
      </c>
      <c r="Y5" t="s">
        <v>390</v>
      </c>
      <c r="Z5" t="s">
        <v>391</v>
      </c>
      <c r="AA5" t="s">
        <v>392</v>
      </c>
      <c r="AB5" t="s">
        <v>393</v>
      </c>
      <c r="AC5" t="s">
        <v>394</v>
      </c>
      <c r="AD5" t="s">
        <v>395</v>
      </c>
      <c r="AE5" t="s">
        <v>396</v>
      </c>
      <c r="AF5" t="s">
        <v>397</v>
      </c>
      <c r="AG5" t="s">
        <v>398</v>
      </c>
      <c r="AH5" t="s">
        <v>399</v>
      </c>
      <c r="AI5" t="s">
        <v>400</v>
      </c>
      <c r="AJ5" t="s">
        <v>401</v>
      </c>
      <c r="AK5" t="s">
        <v>402</v>
      </c>
      <c r="AL5" t="s">
        <v>403</v>
      </c>
      <c r="AM5" t="s">
        <v>404</v>
      </c>
      <c r="AN5" t="s">
        <v>405</v>
      </c>
      <c r="AO5" t="s">
        <v>406</v>
      </c>
      <c r="AP5" t="s">
        <v>407</v>
      </c>
      <c r="AQ5" t="s">
        <v>408</v>
      </c>
      <c r="AR5" t="s">
        <v>409</v>
      </c>
      <c r="AS5" t="s">
        <v>410</v>
      </c>
      <c r="AT5" t="s">
        <v>411</v>
      </c>
    </row>
    <row r="6" spans="1:46" x14ac:dyDescent="0.25">
      <c r="A6" t="s">
        <v>19</v>
      </c>
      <c r="B6" t="s">
        <v>412</v>
      </c>
      <c r="C6" t="s">
        <v>413</v>
      </c>
      <c r="D6" t="s">
        <v>414</v>
      </c>
      <c r="E6" t="s">
        <v>415</v>
      </c>
      <c r="F6" t="s">
        <v>416</v>
      </c>
      <c r="G6" t="s">
        <v>417</v>
      </c>
      <c r="H6" t="s">
        <v>418</v>
      </c>
      <c r="I6" t="s">
        <v>419</v>
      </c>
      <c r="J6" t="s">
        <v>420</v>
      </c>
      <c r="L6" t="s">
        <v>31</v>
      </c>
      <c r="M6" t="s">
        <v>421</v>
      </c>
      <c r="N6" t="s">
        <v>289</v>
      </c>
      <c r="O6" t="s">
        <v>422</v>
      </c>
      <c r="P6">
        <v>4465949</v>
      </c>
      <c r="Q6">
        <v>750998</v>
      </c>
      <c r="R6" t="s">
        <v>414</v>
      </c>
      <c r="S6" t="s">
        <v>423</v>
      </c>
      <c r="T6" t="s">
        <v>424</v>
      </c>
      <c r="U6">
        <v>31</v>
      </c>
      <c r="V6">
        <v>100</v>
      </c>
      <c r="W6" t="s">
        <v>425</v>
      </c>
      <c r="X6">
        <v>23.4</v>
      </c>
      <c r="Y6">
        <v>2</v>
      </c>
      <c r="Z6">
        <v>2</v>
      </c>
      <c r="AA6">
        <v>7416.48</v>
      </c>
      <c r="AB6">
        <v>3537.56</v>
      </c>
      <c r="AC6">
        <v>335.62</v>
      </c>
      <c r="AD6">
        <v>3543.3</v>
      </c>
      <c r="AE6">
        <v>269.81</v>
      </c>
      <c r="AF6">
        <v>269.81</v>
      </c>
      <c r="AG6">
        <v>0</v>
      </c>
      <c r="AH6">
        <v>512.12</v>
      </c>
      <c r="AI6">
        <v>512.12</v>
      </c>
      <c r="AJ6">
        <v>0</v>
      </c>
      <c r="AK6">
        <v>0</v>
      </c>
      <c r="AL6">
        <v>6904.36</v>
      </c>
      <c r="AM6">
        <v>3025.44</v>
      </c>
      <c r="AN6">
        <v>335.62</v>
      </c>
      <c r="AO6">
        <v>3543.3</v>
      </c>
      <c r="AQ6" t="s">
        <v>293</v>
      </c>
      <c r="AR6">
        <v>7416</v>
      </c>
      <c r="AS6" t="s">
        <v>426</v>
      </c>
      <c r="AT6" t="s">
        <v>427</v>
      </c>
    </row>
    <row r="7" spans="1:46" x14ac:dyDescent="0.25">
      <c r="A7" t="s">
        <v>19</v>
      </c>
      <c r="B7" t="s">
        <v>428</v>
      </c>
      <c r="C7" t="s">
        <v>429</v>
      </c>
      <c r="D7" t="s">
        <v>414</v>
      </c>
      <c r="E7" t="s">
        <v>415</v>
      </c>
      <c r="F7" t="s">
        <v>430</v>
      </c>
      <c r="G7" t="s">
        <v>431</v>
      </c>
      <c r="H7" t="s">
        <v>432</v>
      </c>
      <c r="I7" t="s">
        <v>433</v>
      </c>
      <c r="J7" t="s">
        <v>434</v>
      </c>
      <c r="K7" t="s">
        <v>435</v>
      </c>
      <c r="L7" t="s">
        <v>183</v>
      </c>
      <c r="M7" t="s">
        <v>436</v>
      </c>
      <c r="N7" t="s">
        <v>437</v>
      </c>
      <c r="O7" s="34">
        <v>45963</v>
      </c>
      <c r="P7">
        <v>9708021</v>
      </c>
      <c r="Q7">
        <v>969127</v>
      </c>
      <c r="R7" t="s">
        <v>414</v>
      </c>
      <c r="S7" s="34">
        <v>46693</v>
      </c>
      <c r="T7" t="s">
        <v>424</v>
      </c>
      <c r="U7" t="s">
        <v>292</v>
      </c>
      <c r="V7">
        <v>100</v>
      </c>
      <c r="W7" t="s">
        <v>425</v>
      </c>
      <c r="X7">
        <v>23.01</v>
      </c>
      <c r="Y7">
        <v>0</v>
      </c>
      <c r="Z7">
        <v>23.01</v>
      </c>
      <c r="AA7">
        <v>7786.7</v>
      </c>
      <c r="AB7">
        <v>3872.68</v>
      </c>
      <c r="AC7">
        <v>335.62</v>
      </c>
      <c r="AD7">
        <v>3578.4</v>
      </c>
      <c r="AE7">
        <v>295.37</v>
      </c>
      <c r="AF7">
        <v>295.37</v>
      </c>
      <c r="AG7">
        <v>0</v>
      </c>
      <c r="AH7">
        <v>0</v>
      </c>
      <c r="AI7">
        <v>0</v>
      </c>
      <c r="AJ7">
        <v>0</v>
      </c>
      <c r="AK7">
        <v>0</v>
      </c>
      <c r="AL7">
        <v>7786.7</v>
      </c>
      <c r="AM7">
        <v>3872.68</v>
      </c>
      <c r="AN7">
        <v>335.62</v>
      </c>
      <c r="AO7">
        <v>3578.4</v>
      </c>
      <c r="AQ7" t="s">
        <v>292</v>
      </c>
      <c r="AR7">
        <v>7787</v>
      </c>
      <c r="AS7" t="s">
        <v>426</v>
      </c>
      <c r="AT7" t="s">
        <v>438</v>
      </c>
    </row>
    <row r="9" spans="1:46" x14ac:dyDescent="0.25">
      <c r="U9" s="3" t="s">
        <v>300</v>
      </c>
      <c r="V9" t="s">
        <v>439</v>
      </c>
    </row>
    <row r="10" spans="1:46" x14ac:dyDescent="0.25">
      <c r="U10" s="4" t="s">
        <v>292</v>
      </c>
      <c r="V10" s="5">
        <v>100</v>
      </c>
    </row>
    <row r="11" spans="1:46" x14ac:dyDescent="0.25">
      <c r="U11" s="4" t="s">
        <v>293</v>
      </c>
      <c r="V11" s="5">
        <v>100</v>
      </c>
    </row>
    <row r="12" spans="1:46" x14ac:dyDescent="0.25">
      <c r="U12" s="35" t="s">
        <v>301</v>
      </c>
      <c r="V12" s="36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"/>
  <sheetViews>
    <sheetView workbookViewId="0">
      <selection activeCell="AC8" sqref="AC8"/>
    </sheetView>
  </sheetViews>
  <sheetFormatPr defaultRowHeight="15" x14ac:dyDescent="0.25"/>
  <cols>
    <col min="4" max="4" width="19.85546875" bestFit="1" customWidth="1"/>
    <col min="5" max="5" width="30.28515625" bestFit="1" customWidth="1"/>
    <col min="6" max="6" width="31.7109375" bestFit="1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298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26" x14ac:dyDescent="0.25">
      <c r="A2" t="s">
        <v>17</v>
      </c>
      <c r="B2" t="s">
        <v>18</v>
      </c>
      <c r="C2" t="s">
        <v>19</v>
      </c>
      <c r="D2" t="s">
        <v>178</v>
      </c>
      <c r="E2" t="s">
        <v>179</v>
      </c>
      <c r="F2" t="s">
        <v>299</v>
      </c>
      <c r="G2" t="s">
        <v>185</v>
      </c>
      <c r="H2" s="1">
        <v>45825</v>
      </c>
      <c r="I2" t="s">
        <v>186</v>
      </c>
      <c r="J2" t="s">
        <v>187</v>
      </c>
      <c r="K2" t="s">
        <v>188</v>
      </c>
      <c r="L2" t="s">
        <v>189</v>
      </c>
      <c r="M2" s="1">
        <v>45835</v>
      </c>
      <c r="N2" t="s">
        <v>27</v>
      </c>
      <c r="O2">
        <v>15000</v>
      </c>
      <c r="P2">
        <v>0</v>
      </c>
      <c r="Q2">
        <v>2700</v>
      </c>
      <c r="R2">
        <v>17700</v>
      </c>
    </row>
    <row r="4" spans="1:26" x14ac:dyDescent="0.25">
      <c r="D4" s="32" t="s">
        <v>364</v>
      </c>
      <c r="E4" s="32" t="s">
        <v>310</v>
      </c>
      <c r="F4" s="32" t="s">
        <v>311</v>
      </c>
    </row>
    <row r="5" spans="1:26" x14ac:dyDescent="0.25">
      <c r="D5" s="18" t="s">
        <v>299</v>
      </c>
      <c r="E5" s="31" t="s">
        <v>365</v>
      </c>
      <c r="F5" s="33">
        <v>1200</v>
      </c>
    </row>
    <row r="6" spans="1:26" x14ac:dyDescent="0.25">
      <c r="U6">
        <v>31</v>
      </c>
      <c r="Z6">
        <v>2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workbookViewId="0">
      <selection activeCell="AC8" sqref="AC8"/>
    </sheetView>
  </sheetViews>
  <sheetFormatPr defaultRowHeight="15" x14ac:dyDescent="0.25"/>
  <cols>
    <col min="1" max="1" width="14.85546875" bestFit="1" customWidth="1"/>
    <col min="6" max="6" width="11.5703125" bestFit="1" customWidth="1"/>
    <col min="8" max="8" width="11" bestFit="1" customWidth="1"/>
    <col min="9" max="9" width="12.7109375" bestFit="1" customWidth="1"/>
    <col min="11" max="11" width="22.7109375" bestFit="1" customWidth="1"/>
    <col min="12" max="12" width="9.42578125" bestFit="1" customWidth="1"/>
  </cols>
  <sheetData>
    <row r="1" spans="1:26" ht="15.75" x14ac:dyDescent="0.25">
      <c r="A1" s="154" t="s">
        <v>520</v>
      </c>
      <c r="B1" s="155"/>
      <c r="C1" s="155"/>
      <c r="D1" s="155"/>
      <c r="E1" s="155"/>
      <c r="F1" s="155"/>
      <c r="G1" s="156"/>
      <c r="H1" s="75"/>
      <c r="J1" s="52" t="s">
        <v>521</v>
      </c>
      <c r="K1" s="53" t="s">
        <v>522</v>
      </c>
      <c r="L1" s="53" t="s">
        <v>311</v>
      </c>
    </row>
    <row r="2" spans="1:26" ht="15.75" x14ac:dyDescent="0.25">
      <c r="A2" s="76" t="s">
        <v>300</v>
      </c>
      <c r="B2" s="76" t="s">
        <v>515</v>
      </c>
      <c r="C2" s="76" t="s">
        <v>516</v>
      </c>
      <c r="D2" s="54" t="s">
        <v>517</v>
      </c>
      <c r="E2" s="54" t="s">
        <v>518</v>
      </c>
      <c r="F2" s="54" t="s">
        <v>523</v>
      </c>
      <c r="G2" s="54" t="s">
        <v>519</v>
      </c>
      <c r="H2" s="77" t="s">
        <v>536</v>
      </c>
      <c r="J2" s="55">
        <v>1</v>
      </c>
      <c r="K2" s="55" t="s">
        <v>524</v>
      </c>
      <c r="L2" s="56">
        <f t="shared" ref="L2:L5" si="0">H6*3</f>
        <v>84</v>
      </c>
    </row>
    <row r="3" spans="1:26" x14ac:dyDescent="0.25">
      <c r="A3" s="57" t="s">
        <v>513</v>
      </c>
      <c r="B3" s="78">
        <v>0</v>
      </c>
      <c r="C3" s="78">
        <v>0</v>
      </c>
      <c r="D3" s="78">
        <v>56.3</v>
      </c>
      <c r="E3" s="57">
        <v>18</v>
      </c>
      <c r="F3" s="78">
        <v>0</v>
      </c>
      <c r="G3" s="78">
        <v>22.5</v>
      </c>
      <c r="H3" s="79">
        <v>19</v>
      </c>
      <c r="J3" s="55">
        <v>2</v>
      </c>
      <c r="K3" s="55" t="s">
        <v>525</v>
      </c>
      <c r="L3" s="56">
        <v>125</v>
      </c>
    </row>
    <row r="4" spans="1:26" x14ac:dyDescent="0.25">
      <c r="A4" s="57" t="s">
        <v>526</v>
      </c>
      <c r="B4" s="78">
        <v>4</v>
      </c>
      <c r="C4" s="78">
        <v>1</v>
      </c>
      <c r="D4" s="78">
        <v>30.7</v>
      </c>
      <c r="E4" s="57">
        <v>10</v>
      </c>
      <c r="F4" s="78">
        <v>0</v>
      </c>
      <c r="G4" s="78">
        <v>3.1</v>
      </c>
      <c r="H4" s="79">
        <v>8</v>
      </c>
      <c r="J4" s="55">
        <v>3</v>
      </c>
      <c r="K4" s="55" t="s">
        <v>527</v>
      </c>
      <c r="L4" s="56">
        <v>0</v>
      </c>
    </row>
    <row r="5" spans="1:26" x14ac:dyDescent="0.25">
      <c r="A5" s="57" t="s">
        <v>294</v>
      </c>
      <c r="B5" s="78">
        <v>0</v>
      </c>
      <c r="C5" s="78">
        <v>0</v>
      </c>
      <c r="D5" s="78">
        <v>0</v>
      </c>
      <c r="E5" s="57">
        <v>0</v>
      </c>
      <c r="F5" s="78">
        <v>0</v>
      </c>
      <c r="G5" s="78">
        <v>0</v>
      </c>
      <c r="H5" s="79">
        <v>1</v>
      </c>
      <c r="J5" s="55">
        <v>4</v>
      </c>
      <c r="K5" s="55" t="s">
        <v>528</v>
      </c>
      <c r="L5" s="56">
        <f t="shared" si="0"/>
        <v>0</v>
      </c>
    </row>
    <row r="6" spans="1:26" ht="15.75" x14ac:dyDescent="0.25">
      <c r="A6" s="58" t="s">
        <v>529</v>
      </c>
      <c r="B6" s="80">
        <f t="shared" ref="B6:G6" si="1">SUM(B3:B5)</f>
        <v>4</v>
      </c>
      <c r="C6" s="80">
        <f t="shared" si="1"/>
        <v>1</v>
      </c>
      <c r="D6" s="80">
        <f t="shared" si="1"/>
        <v>87</v>
      </c>
      <c r="E6" s="80">
        <f t="shared" si="1"/>
        <v>28</v>
      </c>
      <c r="F6" s="80">
        <f t="shared" si="1"/>
        <v>0</v>
      </c>
      <c r="G6" s="80">
        <f t="shared" si="1"/>
        <v>25.6</v>
      </c>
      <c r="H6" s="80">
        <f>SUM(H3:H5)</f>
        <v>28</v>
      </c>
      <c r="J6" s="55">
        <v>5</v>
      </c>
      <c r="K6" s="55" t="s">
        <v>530</v>
      </c>
      <c r="L6" s="56">
        <f>E6*10</f>
        <v>280</v>
      </c>
      <c r="U6">
        <v>31</v>
      </c>
      <c r="Z6">
        <v>2</v>
      </c>
    </row>
    <row r="7" spans="1:26" x14ac:dyDescent="0.25">
      <c r="L7" s="56">
        <f>SUM(L2:L6)</f>
        <v>489</v>
      </c>
    </row>
    <row r="8" spans="1:26" x14ac:dyDescent="0.25">
      <c r="A8" s="59" t="s">
        <v>531</v>
      </c>
      <c r="B8" s="60" t="s">
        <v>515</v>
      </c>
      <c r="C8" s="60" t="s">
        <v>516</v>
      </c>
      <c r="D8" s="60" t="s">
        <v>532</v>
      </c>
      <c r="E8" s="60" t="s">
        <v>523</v>
      </c>
      <c r="F8" s="60" t="s">
        <v>533</v>
      </c>
      <c r="G8" s="61" t="s">
        <v>321</v>
      </c>
      <c r="H8" s="62" t="s">
        <v>534</v>
      </c>
      <c r="I8" s="63" t="s">
        <v>535</v>
      </c>
    </row>
    <row r="9" spans="1:26" x14ac:dyDescent="0.25">
      <c r="A9" s="64" t="s">
        <v>293</v>
      </c>
      <c r="B9" s="65">
        <f>B3*125</f>
        <v>0</v>
      </c>
      <c r="C9" s="65">
        <f>C3*125</f>
        <v>0</v>
      </c>
      <c r="D9" s="65">
        <f>G3*70</f>
        <v>1575</v>
      </c>
      <c r="E9" s="65">
        <f>F3*20</f>
        <v>0</v>
      </c>
      <c r="F9" s="65">
        <f>E3*50</f>
        <v>900</v>
      </c>
      <c r="G9" s="66">
        <f>B9+C9+D9+E9+F9</f>
        <v>2475</v>
      </c>
      <c r="H9" s="67"/>
      <c r="I9" s="68"/>
    </row>
    <row r="10" spans="1:26" x14ac:dyDescent="0.25">
      <c r="A10" s="64" t="s">
        <v>292</v>
      </c>
      <c r="B10" s="65">
        <f t="shared" ref="B10:C11" si="2">B4*125</f>
        <v>500</v>
      </c>
      <c r="C10" s="65">
        <f t="shared" si="2"/>
        <v>125</v>
      </c>
      <c r="D10" s="65">
        <f t="shared" ref="D10:D11" si="3">G4*70</f>
        <v>217</v>
      </c>
      <c r="E10" s="65">
        <f t="shared" ref="E10:E11" si="4">F4*20</f>
        <v>0</v>
      </c>
      <c r="F10" s="65">
        <f t="shared" ref="F10:F11" si="5">E4*50</f>
        <v>500</v>
      </c>
      <c r="G10" s="66">
        <f t="shared" ref="G10:G11" si="6">B10+C10+D10+E10+F10</f>
        <v>1342</v>
      </c>
      <c r="H10" s="69">
        <f>F6*20</f>
        <v>0</v>
      </c>
      <c r="I10" s="70">
        <f>5*25</f>
        <v>125</v>
      </c>
    </row>
    <row r="11" spans="1:26" x14ac:dyDescent="0.25">
      <c r="A11" s="64" t="s">
        <v>294</v>
      </c>
      <c r="B11" s="65">
        <f t="shared" si="2"/>
        <v>0</v>
      </c>
      <c r="C11" s="65">
        <f t="shared" si="2"/>
        <v>0</v>
      </c>
      <c r="D11" s="65">
        <f t="shared" si="3"/>
        <v>0</v>
      </c>
      <c r="E11" s="65">
        <f t="shared" si="4"/>
        <v>0</v>
      </c>
      <c r="F11" s="65">
        <f t="shared" si="5"/>
        <v>0</v>
      </c>
      <c r="G11" s="66">
        <f t="shared" si="6"/>
        <v>0</v>
      </c>
      <c r="H11" s="67"/>
    </row>
    <row r="12" spans="1:26" ht="15.75" x14ac:dyDescent="0.25">
      <c r="A12" s="71" t="s">
        <v>321</v>
      </c>
      <c r="B12" s="72">
        <f t="shared" ref="B12:G12" si="7">SUM(B9:B11)</f>
        <v>500</v>
      </c>
      <c r="C12" s="72">
        <f t="shared" si="7"/>
        <v>125</v>
      </c>
      <c r="D12" s="72">
        <f t="shared" si="7"/>
        <v>1792</v>
      </c>
      <c r="E12" s="72">
        <f t="shared" si="7"/>
        <v>0</v>
      </c>
      <c r="F12" s="72">
        <f t="shared" si="7"/>
        <v>1400</v>
      </c>
      <c r="G12" s="73">
        <f t="shared" si="7"/>
        <v>3817</v>
      </c>
      <c r="H12" s="74"/>
    </row>
    <row r="13" spans="1:26" ht="18.75" x14ac:dyDescent="0.3">
      <c r="J13" s="81">
        <f>G12+Table1[[#Totals],[AMOUNT]]</f>
        <v>4306</v>
      </c>
    </row>
  </sheetData>
  <mergeCells count="1">
    <mergeCell ref="A1:G1"/>
  </mergeCells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2539"/>
  <sheetViews>
    <sheetView workbookViewId="0">
      <selection activeCell="AC8" sqref="AC8"/>
    </sheetView>
  </sheetViews>
  <sheetFormatPr defaultRowHeight="15" x14ac:dyDescent="0.3"/>
  <cols>
    <col min="1" max="1" width="9.140625" style="84"/>
    <col min="2" max="2" width="14.7109375" style="84" customWidth="1"/>
    <col min="3" max="16384" width="9.140625" style="84"/>
  </cols>
  <sheetData>
    <row r="1" spans="1:26" ht="15.75" x14ac:dyDescent="0.3">
      <c r="A1" s="83" t="s">
        <v>537</v>
      </c>
      <c r="B1" t="s">
        <v>538</v>
      </c>
      <c r="C1" s="83" t="s">
        <v>539</v>
      </c>
      <c r="D1" t="s">
        <v>540</v>
      </c>
      <c r="E1" t="s">
        <v>541</v>
      </c>
      <c r="F1" t="s">
        <v>542</v>
      </c>
      <c r="G1" t="s">
        <v>543</v>
      </c>
      <c r="H1" t="s">
        <v>544</v>
      </c>
      <c r="I1" t="s">
        <v>545</v>
      </c>
      <c r="J1" s="84" t="s">
        <v>546</v>
      </c>
      <c r="K1" s="84" t="s">
        <v>547</v>
      </c>
    </row>
    <row r="2" spans="1:26" ht="15.75" x14ac:dyDescent="0.3">
      <c r="A2" s="83" t="s">
        <v>548</v>
      </c>
      <c r="B2" s="83" t="s">
        <v>538</v>
      </c>
      <c r="C2" s="83" t="s">
        <v>293</v>
      </c>
      <c r="D2" s="83" t="s">
        <v>17</v>
      </c>
      <c r="E2" s="83" t="s">
        <v>549</v>
      </c>
      <c r="F2" s="83" t="s">
        <v>550</v>
      </c>
      <c r="G2" s="83" t="s">
        <v>551</v>
      </c>
      <c r="H2" s="83" t="s">
        <v>552</v>
      </c>
      <c r="I2" s="85" t="s">
        <v>553</v>
      </c>
      <c r="J2" s="84" t="s">
        <v>554</v>
      </c>
      <c r="K2" s="84" t="s">
        <v>555</v>
      </c>
    </row>
    <row r="3" spans="1:26" ht="15.75" x14ac:dyDescent="0.3">
      <c r="A3" s="83" t="s">
        <v>556</v>
      </c>
      <c r="B3" s="83" t="s">
        <v>557</v>
      </c>
      <c r="C3" s="83" t="s">
        <v>293</v>
      </c>
      <c r="D3" s="83" t="s">
        <v>17</v>
      </c>
      <c r="E3" s="83" t="s">
        <v>549</v>
      </c>
      <c r="F3" s="83" t="s">
        <v>550</v>
      </c>
      <c r="G3" s="83" t="s">
        <v>551</v>
      </c>
      <c r="H3" s="83" t="s">
        <v>552</v>
      </c>
      <c r="I3" s="85" t="s">
        <v>558</v>
      </c>
      <c r="J3" s="84" t="s">
        <v>554</v>
      </c>
      <c r="K3" s="84" t="s">
        <v>555</v>
      </c>
    </row>
    <row r="4" spans="1:26" ht="15.75" x14ac:dyDescent="0.3">
      <c r="A4" s="83" t="s">
        <v>559</v>
      </c>
      <c r="B4" s="83" t="s">
        <v>560</v>
      </c>
      <c r="C4" s="83" t="s">
        <v>293</v>
      </c>
      <c r="D4" s="83" t="s">
        <v>17</v>
      </c>
      <c r="E4" s="83" t="s">
        <v>549</v>
      </c>
      <c r="F4" s="83" t="s">
        <v>550</v>
      </c>
      <c r="G4" s="83" t="s">
        <v>551</v>
      </c>
      <c r="H4" s="83" t="s">
        <v>552</v>
      </c>
      <c r="I4" s="85" t="s">
        <v>561</v>
      </c>
      <c r="J4" s="84" t="s">
        <v>554</v>
      </c>
      <c r="K4" s="84" t="s">
        <v>555</v>
      </c>
    </row>
    <row r="5" spans="1:26" ht="15.75" x14ac:dyDescent="0.3">
      <c r="A5" s="83" t="s">
        <v>562</v>
      </c>
      <c r="B5" s="83" t="s">
        <v>563</v>
      </c>
      <c r="C5" s="83" t="s">
        <v>293</v>
      </c>
      <c r="D5" s="83" t="s">
        <v>17</v>
      </c>
      <c r="E5" s="83" t="s">
        <v>549</v>
      </c>
      <c r="F5" s="83" t="s">
        <v>550</v>
      </c>
      <c r="G5" s="83" t="s">
        <v>551</v>
      </c>
      <c r="H5" s="83" t="s">
        <v>552</v>
      </c>
      <c r="I5" s="85" t="s">
        <v>564</v>
      </c>
      <c r="J5" s="84" t="s">
        <v>554</v>
      </c>
      <c r="K5" s="84" t="s">
        <v>555</v>
      </c>
    </row>
    <row r="6" spans="1:26" ht="15.75" x14ac:dyDescent="0.3">
      <c r="A6" s="83" t="s">
        <v>565</v>
      </c>
      <c r="B6" s="83" t="s">
        <v>566</v>
      </c>
      <c r="C6" s="83" t="s">
        <v>293</v>
      </c>
      <c r="D6" s="83" t="s">
        <v>17</v>
      </c>
      <c r="E6" s="83" t="s">
        <v>549</v>
      </c>
      <c r="F6" s="83" t="s">
        <v>550</v>
      </c>
      <c r="G6" s="83" t="s">
        <v>551</v>
      </c>
      <c r="H6" s="83" t="s">
        <v>552</v>
      </c>
      <c r="I6" s="85" t="s">
        <v>567</v>
      </c>
      <c r="J6" s="84" t="s">
        <v>554</v>
      </c>
      <c r="K6" s="84" t="s">
        <v>555</v>
      </c>
      <c r="U6" s="84">
        <v>31</v>
      </c>
      <c r="Z6" s="84">
        <v>2</v>
      </c>
    </row>
    <row r="7" spans="1:26" ht="15.75" x14ac:dyDescent="0.3">
      <c r="A7" s="83" t="s">
        <v>568</v>
      </c>
      <c r="B7" s="83" t="s">
        <v>569</v>
      </c>
      <c r="C7" s="83" t="s">
        <v>293</v>
      </c>
      <c r="D7" s="83" t="s">
        <v>17</v>
      </c>
      <c r="E7" s="83" t="s">
        <v>549</v>
      </c>
      <c r="F7" s="83" t="s">
        <v>550</v>
      </c>
      <c r="G7" s="83" t="s">
        <v>551</v>
      </c>
      <c r="H7" s="83" t="s">
        <v>552</v>
      </c>
      <c r="I7" s="85" t="s">
        <v>570</v>
      </c>
      <c r="J7" s="84" t="s">
        <v>554</v>
      </c>
      <c r="K7" s="84" t="s">
        <v>555</v>
      </c>
    </row>
    <row r="8" spans="1:26" ht="15.75" x14ac:dyDescent="0.3">
      <c r="A8" s="83" t="s">
        <v>571</v>
      </c>
      <c r="B8" s="83" t="s">
        <v>572</v>
      </c>
      <c r="C8" s="83" t="s">
        <v>293</v>
      </c>
      <c r="D8" s="83" t="s">
        <v>17</v>
      </c>
      <c r="E8" s="83" t="s">
        <v>549</v>
      </c>
      <c r="F8" s="83" t="s">
        <v>550</v>
      </c>
      <c r="G8" s="83" t="s">
        <v>551</v>
      </c>
      <c r="H8" s="83" t="s">
        <v>552</v>
      </c>
      <c r="I8" s="85" t="s">
        <v>573</v>
      </c>
      <c r="J8" s="84" t="s">
        <v>554</v>
      </c>
      <c r="K8" s="84" t="s">
        <v>555</v>
      </c>
    </row>
    <row r="9" spans="1:26" ht="15.75" x14ac:dyDescent="0.3">
      <c r="A9" s="83" t="s">
        <v>574</v>
      </c>
      <c r="B9" s="83" t="s">
        <v>575</v>
      </c>
      <c r="C9" s="83" t="s">
        <v>293</v>
      </c>
      <c r="D9" s="83" t="s">
        <v>576</v>
      </c>
      <c r="E9" s="83" t="s">
        <v>577</v>
      </c>
      <c r="F9" s="83" t="s">
        <v>578</v>
      </c>
      <c r="G9" s="83" t="s">
        <v>579</v>
      </c>
      <c r="H9" s="83" t="s">
        <v>580</v>
      </c>
      <c r="I9" s="85" t="s">
        <v>581</v>
      </c>
      <c r="J9" s="84" t="s">
        <v>554</v>
      </c>
      <c r="K9" s="84" t="s">
        <v>555</v>
      </c>
    </row>
    <row r="10" spans="1:26" ht="15.75" x14ac:dyDescent="0.3">
      <c r="A10" s="83" t="s">
        <v>582</v>
      </c>
      <c r="B10" s="83" t="s">
        <v>575</v>
      </c>
      <c r="C10" s="83" t="s">
        <v>292</v>
      </c>
      <c r="D10" s="83" t="s">
        <v>583</v>
      </c>
      <c r="E10" s="83" t="s">
        <v>53</v>
      </c>
      <c r="F10" s="83" t="s">
        <v>55</v>
      </c>
      <c r="G10" s="83" t="s">
        <v>584</v>
      </c>
      <c r="H10" s="83" t="s">
        <v>585</v>
      </c>
      <c r="I10" s="85" t="s">
        <v>581</v>
      </c>
      <c r="J10" s="84" t="s">
        <v>554</v>
      </c>
      <c r="K10" s="84" t="s">
        <v>555</v>
      </c>
    </row>
    <row r="11" spans="1:26" ht="15.75" x14ac:dyDescent="0.3">
      <c r="A11" s="83" t="s">
        <v>586</v>
      </c>
      <c r="B11" s="83" t="s">
        <v>575</v>
      </c>
      <c r="C11" s="83" t="s">
        <v>292</v>
      </c>
      <c r="D11" s="83" t="s">
        <v>587</v>
      </c>
      <c r="E11" s="83" t="s">
        <v>135</v>
      </c>
      <c r="F11" s="83" t="s">
        <v>137</v>
      </c>
      <c r="G11" s="83" t="s">
        <v>588</v>
      </c>
      <c r="H11" s="83" t="s">
        <v>589</v>
      </c>
      <c r="I11" s="85" t="s">
        <v>581</v>
      </c>
      <c r="J11" s="84" t="s">
        <v>554</v>
      </c>
      <c r="K11" s="84" t="s">
        <v>555</v>
      </c>
    </row>
    <row r="12" spans="1:26" ht="15.75" x14ac:dyDescent="0.3">
      <c r="A12" s="83" t="s">
        <v>590</v>
      </c>
      <c r="B12" s="83" t="s">
        <v>575</v>
      </c>
      <c r="C12" s="83" t="s">
        <v>294</v>
      </c>
      <c r="D12" s="83" t="s">
        <v>591</v>
      </c>
      <c r="E12" s="83" t="s">
        <v>592</v>
      </c>
      <c r="F12" s="83" t="s">
        <v>593</v>
      </c>
      <c r="G12" s="83" t="s">
        <v>594</v>
      </c>
      <c r="H12" s="83" t="s">
        <v>595</v>
      </c>
      <c r="I12" s="85" t="s">
        <v>581</v>
      </c>
      <c r="J12" s="84" t="s">
        <v>554</v>
      </c>
      <c r="K12" s="84" t="s">
        <v>555</v>
      </c>
    </row>
    <row r="13" spans="1:26" ht="15.75" x14ac:dyDescent="0.3">
      <c r="A13" s="83" t="s">
        <v>596</v>
      </c>
      <c r="B13" s="83" t="s">
        <v>575</v>
      </c>
      <c r="C13" s="83" t="s">
        <v>294</v>
      </c>
      <c r="D13" s="83" t="s">
        <v>597</v>
      </c>
      <c r="E13" s="83" t="s">
        <v>598</v>
      </c>
      <c r="F13" s="83" t="s">
        <v>599</v>
      </c>
      <c r="G13" s="83" t="s">
        <v>551</v>
      </c>
      <c r="H13" s="83" t="s">
        <v>600</v>
      </c>
      <c r="I13" s="85" t="s">
        <v>581</v>
      </c>
      <c r="J13" s="84" t="s">
        <v>554</v>
      </c>
      <c r="K13" s="84" t="s">
        <v>555</v>
      </c>
    </row>
    <row r="14" spans="1:26" ht="15.75" x14ac:dyDescent="0.3">
      <c r="A14" s="83" t="s">
        <v>601</v>
      </c>
      <c r="B14" s="83" t="s">
        <v>602</v>
      </c>
      <c r="C14" s="83" t="s">
        <v>293</v>
      </c>
      <c r="D14" s="83" t="s">
        <v>603</v>
      </c>
      <c r="E14" s="83" t="s">
        <v>604</v>
      </c>
      <c r="F14" s="83" t="s">
        <v>605</v>
      </c>
      <c r="G14" s="83" t="s">
        <v>584</v>
      </c>
      <c r="H14" s="83" t="s">
        <v>606</v>
      </c>
      <c r="I14" s="85" t="s">
        <v>607</v>
      </c>
      <c r="J14" s="84" t="s">
        <v>554</v>
      </c>
      <c r="K14" s="84" t="s">
        <v>555</v>
      </c>
    </row>
    <row r="15" spans="1:26" ht="15.75" x14ac:dyDescent="0.3">
      <c r="A15" s="83" t="s">
        <v>608</v>
      </c>
      <c r="B15" s="83" t="s">
        <v>602</v>
      </c>
      <c r="C15" s="83" t="s">
        <v>293</v>
      </c>
      <c r="D15" s="83" t="s">
        <v>17</v>
      </c>
      <c r="E15" s="83" t="s">
        <v>549</v>
      </c>
      <c r="F15" s="83" t="s">
        <v>550</v>
      </c>
      <c r="G15" s="83" t="s">
        <v>551</v>
      </c>
      <c r="H15" s="83" t="s">
        <v>552</v>
      </c>
      <c r="I15" s="85" t="s">
        <v>609</v>
      </c>
      <c r="J15" s="84" t="s">
        <v>554</v>
      </c>
      <c r="K15" s="84" t="s">
        <v>555</v>
      </c>
    </row>
    <row r="16" spans="1:26" ht="15.75" x14ac:dyDescent="0.3">
      <c r="A16" s="83" t="s">
        <v>610</v>
      </c>
      <c r="B16" s="83" t="s">
        <v>611</v>
      </c>
      <c r="C16" s="83" t="s">
        <v>292</v>
      </c>
      <c r="D16" s="83" t="s">
        <v>612</v>
      </c>
      <c r="E16" s="83" t="s">
        <v>613</v>
      </c>
      <c r="F16" s="83" t="s">
        <v>614</v>
      </c>
      <c r="G16" s="83" t="s">
        <v>615</v>
      </c>
      <c r="H16" s="83" t="s">
        <v>616</v>
      </c>
      <c r="I16" s="85" t="s">
        <v>617</v>
      </c>
      <c r="J16" s="84" t="s">
        <v>554</v>
      </c>
      <c r="K16" s="84" t="s">
        <v>618</v>
      </c>
    </row>
    <row r="17" spans="1:11" ht="15.75" x14ac:dyDescent="0.3">
      <c r="A17" s="83" t="s">
        <v>619</v>
      </c>
      <c r="B17" s="83" t="s">
        <v>620</v>
      </c>
      <c r="C17" s="83" t="s">
        <v>293</v>
      </c>
      <c r="D17" s="83" t="s">
        <v>621</v>
      </c>
      <c r="E17" s="83" t="s">
        <v>112</v>
      </c>
      <c r="F17" s="83" t="s">
        <v>114</v>
      </c>
      <c r="G17" s="83" t="s">
        <v>622</v>
      </c>
      <c r="H17" s="83" t="s">
        <v>623</v>
      </c>
      <c r="I17" s="85" t="s">
        <v>624</v>
      </c>
      <c r="J17" s="84" t="s">
        <v>554</v>
      </c>
      <c r="K17" s="84" t="s">
        <v>618</v>
      </c>
    </row>
    <row r="18" spans="1:11" ht="15.75" x14ac:dyDescent="0.3">
      <c r="A18" s="83" t="s">
        <v>625</v>
      </c>
      <c r="B18" s="83" t="s">
        <v>620</v>
      </c>
      <c r="C18" s="83" t="s">
        <v>294</v>
      </c>
      <c r="D18" s="83" t="s">
        <v>591</v>
      </c>
      <c r="E18" s="83" t="s">
        <v>592</v>
      </c>
      <c r="F18" s="83" t="s">
        <v>593</v>
      </c>
      <c r="G18" s="83" t="s">
        <v>594</v>
      </c>
      <c r="H18" s="83" t="s">
        <v>595</v>
      </c>
      <c r="I18" s="85" t="s">
        <v>624</v>
      </c>
      <c r="J18" s="84" t="s">
        <v>554</v>
      </c>
      <c r="K18" s="84" t="s">
        <v>618</v>
      </c>
    </row>
    <row r="19" spans="1:11" ht="15.75" x14ac:dyDescent="0.3">
      <c r="A19" s="83" t="s">
        <v>626</v>
      </c>
      <c r="B19" s="83" t="s">
        <v>620</v>
      </c>
      <c r="C19" s="83" t="s">
        <v>294</v>
      </c>
      <c r="D19" s="83" t="s">
        <v>627</v>
      </c>
      <c r="E19" s="83" t="s">
        <v>628</v>
      </c>
      <c r="F19" s="83" t="s">
        <v>629</v>
      </c>
      <c r="G19" s="83" t="s">
        <v>630</v>
      </c>
      <c r="H19" s="83" t="s">
        <v>631</v>
      </c>
      <c r="I19" s="85" t="s">
        <v>624</v>
      </c>
      <c r="J19" s="84" t="s">
        <v>554</v>
      </c>
      <c r="K19" s="84" t="s">
        <v>618</v>
      </c>
    </row>
    <row r="20" spans="1:11" ht="15.75" x14ac:dyDescent="0.3">
      <c r="A20" s="83" t="s">
        <v>632</v>
      </c>
      <c r="B20" s="83" t="s">
        <v>620</v>
      </c>
      <c r="C20" s="83" t="s">
        <v>293</v>
      </c>
      <c r="D20" s="83" t="s">
        <v>17</v>
      </c>
      <c r="E20" s="83" t="s">
        <v>549</v>
      </c>
      <c r="F20" s="83" t="s">
        <v>550</v>
      </c>
      <c r="G20" s="83" t="s">
        <v>551</v>
      </c>
      <c r="H20" s="83" t="s">
        <v>552</v>
      </c>
      <c r="I20" s="85" t="s">
        <v>633</v>
      </c>
      <c r="J20" s="84" t="s">
        <v>554</v>
      </c>
      <c r="K20" s="84" t="s">
        <v>618</v>
      </c>
    </row>
    <row r="21" spans="1:11" ht="15.75" x14ac:dyDescent="0.3">
      <c r="A21" s="83" t="s">
        <v>634</v>
      </c>
      <c r="B21" s="83" t="s">
        <v>635</v>
      </c>
      <c r="C21" s="83" t="s">
        <v>293</v>
      </c>
      <c r="D21" s="83" t="s">
        <v>17</v>
      </c>
      <c r="E21" s="83" t="s">
        <v>549</v>
      </c>
      <c r="F21" s="83" t="s">
        <v>550</v>
      </c>
      <c r="G21" s="83" t="s">
        <v>551</v>
      </c>
      <c r="H21" s="83" t="s">
        <v>552</v>
      </c>
      <c r="I21" s="85" t="s">
        <v>636</v>
      </c>
      <c r="J21" s="84" t="s">
        <v>554</v>
      </c>
      <c r="K21" s="84" t="s">
        <v>555</v>
      </c>
    </row>
    <row r="22" spans="1:11" ht="15.75" x14ac:dyDescent="0.3">
      <c r="A22" s="83" t="s">
        <v>637</v>
      </c>
      <c r="B22" s="83" t="s">
        <v>638</v>
      </c>
      <c r="C22" s="83" t="s">
        <v>292</v>
      </c>
      <c r="D22" s="83" t="s">
        <v>639</v>
      </c>
      <c r="E22" s="83" t="s">
        <v>22</v>
      </c>
      <c r="F22" s="83" t="s">
        <v>24</v>
      </c>
      <c r="G22" s="83" t="s">
        <v>640</v>
      </c>
      <c r="H22" s="83" t="s">
        <v>641</v>
      </c>
      <c r="I22" s="85" t="s">
        <v>642</v>
      </c>
      <c r="J22" s="84" t="s">
        <v>554</v>
      </c>
      <c r="K22" s="84" t="s">
        <v>555</v>
      </c>
    </row>
    <row r="23" spans="1:11" ht="15.75" x14ac:dyDescent="0.3">
      <c r="A23" s="83" t="s">
        <v>643</v>
      </c>
      <c r="B23" s="83" t="s">
        <v>638</v>
      </c>
      <c r="C23" s="83" t="s">
        <v>293</v>
      </c>
      <c r="D23" s="83" t="s">
        <v>644</v>
      </c>
      <c r="E23" s="83" t="s">
        <v>180</v>
      </c>
      <c r="F23" s="83" t="s">
        <v>182</v>
      </c>
      <c r="G23" s="83" t="s">
        <v>645</v>
      </c>
      <c r="H23" s="83" t="s">
        <v>646</v>
      </c>
      <c r="I23" s="85" t="s">
        <v>642</v>
      </c>
      <c r="J23" s="84" t="s">
        <v>554</v>
      </c>
      <c r="K23" s="84" t="s">
        <v>555</v>
      </c>
    </row>
    <row r="24" spans="1:11" ht="15.75" x14ac:dyDescent="0.3">
      <c r="A24" s="83" t="s">
        <v>647</v>
      </c>
      <c r="B24" s="83" t="s">
        <v>648</v>
      </c>
      <c r="C24" s="83" t="s">
        <v>292</v>
      </c>
      <c r="D24" s="83" t="s">
        <v>649</v>
      </c>
      <c r="E24" s="83" t="s">
        <v>650</v>
      </c>
      <c r="F24" s="83" t="s">
        <v>651</v>
      </c>
      <c r="G24" s="83" t="s">
        <v>652</v>
      </c>
      <c r="H24" s="83" t="s">
        <v>653</v>
      </c>
      <c r="I24" s="85" t="s">
        <v>654</v>
      </c>
      <c r="J24" s="84" t="s">
        <v>554</v>
      </c>
      <c r="K24" s="84" t="s">
        <v>618</v>
      </c>
    </row>
    <row r="25" spans="1:11" ht="15.75" x14ac:dyDescent="0.3">
      <c r="A25" s="83" t="s">
        <v>655</v>
      </c>
      <c r="B25" s="83" t="s">
        <v>656</v>
      </c>
      <c r="C25" s="83" t="s">
        <v>293</v>
      </c>
      <c r="D25" s="83" t="s">
        <v>657</v>
      </c>
      <c r="E25" s="83" t="s">
        <v>48</v>
      </c>
      <c r="F25" s="83" t="s">
        <v>50</v>
      </c>
      <c r="G25" s="83" t="s">
        <v>615</v>
      </c>
      <c r="H25" s="83" t="s">
        <v>658</v>
      </c>
      <c r="I25" s="85" t="s">
        <v>659</v>
      </c>
      <c r="J25" s="84" t="s">
        <v>554</v>
      </c>
      <c r="K25" s="84" t="s">
        <v>618</v>
      </c>
    </row>
    <row r="26" spans="1:11" ht="15.75" x14ac:dyDescent="0.3">
      <c r="A26" s="86" t="s">
        <v>548</v>
      </c>
      <c r="B26" s="86" t="s">
        <v>660</v>
      </c>
      <c r="C26" s="86" t="s">
        <v>292</v>
      </c>
      <c r="D26" s="86" t="s">
        <v>583</v>
      </c>
      <c r="E26" s="86" t="s">
        <v>53</v>
      </c>
      <c r="F26" s="86" t="s">
        <v>55</v>
      </c>
      <c r="G26" s="86" t="s">
        <v>661</v>
      </c>
      <c r="H26" s="86" t="s">
        <v>662</v>
      </c>
      <c r="I26" s="87" t="s">
        <v>663</v>
      </c>
      <c r="J26" s="84" t="s">
        <v>554</v>
      </c>
      <c r="K26" s="84" t="s">
        <v>555</v>
      </c>
    </row>
    <row r="27" spans="1:11" ht="15.75" x14ac:dyDescent="0.3">
      <c r="A27" s="86" t="s">
        <v>556</v>
      </c>
      <c r="B27" s="86" t="s">
        <v>660</v>
      </c>
      <c r="C27" s="86" t="s">
        <v>293</v>
      </c>
      <c r="D27" s="86" t="s">
        <v>664</v>
      </c>
      <c r="E27" s="86" t="s">
        <v>665</v>
      </c>
      <c r="F27" s="86" t="s">
        <v>666</v>
      </c>
      <c r="G27" s="86" t="s">
        <v>667</v>
      </c>
      <c r="H27" s="86" t="s">
        <v>668</v>
      </c>
      <c r="I27" s="87" t="s">
        <v>663</v>
      </c>
      <c r="J27" s="84" t="s">
        <v>554</v>
      </c>
      <c r="K27" s="84" t="s">
        <v>555</v>
      </c>
    </row>
    <row r="28" spans="1:11" ht="15.75" x14ac:dyDescent="0.3">
      <c r="A28" s="86" t="s">
        <v>559</v>
      </c>
      <c r="B28" s="86" t="s">
        <v>669</v>
      </c>
      <c r="C28" s="86" t="s">
        <v>292</v>
      </c>
      <c r="D28" s="86" t="s">
        <v>583</v>
      </c>
      <c r="E28" s="86" t="s">
        <v>53</v>
      </c>
      <c r="F28" s="86" t="s">
        <v>55</v>
      </c>
      <c r="G28" s="86" t="s">
        <v>661</v>
      </c>
      <c r="H28" s="86" t="s">
        <v>670</v>
      </c>
      <c r="I28" s="87" t="s">
        <v>671</v>
      </c>
      <c r="J28" s="84" t="s">
        <v>554</v>
      </c>
      <c r="K28" s="84" t="s">
        <v>555</v>
      </c>
    </row>
    <row r="29" spans="1:11" ht="15.75" x14ac:dyDescent="0.3">
      <c r="A29" s="86" t="s">
        <v>562</v>
      </c>
      <c r="B29" s="86" t="s">
        <v>669</v>
      </c>
      <c r="C29" s="86" t="s">
        <v>293</v>
      </c>
      <c r="D29" s="86" t="s">
        <v>672</v>
      </c>
      <c r="E29" s="86" t="s">
        <v>673</v>
      </c>
      <c r="F29" s="86" t="s">
        <v>674</v>
      </c>
      <c r="G29" s="86" t="s">
        <v>675</v>
      </c>
      <c r="H29" s="86" t="s">
        <v>676</v>
      </c>
      <c r="I29" s="87" t="s">
        <v>671</v>
      </c>
      <c r="J29" s="84" t="s">
        <v>554</v>
      </c>
      <c r="K29" s="84" t="s">
        <v>555</v>
      </c>
    </row>
    <row r="30" spans="1:11" ht="15.75" x14ac:dyDescent="0.3">
      <c r="A30" s="86" t="s">
        <v>565</v>
      </c>
      <c r="B30" s="86" t="s">
        <v>677</v>
      </c>
      <c r="C30" s="86" t="s">
        <v>293</v>
      </c>
      <c r="D30" s="86" t="s">
        <v>664</v>
      </c>
      <c r="E30" s="86" t="s">
        <v>665</v>
      </c>
      <c r="F30" s="86" t="s">
        <v>666</v>
      </c>
      <c r="G30" s="86" t="s">
        <v>667</v>
      </c>
      <c r="H30" s="86" t="s">
        <v>668</v>
      </c>
      <c r="I30" s="87" t="s">
        <v>678</v>
      </c>
      <c r="J30" s="84" t="s">
        <v>554</v>
      </c>
      <c r="K30" s="84" t="s">
        <v>555</v>
      </c>
    </row>
    <row r="31" spans="1:11" ht="15.75" x14ac:dyDescent="0.3">
      <c r="A31" s="86" t="s">
        <v>568</v>
      </c>
      <c r="B31" s="86" t="s">
        <v>679</v>
      </c>
      <c r="C31" s="86" t="s">
        <v>294</v>
      </c>
      <c r="D31" s="86" t="s">
        <v>680</v>
      </c>
      <c r="E31" s="86" t="s">
        <v>681</v>
      </c>
      <c r="F31" s="86" t="s">
        <v>682</v>
      </c>
      <c r="G31" s="86" t="s">
        <v>683</v>
      </c>
      <c r="H31" s="86" t="s">
        <v>684</v>
      </c>
      <c r="I31" s="87" t="s">
        <v>685</v>
      </c>
      <c r="J31" s="84" t="s">
        <v>554</v>
      </c>
      <c r="K31" s="84" t="s">
        <v>555</v>
      </c>
    </row>
    <row r="32" spans="1:11" ht="15.75" x14ac:dyDescent="0.3">
      <c r="A32" s="86" t="s">
        <v>571</v>
      </c>
      <c r="B32" s="86" t="s">
        <v>686</v>
      </c>
      <c r="C32" s="86" t="s">
        <v>292</v>
      </c>
      <c r="D32" s="86" t="s">
        <v>687</v>
      </c>
      <c r="E32" s="86" t="s">
        <v>152</v>
      </c>
      <c r="F32" s="86" t="s">
        <v>154</v>
      </c>
      <c r="G32" s="86" t="s">
        <v>594</v>
      </c>
      <c r="H32" s="86" t="s">
        <v>688</v>
      </c>
      <c r="I32" s="87" t="s">
        <v>689</v>
      </c>
      <c r="J32" s="84" t="s">
        <v>554</v>
      </c>
      <c r="K32" s="84" t="s">
        <v>555</v>
      </c>
    </row>
    <row r="33" spans="1:11" ht="15.75" x14ac:dyDescent="0.3">
      <c r="A33" s="86" t="s">
        <v>574</v>
      </c>
      <c r="B33" s="86" t="s">
        <v>690</v>
      </c>
      <c r="C33" s="86" t="s">
        <v>292</v>
      </c>
      <c r="D33" s="86" t="s">
        <v>587</v>
      </c>
      <c r="E33" s="86" t="s">
        <v>135</v>
      </c>
      <c r="F33" s="86" t="s">
        <v>137</v>
      </c>
      <c r="G33" s="86" t="s">
        <v>691</v>
      </c>
      <c r="H33" s="86" t="s">
        <v>692</v>
      </c>
      <c r="I33" s="87" t="s">
        <v>693</v>
      </c>
      <c r="J33" s="84" t="s">
        <v>554</v>
      </c>
      <c r="K33" s="84" t="s">
        <v>555</v>
      </c>
    </row>
    <row r="34" spans="1:11" ht="15.75" x14ac:dyDescent="0.3">
      <c r="A34" s="86" t="s">
        <v>582</v>
      </c>
      <c r="B34" s="86" t="s">
        <v>694</v>
      </c>
      <c r="C34" s="86" t="s">
        <v>292</v>
      </c>
      <c r="D34" s="86" t="s">
        <v>695</v>
      </c>
      <c r="E34" s="86" t="s">
        <v>696</v>
      </c>
      <c r="F34" s="86" t="s">
        <v>697</v>
      </c>
      <c r="G34" s="86" t="s">
        <v>594</v>
      </c>
      <c r="H34" s="86" t="s">
        <v>698</v>
      </c>
      <c r="I34" s="87" t="s">
        <v>699</v>
      </c>
      <c r="J34" s="84" t="s">
        <v>554</v>
      </c>
      <c r="K34" s="84" t="s">
        <v>555</v>
      </c>
    </row>
    <row r="35" spans="1:11" ht="15.75" x14ac:dyDescent="0.3">
      <c r="A35" s="86" t="s">
        <v>586</v>
      </c>
      <c r="B35" s="86" t="s">
        <v>700</v>
      </c>
      <c r="C35" s="86" t="s">
        <v>292</v>
      </c>
      <c r="D35" s="86" t="s">
        <v>639</v>
      </c>
      <c r="E35" s="86" t="s">
        <v>22</v>
      </c>
      <c r="F35" s="86" t="s">
        <v>24</v>
      </c>
      <c r="G35" s="86" t="s">
        <v>701</v>
      </c>
      <c r="H35" s="86" t="s">
        <v>702</v>
      </c>
      <c r="I35" s="87" t="s">
        <v>703</v>
      </c>
      <c r="J35" s="84" t="s">
        <v>554</v>
      </c>
      <c r="K35" s="84" t="s">
        <v>555</v>
      </c>
    </row>
    <row r="36" spans="1:11" ht="15.75" x14ac:dyDescent="0.3">
      <c r="A36" s="86" t="s">
        <v>590</v>
      </c>
      <c r="B36" s="86" t="s">
        <v>704</v>
      </c>
      <c r="C36" s="86" t="s">
        <v>294</v>
      </c>
      <c r="D36" s="86" t="s">
        <v>705</v>
      </c>
      <c r="E36" s="86" t="s">
        <v>706</v>
      </c>
      <c r="F36" s="86" t="s">
        <v>707</v>
      </c>
      <c r="G36" s="86" t="s">
        <v>708</v>
      </c>
      <c r="H36" s="86" t="s">
        <v>709</v>
      </c>
      <c r="I36" s="87" t="s">
        <v>710</v>
      </c>
      <c r="J36" s="84" t="s">
        <v>554</v>
      </c>
      <c r="K36" s="84" t="s">
        <v>555</v>
      </c>
    </row>
    <row r="37" spans="1:11" ht="15.75" x14ac:dyDescent="0.3">
      <c r="A37" s="86" t="s">
        <v>596</v>
      </c>
      <c r="B37" s="86" t="s">
        <v>704</v>
      </c>
      <c r="C37" s="86" t="s">
        <v>294</v>
      </c>
      <c r="D37" s="86" t="s">
        <v>711</v>
      </c>
      <c r="E37" s="86" t="s">
        <v>278</v>
      </c>
      <c r="F37" s="86" t="s">
        <v>280</v>
      </c>
      <c r="G37" s="86" t="s">
        <v>708</v>
      </c>
      <c r="H37" s="86" t="s">
        <v>712</v>
      </c>
      <c r="I37" s="87" t="s">
        <v>710</v>
      </c>
      <c r="J37" s="84" t="s">
        <v>554</v>
      </c>
      <c r="K37" s="84" t="s">
        <v>555</v>
      </c>
    </row>
    <row r="38" spans="1:11" ht="15.75" x14ac:dyDescent="0.3">
      <c r="A38" s="86" t="s">
        <v>601</v>
      </c>
      <c r="B38" s="86" t="s">
        <v>704</v>
      </c>
      <c r="C38" s="86" t="s">
        <v>294</v>
      </c>
      <c r="D38" s="86" t="s">
        <v>713</v>
      </c>
      <c r="E38" s="86" t="s">
        <v>714</v>
      </c>
      <c r="F38" s="86" t="s">
        <v>715</v>
      </c>
      <c r="G38" s="86" t="s">
        <v>622</v>
      </c>
      <c r="H38" s="86" t="s">
        <v>716</v>
      </c>
      <c r="I38" s="87" t="s">
        <v>710</v>
      </c>
      <c r="J38" s="84" t="s">
        <v>554</v>
      </c>
      <c r="K38" s="84" t="s">
        <v>555</v>
      </c>
    </row>
    <row r="39" spans="1:11" ht="15.75" x14ac:dyDescent="0.3">
      <c r="A39" s="86" t="s">
        <v>608</v>
      </c>
      <c r="B39" s="86" t="s">
        <v>704</v>
      </c>
      <c r="C39" s="86" t="s">
        <v>294</v>
      </c>
      <c r="D39" s="86" t="s">
        <v>717</v>
      </c>
      <c r="E39" s="86" t="s">
        <v>718</v>
      </c>
      <c r="F39" s="86" t="s">
        <v>719</v>
      </c>
      <c r="G39" s="86" t="s">
        <v>579</v>
      </c>
      <c r="H39" s="86" t="s">
        <v>720</v>
      </c>
      <c r="I39" s="87" t="s">
        <v>721</v>
      </c>
      <c r="J39" s="84" t="s">
        <v>554</v>
      </c>
      <c r="K39" s="84" t="s">
        <v>555</v>
      </c>
    </row>
    <row r="40" spans="1:11" ht="15.75" x14ac:dyDescent="0.3">
      <c r="A40" s="86" t="s">
        <v>610</v>
      </c>
      <c r="B40" s="86" t="s">
        <v>704</v>
      </c>
      <c r="C40" s="86" t="s">
        <v>293</v>
      </c>
      <c r="D40" s="86" t="s">
        <v>722</v>
      </c>
      <c r="E40" s="86" t="s">
        <v>723</v>
      </c>
      <c r="F40" s="86" t="s">
        <v>724</v>
      </c>
      <c r="G40" s="86" t="s">
        <v>652</v>
      </c>
      <c r="H40" s="86" t="s">
        <v>725</v>
      </c>
      <c r="I40" s="87" t="s">
        <v>710</v>
      </c>
      <c r="J40" s="84" t="s">
        <v>554</v>
      </c>
      <c r="K40" s="84" t="s">
        <v>555</v>
      </c>
    </row>
    <row r="41" spans="1:11" ht="15.75" x14ac:dyDescent="0.3">
      <c r="A41" s="86" t="s">
        <v>619</v>
      </c>
      <c r="B41" s="86" t="s">
        <v>704</v>
      </c>
      <c r="C41" s="86" t="s">
        <v>293</v>
      </c>
      <c r="D41" s="86" t="s">
        <v>576</v>
      </c>
      <c r="E41" s="86" t="s">
        <v>577</v>
      </c>
      <c r="F41" s="86" t="s">
        <v>578</v>
      </c>
      <c r="G41" s="86" t="s">
        <v>652</v>
      </c>
      <c r="H41" s="86" t="s">
        <v>726</v>
      </c>
      <c r="I41" s="87" t="s">
        <v>727</v>
      </c>
      <c r="J41" s="84" t="s">
        <v>554</v>
      </c>
      <c r="K41" s="84" t="s">
        <v>555</v>
      </c>
    </row>
    <row r="42" spans="1:11" ht="15.75" x14ac:dyDescent="0.3">
      <c r="A42" s="86" t="s">
        <v>625</v>
      </c>
      <c r="B42" s="86" t="s">
        <v>704</v>
      </c>
      <c r="C42" s="86" t="s">
        <v>292</v>
      </c>
      <c r="D42" s="86" t="s">
        <v>576</v>
      </c>
      <c r="E42" s="86" t="s">
        <v>728</v>
      </c>
      <c r="F42" s="86" t="s">
        <v>578</v>
      </c>
      <c r="G42" s="86" t="s">
        <v>729</v>
      </c>
      <c r="H42" s="86" t="s">
        <v>730</v>
      </c>
      <c r="I42" s="87" t="s">
        <v>731</v>
      </c>
      <c r="J42" s="84" t="s">
        <v>554</v>
      </c>
      <c r="K42" s="84" t="s">
        <v>555</v>
      </c>
    </row>
    <row r="43" spans="1:11" ht="15.75" x14ac:dyDescent="0.3">
      <c r="A43" s="86" t="s">
        <v>626</v>
      </c>
      <c r="B43" s="86" t="s">
        <v>704</v>
      </c>
      <c r="C43" s="86" t="s">
        <v>294</v>
      </c>
      <c r="D43" s="86" t="s">
        <v>732</v>
      </c>
      <c r="E43" s="86" t="s">
        <v>733</v>
      </c>
      <c r="F43" s="86" t="s">
        <v>734</v>
      </c>
      <c r="G43" s="86" t="s">
        <v>584</v>
      </c>
      <c r="H43" s="86" t="s">
        <v>735</v>
      </c>
      <c r="I43" s="87" t="s">
        <v>736</v>
      </c>
      <c r="J43" s="84" t="s">
        <v>554</v>
      </c>
      <c r="K43" s="84" t="s">
        <v>555</v>
      </c>
    </row>
    <row r="44" spans="1:11" ht="15.75" x14ac:dyDescent="0.3">
      <c r="A44" s="86" t="s">
        <v>632</v>
      </c>
      <c r="B44" s="86" t="s">
        <v>704</v>
      </c>
      <c r="C44" s="86" t="s">
        <v>294</v>
      </c>
      <c r="D44" s="86" t="s">
        <v>737</v>
      </c>
      <c r="E44" s="86" t="s">
        <v>738</v>
      </c>
      <c r="F44" s="86" t="s">
        <v>739</v>
      </c>
      <c r="G44" s="86" t="s">
        <v>740</v>
      </c>
      <c r="H44" s="86" t="s">
        <v>741</v>
      </c>
      <c r="I44" s="87" t="s">
        <v>710</v>
      </c>
      <c r="J44" s="84" t="s">
        <v>554</v>
      </c>
      <c r="K44" s="84" t="s">
        <v>555</v>
      </c>
    </row>
    <row r="45" spans="1:11" ht="15.75" x14ac:dyDescent="0.3">
      <c r="A45" s="86" t="s">
        <v>634</v>
      </c>
      <c r="B45" s="86" t="s">
        <v>704</v>
      </c>
      <c r="C45" s="86" t="s">
        <v>294</v>
      </c>
      <c r="D45" s="86" t="s">
        <v>742</v>
      </c>
      <c r="E45" s="86" t="s">
        <v>743</v>
      </c>
      <c r="F45" s="86" t="s">
        <v>744</v>
      </c>
      <c r="G45" s="86" t="s">
        <v>745</v>
      </c>
      <c r="H45" s="86" t="s">
        <v>746</v>
      </c>
      <c r="I45" s="87" t="s">
        <v>736</v>
      </c>
      <c r="J45" s="84" t="s">
        <v>554</v>
      </c>
      <c r="K45" s="84" t="s">
        <v>555</v>
      </c>
    </row>
    <row r="46" spans="1:11" ht="15.75" x14ac:dyDescent="0.3">
      <c r="A46" s="86" t="s">
        <v>637</v>
      </c>
      <c r="B46" s="86" t="s">
        <v>704</v>
      </c>
      <c r="C46" s="86" t="s">
        <v>294</v>
      </c>
      <c r="D46" s="86" t="s">
        <v>747</v>
      </c>
      <c r="E46" s="86" t="s">
        <v>748</v>
      </c>
      <c r="F46" s="86" t="s">
        <v>749</v>
      </c>
      <c r="G46" s="86" t="s">
        <v>750</v>
      </c>
      <c r="H46" s="86" t="s">
        <v>751</v>
      </c>
      <c r="I46" s="87" t="s">
        <v>721</v>
      </c>
      <c r="J46" s="84" t="s">
        <v>554</v>
      </c>
      <c r="K46" s="84" t="s">
        <v>555</v>
      </c>
    </row>
    <row r="47" spans="1:11" ht="15.75" x14ac:dyDescent="0.3">
      <c r="A47" s="86" t="s">
        <v>643</v>
      </c>
      <c r="B47" s="86" t="s">
        <v>704</v>
      </c>
      <c r="C47" s="86" t="s">
        <v>294</v>
      </c>
      <c r="D47" s="86" t="s">
        <v>752</v>
      </c>
      <c r="E47" s="86" t="s">
        <v>753</v>
      </c>
      <c r="F47" s="86" t="s">
        <v>217</v>
      </c>
      <c r="G47" s="86" t="s">
        <v>754</v>
      </c>
      <c r="H47" s="86" t="s">
        <v>755</v>
      </c>
      <c r="I47" s="87" t="s">
        <v>721</v>
      </c>
      <c r="J47" s="84" t="s">
        <v>554</v>
      </c>
      <c r="K47" s="84" t="s">
        <v>555</v>
      </c>
    </row>
    <row r="48" spans="1:11" ht="15.75" x14ac:dyDescent="0.3">
      <c r="A48" s="86" t="s">
        <v>647</v>
      </c>
      <c r="B48" s="86" t="s">
        <v>575</v>
      </c>
      <c r="C48" s="86" t="s">
        <v>292</v>
      </c>
      <c r="D48" s="86" t="s">
        <v>756</v>
      </c>
      <c r="E48" s="86" t="s">
        <v>757</v>
      </c>
      <c r="F48" s="86" t="s">
        <v>758</v>
      </c>
      <c r="G48" s="86" t="s">
        <v>701</v>
      </c>
      <c r="H48" s="86" t="s">
        <v>759</v>
      </c>
      <c r="I48" s="87" t="s">
        <v>581</v>
      </c>
      <c r="J48" s="84" t="s">
        <v>554</v>
      </c>
      <c r="K48" s="84" t="s">
        <v>555</v>
      </c>
    </row>
    <row r="49" spans="1:11" ht="15.75" x14ac:dyDescent="0.3">
      <c r="A49" s="86" t="s">
        <v>655</v>
      </c>
      <c r="B49" s="86" t="s">
        <v>575</v>
      </c>
      <c r="C49" s="86" t="s">
        <v>292</v>
      </c>
      <c r="D49" s="86" t="s">
        <v>760</v>
      </c>
      <c r="E49" s="86" t="s">
        <v>761</v>
      </c>
      <c r="F49" s="86" t="s">
        <v>762</v>
      </c>
      <c r="G49" s="86" t="s">
        <v>640</v>
      </c>
      <c r="H49" s="86" t="s">
        <v>763</v>
      </c>
      <c r="I49" s="87" t="s">
        <v>581</v>
      </c>
      <c r="J49" s="84" t="s">
        <v>554</v>
      </c>
      <c r="K49" s="84" t="s">
        <v>555</v>
      </c>
    </row>
    <row r="50" spans="1:11" ht="15.75" x14ac:dyDescent="0.3">
      <c r="A50" s="86" t="s">
        <v>764</v>
      </c>
      <c r="B50" s="86" t="s">
        <v>575</v>
      </c>
      <c r="C50" s="86" t="s">
        <v>292</v>
      </c>
      <c r="D50" s="86" t="s">
        <v>639</v>
      </c>
      <c r="E50" s="86" t="s">
        <v>22</v>
      </c>
      <c r="F50" s="86" t="s">
        <v>24</v>
      </c>
      <c r="G50" s="86" t="s">
        <v>640</v>
      </c>
      <c r="H50" s="86" t="s">
        <v>765</v>
      </c>
      <c r="I50" s="87" t="s">
        <v>581</v>
      </c>
      <c r="J50" s="84" t="s">
        <v>554</v>
      </c>
      <c r="K50" s="84" t="s">
        <v>555</v>
      </c>
    </row>
    <row r="51" spans="1:11" ht="15.75" x14ac:dyDescent="0.3">
      <c r="A51" s="86" t="s">
        <v>766</v>
      </c>
      <c r="B51" s="86" t="s">
        <v>767</v>
      </c>
      <c r="C51" s="86" t="s">
        <v>293</v>
      </c>
      <c r="D51" s="86" t="s">
        <v>768</v>
      </c>
      <c r="E51" s="86" t="s">
        <v>769</v>
      </c>
      <c r="F51" s="86" t="s">
        <v>770</v>
      </c>
      <c r="G51" s="86" t="s">
        <v>551</v>
      </c>
      <c r="H51" s="86" t="s">
        <v>771</v>
      </c>
      <c r="I51" s="87" t="s">
        <v>772</v>
      </c>
      <c r="J51" s="84" t="s">
        <v>554</v>
      </c>
      <c r="K51" s="84" t="s">
        <v>555</v>
      </c>
    </row>
    <row r="52" spans="1:11" ht="15.75" x14ac:dyDescent="0.3">
      <c r="A52" s="86" t="s">
        <v>773</v>
      </c>
      <c r="B52" s="86" t="s">
        <v>774</v>
      </c>
      <c r="C52" s="86" t="s">
        <v>293</v>
      </c>
      <c r="D52" s="86" t="s">
        <v>775</v>
      </c>
      <c r="E52" s="86" t="s">
        <v>776</v>
      </c>
      <c r="F52" s="86" t="s">
        <v>777</v>
      </c>
      <c r="G52" s="86" t="s">
        <v>683</v>
      </c>
      <c r="H52" s="86" t="s">
        <v>778</v>
      </c>
      <c r="I52" s="87" t="s">
        <v>779</v>
      </c>
      <c r="J52" s="84" t="s">
        <v>554</v>
      </c>
      <c r="K52" s="84" t="s">
        <v>555</v>
      </c>
    </row>
    <row r="53" spans="1:11" ht="15.75" x14ac:dyDescent="0.3">
      <c r="A53" s="86" t="s">
        <v>780</v>
      </c>
      <c r="B53" s="86" t="s">
        <v>781</v>
      </c>
      <c r="C53" s="86" t="s">
        <v>294</v>
      </c>
      <c r="D53" s="86" t="s">
        <v>782</v>
      </c>
      <c r="E53" s="86" t="s">
        <v>783</v>
      </c>
      <c r="F53" s="86" t="s">
        <v>784</v>
      </c>
      <c r="G53" s="86" t="s">
        <v>622</v>
      </c>
      <c r="H53" s="86" t="s">
        <v>785</v>
      </c>
      <c r="I53" s="87" t="s">
        <v>786</v>
      </c>
      <c r="J53" s="84" t="s">
        <v>554</v>
      </c>
      <c r="K53" s="84" t="s">
        <v>555</v>
      </c>
    </row>
    <row r="54" spans="1:11" ht="15.75" x14ac:dyDescent="0.3">
      <c r="A54" s="86" t="s">
        <v>787</v>
      </c>
      <c r="B54" s="86" t="s">
        <v>781</v>
      </c>
      <c r="C54" s="86" t="s">
        <v>294</v>
      </c>
      <c r="D54" s="86" t="s">
        <v>737</v>
      </c>
      <c r="E54" s="86" t="s">
        <v>738</v>
      </c>
      <c r="F54" s="86" t="s">
        <v>739</v>
      </c>
      <c r="G54" s="86" t="s">
        <v>740</v>
      </c>
      <c r="H54" s="86" t="s">
        <v>788</v>
      </c>
      <c r="I54" s="87" t="s">
        <v>789</v>
      </c>
      <c r="J54" s="84" t="s">
        <v>554</v>
      </c>
      <c r="K54" s="84" t="s">
        <v>555</v>
      </c>
    </row>
    <row r="55" spans="1:11" ht="15.75" x14ac:dyDescent="0.3">
      <c r="A55" s="86" t="s">
        <v>790</v>
      </c>
      <c r="B55" s="86" t="s">
        <v>781</v>
      </c>
      <c r="C55" s="86" t="s">
        <v>294</v>
      </c>
      <c r="D55" s="86" t="s">
        <v>791</v>
      </c>
      <c r="E55" s="86" t="s">
        <v>792</v>
      </c>
      <c r="F55" s="86" t="s">
        <v>793</v>
      </c>
      <c r="G55" s="86" t="s">
        <v>691</v>
      </c>
      <c r="H55" s="86" t="s">
        <v>794</v>
      </c>
      <c r="I55" s="87" t="s">
        <v>786</v>
      </c>
      <c r="J55" s="84" t="s">
        <v>554</v>
      </c>
      <c r="K55" s="84" t="s">
        <v>555</v>
      </c>
    </row>
    <row r="56" spans="1:11" ht="15.75" x14ac:dyDescent="0.3">
      <c r="A56" s="86" t="s">
        <v>795</v>
      </c>
      <c r="B56" s="86" t="s">
        <v>781</v>
      </c>
      <c r="C56" s="86" t="s">
        <v>294</v>
      </c>
      <c r="D56" s="86" t="s">
        <v>796</v>
      </c>
      <c r="E56" s="86" t="s">
        <v>797</v>
      </c>
      <c r="F56" s="86" t="s">
        <v>798</v>
      </c>
      <c r="G56" s="86" t="s">
        <v>588</v>
      </c>
      <c r="H56" s="86" t="s">
        <v>799</v>
      </c>
      <c r="I56" s="87" t="s">
        <v>786</v>
      </c>
      <c r="J56" s="84" t="s">
        <v>554</v>
      </c>
      <c r="K56" s="84" t="s">
        <v>555</v>
      </c>
    </row>
    <row r="57" spans="1:11" ht="15.75" x14ac:dyDescent="0.3">
      <c r="A57" s="86" t="s">
        <v>800</v>
      </c>
      <c r="B57" s="86" t="s">
        <v>781</v>
      </c>
      <c r="C57" s="86" t="s">
        <v>294</v>
      </c>
      <c r="D57" s="86" t="s">
        <v>591</v>
      </c>
      <c r="E57" s="86" t="s">
        <v>592</v>
      </c>
      <c r="F57" s="86" t="s">
        <v>593</v>
      </c>
      <c r="G57" s="86" t="s">
        <v>594</v>
      </c>
      <c r="H57" s="86" t="s">
        <v>801</v>
      </c>
      <c r="I57" s="87" t="s">
        <v>802</v>
      </c>
      <c r="J57" s="84" t="s">
        <v>554</v>
      </c>
      <c r="K57" s="84" t="s">
        <v>555</v>
      </c>
    </row>
    <row r="58" spans="1:11" ht="15.75" x14ac:dyDescent="0.3">
      <c r="A58" s="86" t="s">
        <v>803</v>
      </c>
      <c r="B58" s="86" t="s">
        <v>781</v>
      </c>
      <c r="C58" s="86" t="s">
        <v>294</v>
      </c>
      <c r="D58" s="86" t="s">
        <v>804</v>
      </c>
      <c r="E58" s="86" t="s">
        <v>805</v>
      </c>
      <c r="F58" s="86" t="s">
        <v>806</v>
      </c>
      <c r="G58" s="86" t="s">
        <v>807</v>
      </c>
      <c r="H58" s="86" t="s">
        <v>808</v>
      </c>
      <c r="I58" s="87" t="s">
        <v>786</v>
      </c>
      <c r="J58" s="84" t="s">
        <v>554</v>
      </c>
      <c r="K58" s="84" t="s">
        <v>555</v>
      </c>
    </row>
    <row r="59" spans="1:11" ht="15.75" x14ac:dyDescent="0.3">
      <c r="A59" s="86" t="s">
        <v>809</v>
      </c>
      <c r="B59" s="86" t="s">
        <v>781</v>
      </c>
      <c r="C59" s="86" t="s">
        <v>294</v>
      </c>
      <c r="D59" s="86" t="s">
        <v>810</v>
      </c>
      <c r="E59" s="86" t="s">
        <v>811</v>
      </c>
      <c r="F59" s="86" t="s">
        <v>812</v>
      </c>
      <c r="G59" s="86" t="s">
        <v>807</v>
      </c>
      <c r="H59" s="86" t="s">
        <v>813</v>
      </c>
      <c r="I59" s="87" t="s">
        <v>786</v>
      </c>
      <c r="J59" s="84" t="s">
        <v>554</v>
      </c>
      <c r="K59" s="84" t="s">
        <v>555</v>
      </c>
    </row>
    <row r="60" spans="1:11" ht="15.75" x14ac:dyDescent="0.3">
      <c r="A60" s="86" t="s">
        <v>814</v>
      </c>
      <c r="B60" s="86" t="s">
        <v>602</v>
      </c>
      <c r="C60" s="86" t="s">
        <v>294</v>
      </c>
      <c r="D60" s="86" t="s">
        <v>796</v>
      </c>
      <c r="E60" s="86" t="s">
        <v>797</v>
      </c>
      <c r="F60" s="86" t="s">
        <v>798</v>
      </c>
      <c r="G60" s="86" t="s">
        <v>588</v>
      </c>
      <c r="H60" s="86" t="s">
        <v>799</v>
      </c>
      <c r="I60" s="87" t="s">
        <v>815</v>
      </c>
      <c r="J60" s="84" t="s">
        <v>554</v>
      </c>
      <c r="K60" s="84" t="s">
        <v>555</v>
      </c>
    </row>
    <row r="61" spans="1:11" ht="15.75" x14ac:dyDescent="0.3">
      <c r="A61" s="86" t="s">
        <v>816</v>
      </c>
      <c r="B61" s="86" t="s">
        <v>602</v>
      </c>
      <c r="C61" s="86" t="s">
        <v>294</v>
      </c>
      <c r="D61" s="86" t="s">
        <v>591</v>
      </c>
      <c r="E61" s="86" t="s">
        <v>592</v>
      </c>
      <c r="F61" s="86" t="s">
        <v>593</v>
      </c>
      <c r="G61" s="86" t="s">
        <v>594</v>
      </c>
      <c r="H61" s="86" t="s">
        <v>801</v>
      </c>
      <c r="I61" s="87" t="s">
        <v>815</v>
      </c>
      <c r="J61" s="84" t="s">
        <v>554</v>
      </c>
      <c r="K61" s="84" t="s">
        <v>555</v>
      </c>
    </row>
    <row r="62" spans="1:11" ht="15.75" x14ac:dyDescent="0.3">
      <c r="A62" s="86" t="s">
        <v>817</v>
      </c>
      <c r="B62" s="86" t="s">
        <v>602</v>
      </c>
      <c r="C62" s="86" t="s">
        <v>294</v>
      </c>
      <c r="D62" s="86" t="s">
        <v>597</v>
      </c>
      <c r="E62" s="86" t="s">
        <v>598</v>
      </c>
      <c r="F62" s="86" t="s">
        <v>599</v>
      </c>
      <c r="G62" s="86" t="s">
        <v>551</v>
      </c>
      <c r="H62" s="86" t="s">
        <v>818</v>
      </c>
      <c r="I62" s="87" t="s">
        <v>815</v>
      </c>
      <c r="J62" s="84" t="s">
        <v>554</v>
      </c>
      <c r="K62" s="84" t="s">
        <v>555</v>
      </c>
    </row>
    <row r="63" spans="1:11" ht="15.75" x14ac:dyDescent="0.3">
      <c r="A63" s="86" t="s">
        <v>819</v>
      </c>
      <c r="B63" s="86" t="s">
        <v>820</v>
      </c>
      <c r="C63" s="86" t="s">
        <v>293</v>
      </c>
      <c r="D63" s="86" t="s">
        <v>821</v>
      </c>
      <c r="E63" s="86" t="s">
        <v>822</v>
      </c>
      <c r="F63" s="86" t="s">
        <v>823</v>
      </c>
      <c r="G63" s="86" t="s">
        <v>824</v>
      </c>
      <c r="H63" s="86" t="s">
        <v>825</v>
      </c>
      <c r="I63" s="87" t="s">
        <v>826</v>
      </c>
      <c r="J63" s="84" t="s">
        <v>554</v>
      </c>
      <c r="K63" s="84" t="s">
        <v>555</v>
      </c>
    </row>
    <row r="64" spans="1:11" ht="15.75" x14ac:dyDescent="0.3">
      <c r="A64" s="86" t="s">
        <v>827</v>
      </c>
      <c r="B64" s="86" t="s">
        <v>828</v>
      </c>
      <c r="C64" s="86" t="s">
        <v>294</v>
      </c>
      <c r="D64" s="86" t="s">
        <v>791</v>
      </c>
      <c r="E64" s="86" t="s">
        <v>792</v>
      </c>
      <c r="F64" s="86" t="s">
        <v>793</v>
      </c>
      <c r="G64" s="86" t="s">
        <v>740</v>
      </c>
      <c r="H64" s="86" t="s">
        <v>829</v>
      </c>
      <c r="I64" s="87" t="s">
        <v>830</v>
      </c>
      <c r="J64" s="84" t="s">
        <v>554</v>
      </c>
      <c r="K64" s="84" t="s">
        <v>555</v>
      </c>
    </row>
    <row r="65" spans="1:11" ht="15.75" x14ac:dyDescent="0.3">
      <c r="A65" s="86" t="s">
        <v>831</v>
      </c>
      <c r="B65" s="86" t="s">
        <v>828</v>
      </c>
      <c r="C65" s="86" t="s">
        <v>294</v>
      </c>
      <c r="D65" s="86" t="s">
        <v>747</v>
      </c>
      <c r="E65" s="86" t="s">
        <v>748</v>
      </c>
      <c r="F65" s="86" t="s">
        <v>749</v>
      </c>
      <c r="G65" s="86" t="s">
        <v>750</v>
      </c>
      <c r="H65" s="86" t="s">
        <v>832</v>
      </c>
      <c r="I65" s="87" t="s">
        <v>830</v>
      </c>
      <c r="J65" s="84" t="s">
        <v>554</v>
      </c>
      <c r="K65" s="84" t="s">
        <v>555</v>
      </c>
    </row>
    <row r="66" spans="1:11" ht="15.75" x14ac:dyDescent="0.3">
      <c r="A66" s="86" t="s">
        <v>833</v>
      </c>
      <c r="B66" s="86" t="s">
        <v>828</v>
      </c>
      <c r="C66" s="86" t="s">
        <v>294</v>
      </c>
      <c r="D66" s="86" t="s">
        <v>834</v>
      </c>
      <c r="E66" s="86" t="s">
        <v>185</v>
      </c>
      <c r="F66" s="86" t="s">
        <v>187</v>
      </c>
      <c r="G66" s="86" t="s">
        <v>675</v>
      </c>
      <c r="H66" s="86" t="s">
        <v>835</v>
      </c>
      <c r="I66" s="87" t="s">
        <v>830</v>
      </c>
      <c r="J66" s="84" t="s">
        <v>554</v>
      </c>
      <c r="K66" s="84" t="s">
        <v>555</v>
      </c>
    </row>
    <row r="67" spans="1:11" ht="15.75" x14ac:dyDescent="0.3">
      <c r="A67" s="86" t="s">
        <v>836</v>
      </c>
      <c r="B67" s="86" t="s">
        <v>837</v>
      </c>
      <c r="C67" s="86" t="s">
        <v>294</v>
      </c>
      <c r="D67" s="86" t="s">
        <v>838</v>
      </c>
      <c r="E67" s="86" t="s">
        <v>839</v>
      </c>
      <c r="F67" s="86" t="s">
        <v>840</v>
      </c>
      <c r="G67" s="86" t="s">
        <v>675</v>
      </c>
      <c r="H67" s="86" t="s">
        <v>841</v>
      </c>
      <c r="I67" s="87" t="s">
        <v>842</v>
      </c>
      <c r="J67" s="84" t="s">
        <v>554</v>
      </c>
      <c r="K67" s="84" t="s">
        <v>618</v>
      </c>
    </row>
    <row r="68" spans="1:11" ht="15.75" x14ac:dyDescent="0.3">
      <c r="A68" s="86" t="s">
        <v>843</v>
      </c>
      <c r="B68" s="86" t="s">
        <v>844</v>
      </c>
      <c r="C68" s="86" t="s">
        <v>292</v>
      </c>
      <c r="D68" s="86" t="s">
        <v>845</v>
      </c>
      <c r="E68" s="86" t="s">
        <v>846</v>
      </c>
      <c r="F68" s="86" t="s">
        <v>847</v>
      </c>
      <c r="G68" s="86" t="s">
        <v>640</v>
      </c>
      <c r="H68" s="86" t="s">
        <v>848</v>
      </c>
      <c r="I68" s="87" t="s">
        <v>849</v>
      </c>
      <c r="J68" s="84" t="s">
        <v>554</v>
      </c>
      <c r="K68" s="84" t="s">
        <v>555</v>
      </c>
    </row>
    <row r="69" spans="1:11" ht="15.75" x14ac:dyDescent="0.3">
      <c r="A69" s="86" t="s">
        <v>850</v>
      </c>
      <c r="B69" s="86" t="s">
        <v>844</v>
      </c>
      <c r="C69" s="86" t="s">
        <v>292</v>
      </c>
      <c r="D69" s="86" t="s">
        <v>587</v>
      </c>
      <c r="E69" s="86" t="s">
        <v>135</v>
      </c>
      <c r="F69" s="86" t="s">
        <v>137</v>
      </c>
      <c r="G69" s="86" t="s">
        <v>851</v>
      </c>
      <c r="H69" s="86" t="s">
        <v>852</v>
      </c>
      <c r="I69" s="87" t="s">
        <v>849</v>
      </c>
      <c r="J69" s="84" t="s">
        <v>554</v>
      </c>
      <c r="K69" s="84" t="s">
        <v>555</v>
      </c>
    </row>
    <row r="70" spans="1:11" ht="15.75" x14ac:dyDescent="0.3">
      <c r="A70" s="86" t="s">
        <v>853</v>
      </c>
      <c r="B70" s="86" t="s">
        <v>844</v>
      </c>
      <c r="C70" s="86" t="s">
        <v>292</v>
      </c>
      <c r="D70" s="86" t="s">
        <v>854</v>
      </c>
      <c r="E70" s="86" t="s">
        <v>855</v>
      </c>
      <c r="F70" s="86" t="s">
        <v>856</v>
      </c>
      <c r="G70" s="86" t="s">
        <v>630</v>
      </c>
      <c r="H70" s="86" t="s">
        <v>857</v>
      </c>
      <c r="I70" s="87" t="s">
        <v>849</v>
      </c>
      <c r="J70" s="84" t="s">
        <v>554</v>
      </c>
      <c r="K70" s="84" t="s">
        <v>555</v>
      </c>
    </row>
    <row r="71" spans="1:11" ht="15.75" x14ac:dyDescent="0.3">
      <c r="A71" s="86" t="s">
        <v>858</v>
      </c>
      <c r="B71" s="86" t="s">
        <v>844</v>
      </c>
      <c r="C71" s="86" t="s">
        <v>292</v>
      </c>
      <c r="D71" s="86" t="s">
        <v>859</v>
      </c>
      <c r="E71" s="86" t="s">
        <v>860</v>
      </c>
      <c r="F71" s="86" t="s">
        <v>861</v>
      </c>
      <c r="G71" s="86" t="s">
        <v>630</v>
      </c>
      <c r="H71" s="86" t="s">
        <v>862</v>
      </c>
      <c r="I71" s="87" t="s">
        <v>849</v>
      </c>
      <c r="J71" s="84" t="s">
        <v>554</v>
      </c>
      <c r="K71" s="84" t="s">
        <v>555</v>
      </c>
    </row>
    <row r="72" spans="1:11" ht="15.75" x14ac:dyDescent="0.3">
      <c r="A72" s="86" t="s">
        <v>863</v>
      </c>
      <c r="B72" s="86" t="s">
        <v>864</v>
      </c>
      <c r="C72" s="86" t="s">
        <v>294</v>
      </c>
      <c r="D72" s="86" t="s">
        <v>865</v>
      </c>
      <c r="E72" s="86" t="s">
        <v>28</v>
      </c>
      <c r="F72" s="86" t="s">
        <v>30</v>
      </c>
      <c r="G72" s="86" t="s">
        <v>640</v>
      </c>
      <c r="H72" s="86" t="s">
        <v>866</v>
      </c>
      <c r="I72" s="87" t="s">
        <v>867</v>
      </c>
      <c r="J72" s="84" t="s">
        <v>554</v>
      </c>
      <c r="K72" s="84" t="s">
        <v>618</v>
      </c>
    </row>
    <row r="73" spans="1:11" ht="15.75" x14ac:dyDescent="0.3">
      <c r="A73" s="86" t="s">
        <v>868</v>
      </c>
      <c r="B73" s="86" t="s">
        <v>864</v>
      </c>
      <c r="C73" s="86" t="s">
        <v>292</v>
      </c>
      <c r="D73" s="86" t="s">
        <v>869</v>
      </c>
      <c r="E73" s="86" t="s">
        <v>57</v>
      </c>
      <c r="F73" s="86" t="s">
        <v>59</v>
      </c>
      <c r="G73" s="86" t="s">
        <v>584</v>
      </c>
      <c r="H73" s="86" t="s">
        <v>870</v>
      </c>
      <c r="I73" s="87" t="s">
        <v>867</v>
      </c>
      <c r="J73" s="84" t="s">
        <v>554</v>
      </c>
      <c r="K73" s="84" t="s">
        <v>618</v>
      </c>
    </row>
    <row r="74" spans="1:11" ht="15.75" x14ac:dyDescent="0.3">
      <c r="A74" s="86" t="s">
        <v>871</v>
      </c>
      <c r="B74" s="86" t="s">
        <v>864</v>
      </c>
      <c r="C74" s="86" t="s">
        <v>292</v>
      </c>
      <c r="D74" s="86" t="s">
        <v>872</v>
      </c>
      <c r="E74" s="86" t="s">
        <v>196</v>
      </c>
      <c r="F74" s="86" t="s">
        <v>198</v>
      </c>
      <c r="G74" s="86" t="s">
        <v>661</v>
      </c>
      <c r="H74" s="86" t="s">
        <v>873</v>
      </c>
      <c r="I74" s="87" t="s">
        <v>867</v>
      </c>
      <c r="J74" s="84" t="s">
        <v>554</v>
      </c>
      <c r="K74" s="84" t="s">
        <v>618</v>
      </c>
    </row>
    <row r="75" spans="1:11" ht="15.75" x14ac:dyDescent="0.3">
      <c r="A75" s="86" t="s">
        <v>874</v>
      </c>
      <c r="B75" s="86" t="s">
        <v>864</v>
      </c>
      <c r="C75" s="86" t="s">
        <v>292</v>
      </c>
      <c r="D75" s="86" t="s">
        <v>875</v>
      </c>
      <c r="E75" s="86" t="s">
        <v>200</v>
      </c>
      <c r="F75" s="86" t="s">
        <v>202</v>
      </c>
      <c r="G75" s="86" t="s">
        <v>630</v>
      </c>
      <c r="H75" s="86" t="s">
        <v>876</v>
      </c>
      <c r="I75" s="87" t="s">
        <v>867</v>
      </c>
      <c r="J75" s="84" t="s">
        <v>554</v>
      </c>
      <c r="K75" s="84" t="s">
        <v>618</v>
      </c>
    </row>
    <row r="76" spans="1:11" ht="15.75" x14ac:dyDescent="0.3">
      <c r="A76" s="86" t="s">
        <v>877</v>
      </c>
      <c r="B76" s="86" t="s">
        <v>864</v>
      </c>
      <c r="C76" s="86" t="s">
        <v>294</v>
      </c>
      <c r="D76" s="86" t="s">
        <v>838</v>
      </c>
      <c r="E76" s="86" t="s">
        <v>839</v>
      </c>
      <c r="F76" s="86" t="s">
        <v>840</v>
      </c>
      <c r="G76" s="86" t="s">
        <v>807</v>
      </c>
      <c r="H76" s="86" t="s">
        <v>878</v>
      </c>
      <c r="I76" s="87" t="s">
        <v>867</v>
      </c>
      <c r="J76" s="84" t="s">
        <v>554</v>
      </c>
      <c r="K76" s="84" t="s">
        <v>618</v>
      </c>
    </row>
    <row r="77" spans="1:11" ht="15.75" x14ac:dyDescent="0.3">
      <c r="A77" s="86" t="s">
        <v>879</v>
      </c>
      <c r="B77" s="86" t="s">
        <v>864</v>
      </c>
      <c r="C77" s="86" t="s">
        <v>292</v>
      </c>
      <c r="D77" s="86" t="s">
        <v>880</v>
      </c>
      <c r="E77" s="86" t="s">
        <v>71</v>
      </c>
      <c r="F77" s="86" t="s">
        <v>73</v>
      </c>
      <c r="G77" s="86" t="s">
        <v>807</v>
      </c>
      <c r="H77" s="86" t="s">
        <v>881</v>
      </c>
      <c r="I77" s="87" t="s">
        <v>867</v>
      </c>
      <c r="J77" s="84" t="s">
        <v>554</v>
      </c>
      <c r="K77" s="84" t="s">
        <v>618</v>
      </c>
    </row>
    <row r="78" spans="1:11" ht="15.75" x14ac:dyDescent="0.3">
      <c r="A78" s="86" t="s">
        <v>882</v>
      </c>
      <c r="B78" s="86" t="s">
        <v>864</v>
      </c>
      <c r="C78" s="86" t="s">
        <v>292</v>
      </c>
      <c r="D78" s="86" t="s">
        <v>883</v>
      </c>
      <c r="E78" s="86" t="s">
        <v>75</v>
      </c>
      <c r="F78" s="86" t="s">
        <v>77</v>
      </c>
      <c r="G78" s="86" t="s">
        <v>807</v>
      </c>
      <c r="H78" s="86" t="s">
        <v>884</v>
      </c>
      <c r="I78" s="87" t="s">
        <v>867</v>
      </c>
      <c r="J78" s="84" t="s">
        <v>554</v>
      </c>
      <c r="K78" s="84" t="s">
        <v>618</v>
      </c>
    </row>
    <row r="79" spans="1:11" ht="15.75" x14ac:dyDescent="0.3">
      <c r="A79" s="86" t="s">
        <v>885</v>
      </c>
      <c r="B79" s="86" t="s">
        <v>864</v>
      </c>
      <c r="C79" s="86" t="s">
        <v>293</v>
      </c>
      <c r="D79" s="86" t="s">
        <v>886</v>
      </c>
      <c r="E79" s="86" t="s">
        <v>83</v>
      </c>
      <c r="F79" s="86" t="s">
        <v>85</v>
      </c>
      <c r="G79" s="86" t="s">
        <v>551</v>
      </c>
      <c r="H79" s="86" t="s">
        <v>887</v>
      </c>
      <c r="I79" s="87" t="s">
        <v>867</v>
      </c>
      <c r="J79" s="84" t="s">
        <v>554</v>
      </c>
      <c r="K79" s="84" t="s">
        <v>618</v>
      </c>
    </row>
    <row r="80" spans="1:11" ht="15.75" x14ac:dyDescent="0.3">
      <c r="A80" s="86" t="s">
        <v>888</v>
      </c>
      <c r="B80" s="86" t="s">
        <v>889</v>
      </c>
      <c r="C80" s="86" t="s">
        <v>292</v>
      </c>
      <c r="D80" s="86" t="s">
        <v>695</v>
      </c>
      <c r="E80" s="86" t="s">
        <v>696</v>
      </c>
      <c r="F80" s="86" t="s">
        <v>697</v>
      </c>
      <c r="G80" s="86" t="s">
        <v>594</v>
      </c>
      <c r="H80" s="86" t="s">
        <v>698</v>
      </c>
      <c r="I80" s="87" t="s">
        <v>890</v>
      </c>
      <c r="J80" s="84" t="s">
        <v>554</v>
      </c>
      <c r="K80" s="84" t="s">
        <v>555</v>
      </c>
    </row>
    <row r="81" spans="1:11" ht="15.75" x14ac:dyDescent="0.3">
      <c r="A81" s="86" t="s">
        <v>891</v>
      </c>
      <c r="B81" s="86" t="s">
        <v>892</v>
      </c>
      <c r="C81" s="86" t="s">
        <v>293</v>
      </c>
      <c r="D81" s="86" t="s">
        <v>657</v>
      </c>
      <c r="E81" s="86" t="s">
        <v>48</v>
      </c>
      <c r="F81" s="86" t="s">
        <v>50</v>
      </c>
      <c r="G81" s="86" t="s">
        <v>615</v>
      </c>
      <c r="H81" s="86" t="s">
        <v>893</v>
      </c>
      <c r="I81" s="87" t="s">
        <v>894</v>
      </c>
      <c r="J81" s="84" t="s">
        <v>554</v>
      </c>
      <c r="K81" s="84" t="s">
        <v>555</v>
      </c>
    </row>
    <row r="82" spans="1:11" ht="15.75" x14ac:dyDescent="0.3">
      <c r="A82" s="86" t="s">
        <v>895</v>
      </c>
      <c r="B82" s="86" t="s">
        <v>892</v>
      </c>
      <c r="C82" s="86" t="s">
        <v>292</v>
      </c>
      <c r="D82" s="86" t="s">
        <v>587</v>
      </c>
      <c r="E82" s="86" t="s">
        <v>135</v>
      </c>
      <c r="F82" s="86" t="s">
        <v>137</v>
      </c>
      <c r="G82" s="86" t="s">
        <v>851</v>
      </c>
      <c r="H82" s="86" t="s">
        <v>896</v>
      </c>
      <c r="I82" s="87" t="s">
        <v>894</v>
      </c>
      <c r="J82" s="84" t="s">
        <v>554</v>
      </c>
      <c r="K82" s="84" t="s">
        <v>555</v>
      </c>
    </row>
    <row r="83" spans="1:11" ht="15.75" x14ac:dyDescent="0.3">
      <c r="A83" s="86" t="s">
        <v>897</v>
      </c>
      <c r="B83" s="86" t="s">
        <v>898</v>
      </c>
      <c r="C83" s="86" t="s">
        <v>293</v>
      </c>
      <c r="D83" s="86" t="s">
        <v>657</v>
      </c>
      <c r="E83" s="86" t="s">
        <v>48</v>
      </c>
      <c r="F83" s="86" t="s">
        <v>50</v>
      </c>
      <c r="G83" s="86" t="s">
        <v>615</v>
      </c>
      <c r="H83" s="86" t="s">
        <v>893</v>
      </c>
      <c r="I83" s="87" t="s">
        <v>894</v>
      </c>
      <c r="J83" s="84" t="s">
        <v>554</v>
      </c>
      <c r="K83" s="84" t="s">
        <v>555</v>
      </c>
    </row>
    <row r="84" spans="1:11" ht="15.75" x14ac:dyDescent="0.3">
      <c r="A84" s="86" t="s">
        <v>899</v>
      </c>
      <c r="B84" s="86" t="s">
        <v>900</v>
      </c>
      <c r="C84" s="86" t="s">
        <v>294</v>
      </c>
      <c r="D84" s="86" t="s">
        <v>711</v>
      </c>
      <c r="E84" s="86" t="s">
        <v>278</v>
      </c>
      <c r="F84" s="86" t="s">
        <v>280</v>
      </c>
      <c r="G84" s="86" t="s">
        <v>851</v>
      </c>
      <c r="H84" s="86" t="s">
        <v>901</v>
      </c>
      <c r="I84" s="87" t="s">
        <v>902</v>
      </c>
      <c r="J84" s="84" t="s">
        <v>554</v>
      </c>
      <c r="K84" s="84" t="s">
        <v>555</v>
      </c>
    </row>
    <row r="85" spans="1:11" ht="15.75" x14ac:dyDescent="0.3">
      <c r="A85" s="86" t="s">
        <v>903</v>
      </c>
      <c r="B85" s="86" t="s">
        <v>904</v>
      </c>
      <c r="C85" s="86" t="s">
        <v>292</v>
      </c>
      <c r="D85" s="86" t="s">
        <v>905</v>
      </c>
      <c r="E85" s="86" t="s">
        <v>139</v>
      </c>
      <c r="F85" s="86" t="s">
        <v>141</v>
      </c>
      <c r="G85" s="86" t="s">
        <v>588</v>
      </c>
      <c r="H85" s="86" t="s">
        <v>906</v>
      </c>
      <c r="I85" s="87" t="s">
        <v>907</v>
      </c>
      <c r="J85" s="84" t="s">
        <v>554</v>
      </c>
      <c r="K85" s="84" t="s">
        <v>555</v>
      </c>
    </row>
    <row r="86" spans="1:11" ht="15.75" x14ac:dyDescent="0.3">
      <c r="A86" s="86" t="s">
        <v>908</v>
      </c>
      <c r="B86" s="86" t="s">
        <v>909</v>
      </c>
      <c r="C86" s="86" t="s">
        <v>292</v>
      </c>
      <c r="D86" s="86" t="s">
        <v>910</v>
      </c>
      <c r="E86" s="86" t="s">
        <v>911</v>
      </c>
      <c r="F86" s="86" t="s">
        <v>912</v>
      </c>
      <c r="G86" s="86" t="s">
        <v>745</v>
      </c>
      <c r="H86" s="86" t="s">
        <v>913</v>
      </c>
      <c r="I86" s="87" t="s">
        <v>914</v>
      </c>
      <c r="J86" s="84" t="s">
        <v>554</v>
      </c>
      <c r="K86" s="84" t="s">
        <v>555</v>
      </c>
    </row>
    <row r="87" spans="1:11" ht="15.75" x14ac:dyDescent="0.3">
      <c r="A87" s="86" t="s">
        <v>915</v>
      </c>
      <c r="B87" s="86" t="s">
        <v>916</v>
      </c>
      <c r="C87" s="86" t="s">
        <v>292</v>
      </c>
      <c r="D87" s="86" t="s">
        <v>917</v>
      </c>
      <c r="E87" s="86" t="s">
        <v>918</v>
      </c>
      <c r="F87" s="86" t="s">
        <v>919</v>
      </c>
      <c r="G87" s="86" t="s">
        <v>630</v>
      </c>
      <c r="H87" s="86" t="s">
        <v>920</v>
      </c>
      <c r="I87" s="87" t="s">
        <v>921</v>
      </c>
      <c r="J87" s="84" t="s">
        <v>554</v>
      </c>
      <c r="K87" s="84" t="s">
        <v>555</v>
      </c>
    </row>
    <row r="88" spans="1:11" ht="15.75" x14ac:dyDescent="0.3">
      <c r="A88" s="86" t="s">
        <v>922</v>
      </c>
      <c r="B88" s="86" t="s">
        <v>923</v>
      </c>
      <c r="C88" s="86" t="s">
        <v>293</v>
      </c>
      <c r="D88" s="86" t="s">
        <v>924</v>
      </c>
      <c r="E88" s="86" t="s">
        <v>925</v>
      </c>
      <c r="F88" s="86" t="s">
        <v>128</v>
      </c>
      <c r="G88" s="86" t="s">
        <v>652</v>
      </c>
      <c r="H88" s="86" t="s">
        <v>926</v>
      </c>
      <c r="I88" s="87" t="s">
        <v>927</v>
      </c>
      <c r="J88" s="84" t="s">
        <v>554</v>
      </c>
      <c r="K88" s="84" t="s">
        <v>555</v>
      </c>
    </row>
    <row r="89" spans="1:11" ht="15.75" x14ac:dyDescent="0.3">
      <c r="A89" s="86" t="s">
        <v>928</v>
      </c>
      <c r="B89" s="86" t="s">
        <v>923</v>
      </c>
      <c r="C89" s="86" t="s">
        <v>293</v>
      </c>
      <c r="D89" s="86" t="s">
        <v>834</v>
      </c>
      <c r="E89" s="86" t="s">
        <v>929</v>
      </c>
      <c r="F89" s="86" t="s">
        <v>187</v>
      </c>
      <c r="G89" s="86" t="s">
        <v>588</v>
      </c>
      <c r="H89" s="86" t="s">
        <v>930</v>
      </c>
      <c r="I89" s="87" t="s">
        <v>931</v>
      </c>
      <c r="J89" s="84" t="s">
        <v>554</v>
      </c>
      <c r="K89" s="84" t="s">
        <v>555</v>
      </c>
    </row>
    <row r="90" spans="1:11" ht="15.75" x14ac:dyDescent="0.3">
      <c r="A90" s="86" t="s">
        <v>932</v>
      </c>
      <c r="B90" s="86" t="s">
        <v>933</v>
      </c>
      <c r="C90" s="86" t="s">
        <v>292</v>
      </c>
      <c r="D90" s="86" t="s">
        <v>587</v>
      </c>
      <c r="E90" s="86" t="s">
        <v>135</v>
      </c>
      <c r="F90" s="86" t="s">
        <v>137</v>
      </c>
      <c r="G90" s="86" t="s">
        <v>851</v>
      </c>
      <c r="H90" s="86" t="s">
        <v>896</v>
      </c>
      <c r="I90" s="87" t="s">
        <v>934</v>
      </c>
      <c r="J90" s="84" t="s">
        <v>554</v>
      </c>
      <c r="K90" s="84" t="s">
        <v>555</v>
      </c>
    </row>
    <row r="91" spans="1:11" ht="15.75" x14ac:dyDescent="0.3">
      <c r="A91" s="86" t="s">
        <v>935</v>
      </c>
      <c r="B91" s="86" t="s">
        <v>936</v>
      </c>
      <c r="C91" s="86" t="s">
        <v>292</v>
      </c>
      <c r="D91" s="86" t="s">
        <v>587</v>
      </c>
      <c r="E91" s="86" t="s">
        <v>135</v>
      </c>
      <c r="F91" s="86" t="s">
        <v>137</v>
      </c>
      <c r="G91" s="86" t="s">
        <v>851</v>
      </c>
      <c r="H91" s="86" t="s">
        <v>896</v>
      </c>
      <c r="I91" s="87" t="s">
        <v>937</v>
      </c>
      <c r="J91" s="84" t="s">
        <v>554</v>
      </c>
      <c r="K91" s="84" t="s">
        <v>555</v>
      </c>
    </row>
    <row r="92" spans="1:11" ht="15.75" x14ac:dyDescent="0.3">
      <c r="A92" s="86" t="s">
        <v>938</v>
      </c>
      <c r="B92" s="86" t="s">
        <v>939</v>
      </c>
      <c r="C92" s="86" t="s">
        <v>292</v>
      </c>
      <c r="D92" s="86" t="s">
        <v>940</v>
      </c>
      <c r="E92" s="86" t="s">
        <v>161</v>
      </c>
      <c r="F92" s="86" t="s">
        <v>163</v>
      </c>
      <c r="G92" s="86" t="s">
        <v>675</v>
      </c>
      <c r="H92" s="86" t="s">
        <v>941</v>
      </c>
      <c r="I92" s="87" t="s">
        <v>942</v>
      </c>
      <c r="J92" s="84" t="s">
        <v>554</v>
      </c>
      <c r="K92" s="84" t="s">
        <v>555</v>
      </c>
    </row>
    <row r="93" spans="1:11" ht="15.75" x14ac:dyDescent="0.3">
      <c r="A93" s="86" t="s">
        <v>943</v>
      </c>
      <c r="B93" s="86" t="s">
        <v>944</v>
      </c>
      <c r="C93" s="86" t="s">
        <v>292</v>
      </c>
      <c r="D93" s="86" t="s">
        <v>583</v>
      </c>
      <c r="E93" s="86" t="s">
        <v>53</v>
      </c>
      <c r="F93" s="86" t="s">
        <v>55</v>
      </c>
      <c r="G93" s="86" t="s">
        <v>661</v>
      </c>
      <c r="H93" s="86" t="s">
        <v>670</v>
      </c>
      <c r="I93" s="87" t="s">
        <v>689</v>
      </c>
      <c r="J93" s="84" t="s">
        <v>554</v>
      </c>
      <c r="K93" s="84" t="s">
        <v>555</v>
      </c>
    </row>
    <row r="94" spans="1:11" ht="15.75" x14ac:dyDescent="0.3">
      <c r="A94" s="86" t="s">
        <v>945</v>
      </c>
      <c r="B94" s="86" t="s">
        <v>946</v>
      </c>
      <c r="C94" s="86" t="s">
        <v>292</v>
      </c>
      <c r="D94" s="86" t="s">
        <v>947</v>
      </c>
      <c r="E94" s="86" t="s">
        <v>131</v>
      </c>
      <c r="F94" s="86" t="s">
        <v>133</v>
      </c>
      <c r="G94" s="86" t="s">
        <v>740</v>
      </c>
      <c r="H94" s="86" t="s">
        <v>948</v>
      </c>
      <c r="I94" s="87" t="s">
        <v>949</v>
      </c>
      <c r="J94" s="84" t="s">
        <v>554</v>
      </c>
      <c r="K94" s="84" t="s">
        <v>555</v>
      </c>
    </row>
    <row r="95" spans="1:11" ht="15.75" x14ac:dyDescent="0.3">
      <c r="A95" s="86" t="s">
        <v>950</v>
      </c>
      <c r="B95" s="86" t="s">
        <v>946</v>
      </c>
      <c r="C95" s="86" t="s">
        <v>293</v>
      </c>
      <c r="D95" s="86" t="s">
        <v>951</v>
      </c>
      <c r="E95" s="86" t="s">
        <v>267</v>
      </c>
      <c r="F95" s="86" t="s">
        <v>269</v>
      </c>
      <c r="G95" s="86" t="s">
        <v>745</v>
      </c>
      <c r="H95" s="86" t="s">
        <v>952</v>
      </c>
      <c r="I95" s="87" t="s">
        <v>949</v>
      </c>
      <c r="J95" s="84" t="s">
        <v>554</v>
      </c>
      <c r="K95" s="84" t="s">
        <v>555</v>
      </c>
    </row>
    <row r="96" spans="1:11" ht="15.75" x14ac:dyDescent="0.3">
      <c r="A96" s="86" t="s">
        <v>953</v>
      </c>
      <c r="B96" s="86" t="s">
        <v>954</v>
      </c>
      <c r="C96" s="86" t="s">
        <v>293</v>
      </c>
      <c r="D96" s="86" t="s">
        <v>955</v>
      </c>
      <c r="E96" s="86" t="s">
        <v>38</v>
      </c>
      <c r="F96" s="86" t="s">
        <v>40</v>
      </c>
      <c r="G96" s="86" t="s">
        <v>622</v>
      </c>
      <c r="H96" s="86" t="s">
        <v>956</v>
      </c>
      <c r="I96" s="87" t="s">
        <v>957</v>
      </c>
      <c r="J96" s="84" t="s">
        <v>554</v>
      </c>
      <c r="K96" s="84" t="s">
        <v>555</v>
      </c>
    </row>
    <row r="97" spans="1:11" ht="15.75" x14ac:dyDescent="0.3">
      <c r="A97" s="86" t="s">
        <v>958</v>
      </c>
      <c r="B97" s="86" t="s">
        <v>954</v>
      </c>
      <c r="C97" s="86" t="s">
        <v>292</v>
      </c>
      <c r="D97" s="86" t="s">
        <v>883</v>
      </c>
      <c r="E97" s="86" t="s">
        <v>75</v>
      </c>
      <c r="F97" s="86" t="s">
        <v>77</v>
      </c>
      <c r="G97" s="86" t="s">
        <v>807</v>
      </c>
      <c r="H97" s="86" t="s">
        <v>959</v>
      </c>
      <c r="I97" s="87" t="s">
        <v>957</v>
      </c>
      <c r="J97" s="84" t="s">
        <v>554</v>
      </c>
      <c r="K97" s="84" t="s">
        <v>555</v>
      </c>
    </row>
    <row r="98" spans="1:11" ht="15.75" x14ac:dyDescent="0.3">
      <c r="A98" s="86" t="s">
        <v>960</v>
      </c>
      <c r="B98" s="86" t="s">
        <v>961</v>
      </c>
      <c r="C98" s="86" t="s">
        <v>293</v>
      </c>
      <c r="D98" s="86" t="s">
        <v>962</v>
      </c>
      <c r="E98" s="86" t="s">
        <v>963</v>
      </c>
      <c r="F98" s="86" t="s">
        <v>964</v>
      </c>
      <c r="G98" s="86" t="s">
        <v>965</v>
      </c>
      <c r="H98" s="86" t="s">
        <v>966</v>
      </c>
      <c r="I98" s="87" t="s">
        <v>967</v>
      </c>
      <c r="J98" s="84" t="s">
        <v>554</v>
      </c>
      <c r="K98" s="84" t="s">
        <v>555</v>
      </c>
    </row>
    <row r="99" spans="1:11" ht="15.75" x14ac:dyDescent="0.3">
      <c r="A99" s="86" t="s">
        <v>968</v>
      </c>
      <c r="B99" s="86" t="s">
        <v>969</v>
      </c>
      <c r="C99" s="86" t="s">
        <v>292</v>
      </c>
      <c r="D99" s="86" t="s">
        <v>970</v>
      </c>
      <c r="E99" s="86" t="s">
        <v>971</v>
      </c>
      <c r="F99" s="86" t="s">
        <v>972</v>
      </c>
      <c r="G99" s="86" t="s">
        <v>708</v>
      </c>
      <c r="H99" s="86" t="s">
        <v>973</v>
      </c>
      <c r="I99" s="87" t="s">
        <v>974</v>
      </c>
      <c r="J99" s="84" t="s">
        <v>554</v>
      </c>
      <c r="K99" s="84" t="s">
        <v>555</v>
      </c>
    </row>
    <row r="100" spans="1:11" ht="15.75" x14ac:dyDescent="0.3">
      <c r="A100" s="86" t="s">
        <v>975</v>
      </c>
      <c r="B100" s="86" t="s">
        <v>976</v>
      </c>
      <c r="C100" s="86" t="s">
        <v>292</v>
      </c>
      <c r="D100" s="86" t="s">
        <v>639</v>
      </c>
      <c r="E100" s="86" t="s">
        <v>22</v>
      </c>
      <c r="F100" s="86" t="s">
        <v>24</v>
      </c>
      <c r="G100" s="86" t="s">
        <v>701</v>
      </c>
      <c r="H100" s="86" t="s">
        <v>977</v>
      </c>
      <c r="I100" s="87" t="s">
        <v>978</v>
      </c>
      <c r="J100" s="84" t="s">
        <v>554</v>
      </c>
      <c r="K100" s="84" t="s">
        <v>555</v>
      </c>
    </row>
    <row r="101" spans="1:11" ht="15.75" x14ac:dyDescent="0.3">
      <c r="A101" s="86" t="s">
        <v>979</v>
      </c>
      <c r="B101" s="86" t="s">
        <v>976</v>
      </c>
      <c r="C101" s="86" t="s">
        <v>293</v>
      </c>
      <c r="D101" s="86" t="s">
        <v>980</v>
      </c>
      <c r="E101" s="86" t="s">
        <v>224</v>
      </c>
      <c r="F101" s="86" t="s">
        <v>226</v>
      </c>
      <c r="G101" s="86" t="s">
        <v>652</v>
      </c>
      <c r="H101" s="86" t="s">
        <v>981</v>
      </c>
      <c r="I101" s="87" t="s">
        <v>978</v>
      </c>
      <c r="J101" s="84" t="s">
        <v>554</v>
      </c>
      <c r="K101" s="84" t="s">
        <v>555</v>
      </c>
    </row>
    <row r="102" spans="1:11" ht="15.75" x14ac:dyDescent="0.3">
      <c r="A102" s="86" t="s">
        <v>982</v>
      </c>
      <c r="B102" s="86" t="s">
        <v>976</v>
      </c>
      <c r="C102" s="86" t="s">
        <v>293</v>
      </c>
      <c r="D102" s="86" t="s">
        <v>834</v>
      </c>
      <c r="E102" s="86" t="s">
        <v>929</v>
      </c>
      <c r="F102" s="86" t="s">
        <v>187</v>
      </c>
      <c r="G102" s="86" t="s">
        <v>588</v>
      </c>
      <c r="H102" s="86" t="s">
        <v>983</v>
      </c>
      <c r="I102" s="87" t="s">
        <v>978</v>
      </c>
      <c r="J102" s="84" t="s">
        <v>554</v>
      </c>
      <c r="K102" s="84" t="s">
        <v>555</v>
      </c>
    </row>
    <row r="103" spans="1:11" ht="15.75" x14ac:dyDescent="0.3">
      <c r="A103" s="86" t="s">
        <v>984</v>
      </c>
      <c r="B103" s="86" t="s">
        <v>976</v>
      </c>
      <c r="C103" s="86" t="s">
        <v>293</v>
      </c>
      <c r="D103" s="86" t="s">
        <v>985</v>
      </c>
      <c r="E103" s="86" t="s">
        <v>106</v>
      </c>
      <c r="F103" s="86" t="s">
        <v>108</v>
      </c>
      <c r="G103" s="86" t="s">
        <v>807</v>
      </c>
      <c r="H103" s="86" t="s">
        <v>986</v>
      </c>
      <c r="I103" s="87" t="s">
        <v>978</v>
      </c>
      <c r="J103" s="84" t="s">
        <v>554</v>
      </c>
      <c r="K103" s="84" t="s">
        <v>555</v>
      </c>
    </row>
    <row r="104" spans="1:11" ht="15.75" x14ac:dyDescent="0.3">
      <c r="A104" s="86" t="s">
        <v>987</v>
      </c>
      <c r="B104" s="86" t="s">
        <v>988</v>
      </c>
      <c r="C104" s="86" t="s">
        <v>292</v>
      </c>
      <c r="D104" s="86" t="s">
        <v>989</v>
      </c>
      <c r="E104" s="86" t="s">
        <v>252</v>
      </c>
      <c r="F104" s="86" t="s">
        <v>254</v>
      </c>
      <c r="G104" s="86" t="s">
        <v>990</v>
      </c>
      <c r="H104" s="86" t="s">
        <v>991</v>
      </c>
      <c r="I104" s="87" t="s">
        <v>967</v>
      </c>
      <c r="J104" s="84" t="s">
        <v>554</v>
      </c>
      <c r="K104" s="84" t="s">
        <v>555</v>
      </c>
    </row>
    <row r="105" spans="1:11" ht="15.75" x14ac:dyDescent="0.3">
      <c r="A105" s="86" t="s">
        <v>992</v>
      </c>
      <c r="B105" s="86" t="s">
        <v>993</v>
      </c>
      <c r="C105" s="86" t="s">
        <v>294</v>
      </c>
      <c r="D105" s="86" t="s">
        <v>834</v>
      </c>
      <c r="E105" s="86" t="s">
        <v>185</v>
      </c>
      <c r="F105" s="86" t="s">
        <v>187</v>
      </c>
      <c r="G105" s="86" t="s">
        <v>851</v>
      </c>
      <c r="H105" s="86" t="s">
        <v>994</v>
      </c>
      <c r="I105" s="87" t="s">
        <v>995</v>
      </c>
      <c r="J105" s="84" t="s">
        <v>554</v>
      </c>
      <c r="K105" s="84" t="s">
        <v>555</v>
      </c>
    </row>
    <row r="106" spans="1:11" ht="15.75" x14ac:dyDescent="0.3">
      <c r="A106" s="86" t="s">
        <v>996</v>
      </c>
      <c r="B106" s="86" t="s">
        <v>997</v>
      </c>
      <c r="C106" s="86" t="s">
        <v>294</v>
      </c>
      <c r="D106" s="86" t="s">
        <v>752</v>
      </c>
      <c r="E106" s="86" t="s">
        <v>753</v>
      </c>
      <c r="F106" s="86" t="s">
        <v>217</v>
      </c>
      <c r="G106" s="86" t="s">
        <v>754</v>
      </c>
      <c r="H106" s="86" t="s">
        <v>755</v>
      </c>
      <c r="I106" s="87" t="s">
        <v>998</v>
      </c>
      <c r="J106" s="84" t="s">
        <v>554</v>
      </c>
      <c r="K106" s="84" t="s">
        <v>555</v>
      </c>
    </row>
    <row r="107" spans="1:11" ht="15.75" x14ac:dyDescent="0.3">
      <c r="A107" s="86" t="s">
        <v>999</v>
      </c>
      <c r="B107" s="86" t="s">
        <v>1000</v>
      </c>
      <c r="C107" s="86" t="s">
        <v>293</v>
      </c>
      <c r="D107" s="86" t="s">
        <v>1001</v>
      </c>
      <c r="E107" s="86" t="s">
        <v>1002</v>
      </c>
      <c r="F107" s="86" t="s">
        <v>1003</v>
      </c>
      <c r="G107" s="86" t="s">
        <v>645</v>
      </c>
      <c r="H107" s="86" t="s">
        <v>1004</v>
      </c>
      <c r="I107" s="87" t="s">
        <v>1005</v>
      </c>
      <c r="J107" s="84" t="s">
        <v>554</v>
      </c>
      <c r="K107" s="84" t="s">
        <v>555</v>
      </c>
    </row>
    <row r="108" spans="1:11" ht="15.75" x14ac:dyDescent="0.3">
      <c r="A108" s="86" t="s">
        <v>1006</v>
      </c>
      <c r="B108" s="86" t="s">
        <v>1007</v>
      </c>
      <c r="C108" s="86" t="s">
        <v>293</v>
      </c>
      <c r="D108" s="86" t="s">
        <v>821</v>
      </c>
      <c r="E108" s="86" t="s">
        <v>822</v>
      </c>
      <c r="F108" s="86" t="s">
        <v>823</v>
      </c>
      <c r="G108" s="86" t="s">
        <v>701</v>
      </c>
      <c r="H108" s="86" t="s">
        <v>1008</v>
      </c>
      <c r="I108" s="87" t="s">
        <v>1009</v>
      </c>
      <c r="J108" s="84" t="s">
        <v>554</v>
      </c>
      <c r="K108" s="84" t="s">
        <v>555</v>
      </c>
    </row>
    <row r="109" spans="1:11" ht="15.75" x14ac:dyDescent="0.3">
      <c r="A109" s="86" t="s">
        <v>1010</v>
      </c>
      <c r="B109" s="86" t="s">
        <v>1007</v>
      </c>
      <c r="C109" s="86" t="s">
        <v>292</v>
      </c>
      <c r="D109" s="86" t="s">
        <v>1011</v>
      </c>
      <c r="E109" s="86" t="s">
        <v>1012</v>
      </c>
      <c r="F109" s="86" t="s">
        <v>1013</v>
      </c>
      <c r="G109" s="86" t="s">
        <v>745</v>
      </c>
      <c r="H109" s="86" t="s">
        <v>1014</v>
      </c>
      <c r="I109" s="87" t="s">
        <v>1009</v>
      </c>
      <c r="J109" s="84" t="s">
        <v>554</v>
      </c>
      <c r="K109" s="84" t="s">
        <v>555</v>
      </c>
    </row>
    <row r="110" spans="1:11" ht="15.75" x14ac:dyDescent="0.3">
      <c r="A110" s="86" t="s">
        <v>1015</v>
      </c>
      <c r="B110" s="86" t="s">
        <v>1016</v>
      </c>
      <c r="C110" s="86" t="s">
        <v>293</v>
      </c>
      <c r="D110" s="86" t="s">
        <v>1017</v>
      </c>
      <c r="E110" s="86" t="s">
        <v>259</v>
      </c>
      <c r="F110" s="86" t="s">
        <v>261</v>
      </c>
      <c r="G110" s="86" t="s">
        <v>579</v>
      </c>
      <c r="H110" s="86" t="s">
        <v>1018</v>
      </c>
      <c r="I110" s="87" t="s">
        <v>1019</v>
      </c>
      <c r="J110" s="84" t="s">
        <v>554</v>
      </c>
      <c r="K110" s="84" t="s">
        <v>555</v>
      </c>
    </row>
    <row r="111" spans="1:11" ht="15.75" x14ac:dyDescent="0.3">
      <c r="A111" s="86" t="s">
        <v>1020</v>
      </c>
      <c r="B111" s="86" t="s">
        <v>1016</v>
      </c>
      <c r="C111" s="86" t="s">
        <v>293</v>
      </c>
      <c r="D111" s="86" t="s">
        <v>1021</v>
      </c>
      <c r="E111" s="86" t="s">
        <v>263</v>
      </c>
      <c r="F111" s="86" t="s">
        <v>265</v>
      </c>
      <c r="G111" s="86" t="s">
        <v>584</v>
      </c>
      <c r="H111" s="86" t="s">
        <v>1022</v>
      </c>
      <c r="I111" s="87" t="s">
        <v>1019</v>
      </c>
      <c r="J111" s="84" t="s">
        <v>554</v>
      </c>
      <c r="K111" s="84" t="s">
        <v>555</v>
      </c>
    </row>
    <row r="112" spans="1:11" ht="15.75" x14ac:dyDescent="0.3">
      <c r="A112" s="86" t="s">
        <v>1023</v>
      </c>
      <c r="B112" s="86" t="s">
        <v>1024</v>
      </c>
      <c r="C112" s="86" t="s">
        <v>292</v>
      </c>
      <c r="D112" s="86" t="s">
        <v>1025</v>
      </c>
      <c r="E112" s="86" t="s">
        <v>1026</v>
      </c>
      <c r="F112" s="86" t="s">
        <v>1027</v>
      </c>
      <c r="G112" s="86" t="s">
        <v>551</v>
      </c>
      <c r="H112" s="86" t="s">
        <v>1028</v>
      </c>
      <c r="I112" s="87" t="s">
        <v>1029</v>
      </c>
      <c r="J112" s="84" t="s">
        <v>554</v>
      </c>
      <c r="K112" s="84" t="s">
        <v>555</v>
      </c>
    </row>
    <row r="113" spans="1:11" ht="15.75" x14ac:dyDescent="0.3">
      <c r="A113" s="86" t="s">
        <v>1030</v>
      </c>
      <c r="B113" s="86" t="s">
        <v>1031</v>
      </c>
      <c r="C113" s="86" t="s">
        <v>293</v>
      </c>
      <c r="D113" s="86" t="s">
        <v>821</v>
      </c>
      <c r="E113" s="86" t="s">
        <v>822</v>
      </c>
      <c r="F113" s="86" t="s">
        <v>823</v>
      </c>
      <c r="G113" s="86" t="s">
        <v>701</v>
      </c>
      <c r="H113" s="86" t="s">
        <v>1008</v>
      </c>
      <c r="I113" s="87" t="s">
        <v>1019</v>
      </c>
      <c r="J113" s="84" t="s">
        <v>554</v>
      </c>
      <c r="K113" s="84" t="s">
        <v>555</v>
      </c>
    </row>
    <row r="114" spans="1:11" ht="15.75" x14ac:dyDescent="0.3">
      <c r="A114" s="86" t="s">
        <v>1032</v>
      </c>
      <c r="B114" s="86" t="s">
        <v>1031</v>
      </c>
      <c r="C114" s="86" t="s">
        <v>293</v>
      </c>
      <c r="D114" s="86" t="s">
        <v>980</v>
      </c>
      <c r="E114" s="86" t="s">
        <v>224</v>
      </c>
      <c r="F114" s="86" t="s">
        <v>226</v>
      </c>
      <c r="G114" s="86" t="s">
        <v>652</v>
      </c>
      <c r="H114" s="86" t="s">
        <v>1033</v>
      </c>
      <c r="I114" s="87" t="s">
        <v>1019</v>
      </c>
      <c r="J114" s="84" t="s">
        <v>554</v>
      </c>
      <c r="K114" s="84" t="s">
        <v>555</v>
      </c>
    </row>
    <row r="115" spans="1:11" ht="15.75" x14ac:dyDescent="0.3">
      <c r="A115" s="86" t="s">
        <v>1034</v>
      </c>
      <c r="B115" s="86" t="s">
        <v>1035</v>
      </c>
      <c r="C115" s="86" t="s">
        <v>294</v>
      </c>
      <c r="D115" s="86" t="s">
        <v>680</v>
      </c>
      <c r="E115" s="86" t="s">
        <v>681</v>
      </c>
      <c r="F115" s="86" t="s">
        <v>682</v>
      </c>
      <c r="G115" s="86" t="s">
        <v>683</v>
      </c>
      <c r="H115" s="86" t="s">
        <v>684</v>
      </c>
      <c r="I115" s="87" t="s">
        <v>1036</v>
      </c>
      <c r="J115" s="84" t="s">
        <v>554</v>
      </c>
      <c r="K115" s="84" t="s">
        <v>555</v>
      </c>
    </row>
    <row r="116" spans="1:11" ht="15.75" x14ac:dyDescent="0.3">
      <c r="A116" s="86" t="s">
        <v>1037</v>
      </c>
      <c r="B116" s="86" t="s">
        <v>1035</v>
      </c>
      <c r="C116" s="86" t="s">
        <v>292</v>
      </c>
      <c r="D116" s="86" t="s">
        <v>583</v>
      </c>
      <c r="E116" s="86" t="s">
        <v>53</v>
      </c>
      <c r="F116" s="86" t="s">
        <v>55</v>
      </c>
      <c r="G116" s="86" t="s">
        <v>661</v>
      </c>
      <c r="H116" s="86" t="s">
        <v>662</v>
      </c>
      <c r="I116" s="87" t="s">
        <v>1038</v>
      </c>
      <c r="J116" s="84" t="s">
        <v>554</v>
      </c>
      <c r="K116" s="84" t="s">
        <v>555</v>
      </c>
    </row>
    <row r="117" spans="1:11" ht="15.75" x14ac:dyDescent="0.3">
      <c r="A117" s="86" t="s">
        <v>1039</v>
      </c>
      <c r="B117" s="86" t="s">
        <v>1035</v>
      </c>
      <c r="C117" s="86" t="s">
        <v>292</v>
      </c>
      <c r="D117" s="86" t="s">
        <v>1040</v>
      </c>
      <c r="E117" s="86" t="s">
        <v>248</v>
      </c>
      <c r="F117" s="86" t="s">
        <v>250</v>
      </c>
      <c r="G117" s="86" t="s">
        <v>807</v>
      </c>
      <c r="H117" s="86" t="s">
        <v>1041</v>
      </c>
      <c r="I117" s="87" t="s">
        <v>1038</v>
      </c>
      <c r="J117" s="84" t="s">
        <v>554</v>
      </c>
      <c r="K117" s="84" t="s">
        <v>555</v>
      </c>
    </row>
    <row r="118" spans="1:11" ht="15.75" x14ac:dyDescent="0.3">
      <c r="A118" s="86" t="s">
        <v>1042</v>
      </c>
      <c r="B118" s="86" t="s">
        <v>1035</v>
      </c>
      <c r="C118" s="86" t="s">
        <v>292</v>
      </c>
      <c r="D118" s="86" t="s">
        <v>1025</v>
      </c>
      <c r="E118" s="86" t="s">
        <v>1026</v>
      </c>
      <c r="F118" s="86" t="s">
        <v>1027</v>
      </c>
      <c r="G118" s="86" t="s">
        <v>551</v>
      </c>
      <c r="H118" s="86" t="s">
        <v>1028</v>
      </c>
      <c r="I118" s="87" t="s">
        <v>1038</v>
      </c>
      <c r="J118" s="84" t="s">
        <v>554</v>
      </c>
      <c r="K118" s="84" t="s">
        <v>555</v>
      </c>
    </row>
    <row r="119" spans="1:11" ht="15.75" x14ac:dyDescent="0.3">
      <c r="A119" s="86" t="s">
        <v>1043</v>
      </c>
      <c r="B119" s="86" t="s">
        <v>1044</v>
      </c>
      <c r="C119" s="86" t="s">
        <v>293</v>
      </c>
      <c r="D119" s="86" t="s">
        <v>980</v>
      </c>
      <c r="E119" s="86" t="s">
        <v>224</v>
      </c>
      <c r="F119" s="86" t="s">
        <v>226</v>
      </c>
      <c r="G119" s="86" t="s">
        <v>652</v>
      </c>
      <c r="H119" s="86" t="s">
        <v>1033</v>
      </c>
      <c r="I119" s="87" t="s">
        <v>1045</v>
      </c>
      <c r="J119" s="84" t="s">
        <v>554</v>
      </c>
      <c r="K119" s="84" t="s">
        <v>555</v>
      </c>
    </row>
    <row r="120" spans="1:11" ht="15.75" x14ac:dyDescent="0.3">
      <c r="A120" s="86" t="s">
        <v>1046</v>
      </c>
      <c r="B120" s="86" t="s">
        <v>1047</v>
      </c>
      <c r="C120" s="86" t="s">
        <v>293</v>
      </c>
      <c r="D120" s="86" t="s">
        <v>1001</v>
      </c>
      <c r="E120" s="86" t="s">
        <v>1002</v>
      </c>
      <c r="F120" s="86" t="s">
        <v>1003</v>
      </c>
      <c r="G120" s="86" t="s">
        <v>645</v>
      </c>
      <c r="H120" s="86" t="s">
        <v>1004</v>
      </c>
      <c r="I120" s="87" t="s">
        <v>1048</v>
      </c>
      <c r="J120" s="84" t="s">
        <v>554</v>
      </c>
      <c r="K120" s="84" t="s">
        <v>555</v>
      </c>
    </row>
    <row r="121" spans="1:11" ht="15.75" x14ac:dyDescent="0.3">
      <c r="A121" s="86" t="s">
        <v>1049</v>
      </c>
      <c r="B121" s="86" t="s">
        <v>1047</v>
      </c>
      <c r="C121" s="86" t="s">
        <v>293</v>
      </c>
      <c r="D121" s="86" t="s">
        <v>1017</v>
      </c>
      <c r="E121" s="86" t="s">
        <v>259</v>
      </c>
      <c r="F121" s="86" t="s">
        <v>261</v>
      </c>
      <c r="G121" s="86" t="s">
        <v>579</v>
      </c>
      <c r="H121" s="86" t="s">
        <v>1018</v>
      </c>
      <c r="I121" s="87" t="s">
        <v>1048</v>
      </c>
      <c r="J121" s="84" t="s">
        <v>554</v>
      </c>
      <c r="K121" s="84" t="s">
        <v>555</v>
      </c>
    </row>
    <row r="122" spans="1:11" ht="15.75" x14ac:dyDescent="0.3">
      <c r="A122" s="86" t="s">
        <v>1050</v>
      </c>
      <c r="B122" s="86" t="s">
        <v>1051</v>
      </c>
      <c r="C122" s="86" t="s">
        <v>293</v>
      </c>
      <c r="D122" s="86" t="s">
        <v>1021</v>
      </c>
      <c r="E122" s="86" t="s">
        <v>263</v>
      </c>
      <c r="F122" s="86" t="s">
        <v>265</v>
      </c>
      <c r="G122" s="86" t="s">
        <v>584</v>
      </c>
      <c r="H122" s="86" t="s">
        <v>1022</v>
      </c>
      <c r="I122" s="87" t="s">
        <v>957</v>
      </c>
      <c r="J122" s="84" t="s">
        <v>554</v>
      </c>
      <c r="K122" s="84" t="s">
        <v>555</v>
      </c>
    </row>
    <row r="123" spans="1:11" ht="15.75" x14ac:dyDescent="0.3">
      <c r="A123" s="86" t="s">
        <v>1052</v>
      </c>
      <c r="B123" s="86" t="s">
        <v>1053</v>
      </c>
      <c r="C123" s="86" t="s">
        <v>293</v>
      </c>
      <c r="D123" s="86" t="s">
        <v>1054</v>
      </c>
      <c r="E123" s="86" t="s">
        <v>1055</v>
      </c>
      <c r="F123" s="86" t="s">
        <v>1056</v>
      </c>
      <c r="G123" s="86" t="s">
        <v>965</v>
      </c>
      <c r="H123" s="86" t="s">
        <v>1057</v>
      </c>
      <c r="I123" s="87" t="s">
        <v>1058</v>
      </c>
      <c r="J123" s="84" t="s">
        <v>554</v>
      </c>
      <c r="K123" s="84" t="s">
        <v>555</v>
      </c>
    </row>
    <row r="124" spans="1:11" ht="15.75" x14ac:dyDescent="0.3">
      <c r="A124" s="86" t="s">
        <v>1059</v>
      </c>
      <c r="B124" s="86" t="s">
        <v>1060</v>
      </c>
      <c r="C124" s="86" t="s">
        <v>292</v>
      </c>
      <c r="D124" s="86" t="s">
        <v>1040</v>
      </c>
      <c r="E124" s="86" t="s">
        <v>248</v>
      </c>
      <c r="F124" s="86" t="s">
        <v>250</v>
      </c>
      <c r="G124" s="86" t="s">
        <v>807</v>
      </c>
      <c r="H124" s="86" t="s">
        <v>1041</v>
      </c>
      <c r="I124" s="87" t="s">
        <v>1061</v>
      </c>
      <c r="J124" s="84" t="s">
        <v>554</v>
      </c>
      <c r="K124" s="84" t="s">
        <v>555</v>
      </c>
    </row>
    <row r="125" spans="1:11" ht="15.75" x14ac:dyDescent="0.3">
      <c r="A125" s="86" t="s">
        <v>1062</v>
      </c>
      <c r="B125" s="86" t="s">
        <v>1063</v>
      </c>
      <c r="C125" s="86" t="s">
        <v>294</v>
      </c>
      <c r="D125" s="86" t="s">
        <v>711</v>
      </c>
      <c r="E125" s="86" t="s">
        <v>278</v>
      </c>
      <c r="F125" s="86" t="s">
        <v>280</v>
      </c>
      <c r="G125" s="86" t="s">
        <v>851</v>
      </c>
      <c r="H125" s="86" t="s">
        <v>1064</v>
      </c>
      <c r="I125" s="87" t="s">
        <v>1065</v>
      </c>
      <c r="J125" s="84" t="s">
        <v>554</v>
      </c>
      <c r="K125" s="84" t="s">
        <v>555</v>
      </c>
    </row>
    <row r="126" spans="1:11" ht="15.75" x14ac:dyDescent="0.3">
      <c r="A126" s="86" t="s">
        <v>1066</v>
      </c>
      <c r="B126" s="86" t="s">
        <v>1063</v>
      </c>
      <c r="C126" s="86" t="s">
        <v>294</v>
      </c>
      <c r="D126" s="86" t="s">
        <v>1067</v>
      </c>
      <c r="E126" s="86" t="s">
        <v>1068</v>
      </c>
      <c r="F126" s="86" t="s">
        <v>1069</v>
      </c>
      <c r="G126" s="86" t="s">
        <v>588</v>
      </c>
      <c r="H126" s="86" t="s">
        <v>1070</v>
      </c>
      <c r="I126" s="87" t="s">
        <v>1065</v>
      </c>
      <c r="J126" s="84" t="s">
        <v>554</v>
      </c>
      <c r="K126" s="84" t="s">
        <v>555</v>
      </c>
    </row>
    <row r="127" spans="1:11" ht="15.75" x14ac:dyDescent="0.3">
      <c r="A127" s="86" t="s">
        <v>1071</v>
      </c>
      <c r="B127" s="86" t="s">
        <v>1063</v>
      </c>
      <c r="C127" s="86" t="s">
        <v>294</v>
      </c>
      <c r="D127" s="86" t="s">
        <v>752</v>
      </c>
      <c r="E127" s="86" t="s">
        <v>753</v>
      </c>
      <c r="F127" s="86" t="s">
        <v>217</v>
      </c>
      <c r="G127" s="86" t="s">
        <v>754</v>
      </c>
      <c r="H127" s="86" t="s">
        <v>755</v>
      </c>
      <c r="I127" s="87" t="s">
        <v>1065</v>
      </c>
      <c r="J127" s="84" t="s">
        <v>554</v>
      </c>
      <c r="K127" s="84" t="s">
        <v>555</v>
      </c>
    </row>
    <row r="128" spans="1:11" ht="15.75" x14ac:dyDescent="0.3">
      <c r="A128" s="86" t="s">
        <v>1072</v>
      </c>
      <c r="B128" s="86" t="s">
        <v>1063</v>
      </c>
      <c r="C128" s="86" t="s">
        <v>294</v>
      </c>
      <c r="D128" s="86" t="s">
        <v>838</v>
      </c>
      <c r="E128" s="86" t="s">
        <v>839</v>
      </c>
      <c r="F128" s="86" t="s">
        <v>840</v>
      </c>
      <c r="G128" s="86" t="s">
        <v>675</v>
      </c>
      <c r="H128" s="86" t="s">
        <v>1073</v>
      </c>
      <c r="I128" s="87" t="s">
        <v>1074</v>
      </c>
      <c r="J128" s="84" t="s">
        <v>554</v>
      </c>
      <c r="K128" s="84" t="s">
        <v>555</v>
      </c>
    </row>
    <row r="129" spans="1:11" ht="15.75" x14ac:dyDescent="0.3">
      <c r="A129" s="86" t="s">
        <v>1075</v>
      </c>
      <c r="B129" s="86" t="s">
        <v>1076</v>
      </c>
      <c r="C129" s="86" t="s">
        <v>294</v>
      </c>
      <c r="D129" s="86" t="s">
        <v>705</v>
      </c>
      <c r="E129" s="86" t="s">
        <v>706</v>
      </c>
      <c r="F129" s="86" t="s">
        <v>707</v>
      </c>
      <c r="G129" s="86" t="s">
        <v>708</v>
      </c>
      <c r="H129" s="86" t="s">
        <v>709</v>
      </c>
      <c r="I129" s="87" t="s">
        <v>1077</v>
      </c>
      <c r="J129" s="84" t="s">
        <v>554</v>
      </c>
      <c r="K129" s="84" t="s">
        <v>618</v>
      </c>
    </row>
    <row r="130" spans="1:11" ht="15.75" x14ac:dyDescent="0.3">
      <c r="A130" s="86" t="s">
        <v>1078</v>
      </c>
      <c r="B130" s="86" t="s">
        <v>1076</v>
      </c>
      <c r="C130" s="86" t="s">
        <v>294</v>
      </c>
      <c r="D130" s="86" t="s">
        <v>711</v>
      </c>
      <c r="E130" s="86" t="s">
        <v>278</v>
      </c>
      <c r="F130" s="86" t="s">
        <v>280</v>
      </c>
      <c r="G130" s="86" t="s">
        <v>708</v>
      </c>
      <c r="H130" s="86" t="s">
        <v>712</v>
      </c>
      <c r="I130" s="87" t="s">
        <v>1079</v>
      </c>
      <c r="J130" s="84" t="s">
        <v>554</v>
      </c>
      <c r="K130" s="84" t="s">
        <v>618</v>
      </c>
    </row>
    <row r="131" spans="1:11" ht="15.75" x14ac:dyDescent="0.3">
      <c r="A131" s="86" t="s">
        <v>1080</v>
      </c>
      <c r="B131" s="86" t="s">
        <v>1076</v>
      </c>
      <c r="C131" s="86" t="s">
        <v>294</v>
      </c>
      <c r="D131" s="86" t="s">
        <v>713</v>
      </c>
      <c r="E131" s="86" t="s">
        <v>714</v>
      </c>
      <c r="F131" s="86" t="s">
        <v>715</v>
      </c>
      <c r="G131" s="86" t="s">
        <v>622</v>
      </c>
      <c r="H131" s="86" t="s">
        <v>716</v>
      </c>
      <c r="I131" s="87" t="s">
        <v>1079</v>
      </c>
      <c r="J131" s="84" t="s">
        <v>554</v>
      </c>
      <c r="K131" s="84" t="s">
        <v>618</v>
      </c>
    </row>
    <row r="132" spans="1:11" ht="15.75" x14ac:dyDescent="0.3">
      <c r="A132" s="86" t="s">
        <v>1081</v>
      </c>
      <c r="B132" s="86" t="s">
        <v>1076</v>
      </c>
      <c r="C132" s="86" t="s">
        <v>294</v>
      </c>
      <c r="D132" s="86" t="s">
        <v>1082</v>
      </c>
      <c r="E132" s="86" t="s">
        <v>1083</v>
      </c>
      <c r="F132" s="86" t="s">
        <v>1084</v>
      </c>
      <c r="G132" s="86" t="s">
        <v>588</v>
      </c>
      <c r="H132" s="86" t="s">
        <v>1085</v>
      </c>
      <c r="I132" s="87" t="s">
        <v>1086</v>
      </c>
      <c r="J132" s="84" t="s">
        <v>554</v>
      </c>
      <c r="K132" s="84" t="s">
        <v>618</v>
      </c>
    </row>
    <row r="133" spans="1:11" ht="15.75" x14ac:dyDescent="0.3">
      <c r="A133" s="86" t="s">
        <v>1087</v>
      </c>
      <c r="B133" s="86" t="s">
        <v>1076</v>
      </c>
      <c r="C133" s="86" t="s">
        <v>294</v>
      </c>
      <c r="D133" s="86" t="s">
        <v>1067</v>
      </c>
      <c r="E133" s="86" t="s">
        <v>1068</v>
      </c>
      <c r="F133" s="86" t="s">
        <v>1069</v>
      </c>
      <c r="G133" s="86" t="s">
        <v>588</v>
      </c>
      <c r="H133" s="86" t="s">
        <v>1070</v>
      </c>
      <c r="I133" s="87" t="s">
        <v>1086</v>
      </c>
      <c r="J133" s="84" t="s">
        <v>554</v>
      </c>
      <c r="K133" s="84" t="s">
        <v>618</v>
      </c>
    </row>
    <row r="134" spans="1:11" ht="15.75" x14ac:dyDescent="0.3">
      <c r="A134" s="86" t="s">
        <v>1088</v>
      </c>
      <c r="B134" s="86" t="s">
        <v>1076</v>
      </c>
      <c r="C134" s="86" t="s">
        <v>294</v>
      </c>
      <c r="D134" s="86" t="s">
        <v>742</v>
      </c>
      <c r="E134" s="86" t="s">
        <v>743</v>
      </c>
      <c r="F134" s="86" t="s">
        <v>744</v>
      </c>
      <c r="G134" s="86" t="s">
        <v>745</v>
      </c>
      <c r="H134" s="86" t="s">
        <v>746</v>
      </c>
      <c r="I134" s="87" t="s">
        <v>1089</v>
      </c>
      <c r="J134" s="84" t="s">
        <v>554</v>
      </c>
      <c r="K134" s="84" t="s">
        <v>618</v>
      </c>
    </row>
    <row r="135" spans="1:11" ht="15.75" x14ac:dyDescent="0.3">
      <c r="A135" s="86" t="s">
        <v>1090</v>
      </c>
      <c r="B135" s="86" t="s">
        <v>1076</v>
      </c>
      <c r="C135" s="86" t="s">
        <v>294</v>
      </c>
      <c r="D135" s="86" t="s">
        <v>834</v>
      </c>
      <c r="E135" s="86" t="s">
        <v>185</v>
      </c>
      <c r="F135" s="86" t="s">
        <v>187</v>
      </c>
      <c r="G135" s="86" t="s">
        <v>675</v>
      </c>
      <c r="H135" s="86" t="s">
        <v>1091</v>
      </c>
      <c r="I135" s="87" t="s">
        <v>1092</v>
      </c>
      <c r="J135" s="84" t="s">
        <v>554</v>
      </c>
      <c r="K135" s="84" t="s">
        <v>618</v>
      </c>
    </row>
    <row r="136" spans="1:11" ht="15.75" x14ac:dyDescent="0.3">
      <c r="A136" s="86" t="s">
        <v>1093</v>
      </c>
      <c r="B136" s="86" t="s">
        <v>1076</v>
      </c>
      <c r="C136" s="86" t="s">
        <v>294</v>
      </c>
      <c r="D136" s="86" t="s">
        <v>1094</v>
      </c>
      <c r="E136" s="86" t="s">
        <v>1095</v>
      </c>
      <c r="F136" s="86" t="s">
        <v>1096</v>
      </c>
      <c r="G136" s="86" t="s">
        <v>990</v>
      </c>
      <c r="H136" s="86" t="s">
        <v>1097</v>
      </c>
      <c r="I136" s="87" t="s">
        <v>1089</v>
      </c>
      <c r="J136" s="84" t="s">
        <v>554</v>
      </c>
      <c r="K136" s="84" t="s">
        <v>618</v>
      </c>
    </row>
    <row r="137" spans="1:11" ht="15.75" x14ac:dyDescent="0.3">
      <c r="A137" s="86" t="s">
        <v>1098</v>
      </c>
      <c r="B137" s="86" t="s">
        <v>1076</v>
      </c>
      <c r="C137" s="86" t="s">
        <v>294</v>
      </c>
      <c r="D137" s="86" t="s">
        <v>597</v>
      </c>
      <c r="E137" s="86" t="s">
        <v>598</v>
      </c>
      <c r="F137" s="86" t="s">
        <v>599</v>
      </c>
      <c r="G137" s="86" t="s">
        <v>551</v>
      </c>
      <c r="H137" s="86" t="s">
        <v>1099</v>
      </c>
      <c r="I137" s="87" t="s">
        <v>1079</v>
      </c>
      <c r="J137" s="84" t="s">
        <v>554</v>
      </c>
      <c r="K137" s="84" t="s">
        <v>618</v>
      </c>
    </row>
    <row r="138" spans="1:11" ht="15.75" x14ac:dyDescent="0.3">
      <c r="A138" s="86" t="s">
        <v>1100</v>
      </c>
      <c r="B138" s="86" t="s">
        <v>1101</v>
      </c>
      <c r="C138" s="86" t="s">
        <v>294</v>
      </c>
      <c r="D138" s="86" t="s">
        <v>747</v>
      </c>
      <c r="E138" s="86" t="s">
        <v>748</v>
      </c>
      <c r="F138" s="86" t="s">
        <v>749</v>
      </c>
      <c r="G138" s="86" t="s">
        <v>750</v>
      </c>
      <c r="H138" s="86" t="s">
        <v>751</v>
      </c>
      <c r="I138" s="87" t="s">
        <v>1102</v>
      </c>
      <c r="J138" s="84" t="s">
        <v>554</v>
      </c>
      <c r="K138" s="84" t="s">
        <v>555</v>
      </c>
    </row>
    <row r="139" spans="1:11" ht="15.75" x14ac:dyDescent="0.3">
      <c r="A139" s="86" t="s">
        <v>1103</v>
      </c>
      <c r="B139" s="86" t="s">
        <v>1101</v>
      </c>
      <c r="C139" s="86" t="s">
        <v>294</v>
      </c>
      <c r="D139" s="86" t="s">
        <v>752</v>
      </c>
      <c r="E139" s="86" t="s">
        <v>753</v>
      </c>
      <c r="F139" s="86" t="s">
        <v>217</v>
      </c>
      <c r="G139" s="86" t="s">
        <v>754</v>
      </c>
      <c r="H139" s="86" t="s">
        <v>755</v>
      </c>
      <c r="I139" s="87" t="s">
        <v>1104</v>
      </c>
      <c r="J139" s="84" t="s">
        <v>554</v>
      </c>
      <c r="K139" s="84" t="s">
        <v>555</v>
      </c>
    </row>
    <row r="140" spans="1:11" ht="15.75" x14ac:dyDescent="0.3">
      <c r="A140" s="86" t="s">
        <v>1105</v>
      </c>
      <c r="B140" s="86" t="s">
        <v>1106</v>
      </c>
      <c r="C140" s="86" t="s">
        <v>293</v>
      </c>
      <c r="D140" s="86" t="s">
        <v>1107</v>
      </c>
      <c r="E140" s="86" t="s">
        <v>1108</v>
      </c>
      <c r="F140" s="86" t="s">
        <v>1109</v>
      </c>
      <c r="G140" s="86" t="s">
        <v>750</v>
      </c>
      <c r="H140" s="86" t="s">
        <v>1110</v>
      </c>
      <c r="I140" s="87" t="s">
        <v>1111</v>
      </c>
      <c r="J140" s="84" t="s">
        <v>554</v>
      </c>
      <c r="K140" s="84" t="s">
        <v>555</v>
      </c>
    </row>
    <row r="141" spans="1:11" ht="15.75" x14ac:dyDescent="0.3">
      <c r="A141" s="86" t="s">
        <v>1112</v>
      </c>
      <c r="B141" s="86" t="s">
        <v>1113</v>
      </c>
      <c r="C141" s="86" t="s">
        <v>292</v>
      </c>
      <c r="D141" s="86" t="s">
        <v>905</v>
      </c>
      <c r="E141" s="86" t="s">
        <v>139</v>
      </c>
      <c r="F141" s="86" t="s">
        <v>141</v>
      </c>
      <c r="G141" s="86" t="s">
        <v>588</v>
      </c>
      <c r="H141" s="86" t="s">
        <v>1114</v>
      </c>
      <c r="I141" s="87" t="s">
        <v>1115</v>
      </c>
      <c r="J141" s="84" t="s">
        <v>554</v>
      </c>
      <c r="K141" s="84" t="s">
        <v>555</v>
      </c>
    </row>
    <row r="142" spans="1:11" ht="15.75" x14ac:dyDescent="0.3">
      <c r="A142" s="86" t="s">
        <v>1116</v>
      </c>
      <c r="B142" s="86" t="s">
        <v>1117</v>
      </c>
      <c r="C142" s="86" t="s">
        <v>293</v>
      </c>
      <c r="D142" s="86" t="s">
        <v>980</v>
      </c>
      <c r="E142" s="86" t="s">
        <v>224</v>
      </c>
      <c r="F142" s="86" t="s">
        <v>226</v>
      </c>
      <c r="G142" s="86" t="s">
        <v>652</v>
      </c>
      <c r="H142" s="86" t="s">
        <v>1033</v>
      </c>
      <c r="I142" s="87" t="s">
        <v>1118</v>
      </c>
      <c r="J142" s="84" t="s">
        <v>554</v>
      </c>
      <c r="K142" s="84" t="s">
        <v>555</v>
      </c>
    </row>
    <row r="143" spans="1:11" ht="15.75" x14ac:dyDescent="0.3">
      <c r="A143" s="86" t="s">
        <v>1119</v>
      </c>
      <c r="B143" s="86" t="s">
        <v>1120</v>
      </c>
      <c r="C143" s="86" t="s">
        <v>293</v>
      </c>
      <c r="D143" s="86" t="s">
        <v>1121</v>
      </c>
      <c r="E143" s="86" t="s">
        <v>1122</v>
      </c>
      <c r="F143" s="86" t="s">
        <v>1123</v>
      </c>
      <c r="G143" s="86" t="s">
        <v>675</v>
      </c>
      <c r="H143" s="86" t="s">
        <v>1124</v>
      </c>
      <c r="I143" s="87" t="s">
        <v>1125</v>
      </c>
      <c r="J143" s="84" t="s">
        <v>554</v>
      </c>
      <c r="K143" s="84" t="s">
        <v>555</v>
      </c>
    </row>
    <row r="144" spans="1:11" ht="15.75" x14ac:dyDescent="0.3">
      <c r="A144" s="86" t="s">
        <v>1126</v>
      </c>
      <c r="B144" s="86" t="s">
        <v>1127</v>
      </c>
      <c r="C144" s="86" t="s">
        <v>292</v>
      </c>
      <c r="D144" s="86" t="s">
        <v>587</v>
      </c>
      <c r="E144" s="86" t="s">
        <v>135</v>
      </c>
      <c r="F144" s="86" t="s">
        <v>137</v>
      </c>
      <c r="G144" s="86" t="s">
        <v>851</v>
      </c>
      <c r="H144" s="86" t="s">
        <v>896</v>
      </c>
      <c r="I144" s="87" t="s">
        <v>1128</v>
      </c>
      <c r="J144" s="84" t="s">
        <v>554</v>
      </c>
      <c r="K144" s="84" t="s">
        <v>555</v>
      </c>
    </row>
    <row r="145" spans="1:11" ht="15.75" x14ac:dyDescent="0.3">
      <c r="A145" s="86" t="s">
        <v>1129</v>
      </c>
      <c r="B145" s="86" t="s">
        <v>1130</v>
      </c>
      <c r="C145" s="86" t="s">
        <v>294</v>
      </c>
      <c r="D145" s="86" t="s">
        <v>591</v>
      </c>
      <c r="E145" s="86" t="s">
        <v>592</v>
      </c>
      <c r="F145" s="86" t="s">
        <v>593</v>
      </c>
      <c r="G145" s="86" t="s">
        <v>594</v>
      </c>
      <c r="H145" s="86" t="s">
        <v>1131</v>
      </c>
      <c r="I145" s="87" t="s">
        <v>1132</v>
      </c>
      <c r="J145" s="84" t="s">
        <v>554</v>
      </c>
      <c r="K145" s="84" t="s">
        <v>555</v>
      </c>
    </row>
    <row r="146" spans="1:11" ht="15.75" x14ac:dyDescent="0.3">
      <c r="A146" s="86" t="s">
        <v>1133</v>
      </c>
      <c r="B146" s="86" t="s">
        <v>1134</v>
      </c>
      <c r="C146" s="86" t="s">
        <v>294</v>
      </c>
      <c r="D146" s="86" t="s">
        <v>591</v>
      </c>
      <c r="E146" s="86" t="s">
        <v>592</v>
      </c>
      <c r="F146" s="86" t="s">
        <v>593</v>
      </c>
      <c r="G146" s="86" t="s">
        <v>594</v>
      </c>
      <c r="H146" s="86" t="s">
        <v>1131</v>
      </c>
      <c r="I146" s="87" t="s">
        <v>1135</v>
      </c>
      <c r="J146" s="84" t="s">
        <v>554</v>
      </c>
      <c r="K146" s="84" t="s">
        <v>555</v>
      </c>
    </row>
    <row r="147" spans="1:11" ht="15.75" x14ac:dyDescent="0.3">
      <c r="A147" s="86" t="s">
        <v>1136</v>
      </c>
      <c r="B147" s="86" t="s">
        <v>1137</v>
      </c>
      <c r="C147" s="86" t="s">
        <v>294</v>
      </c>
      <c r="D147" s="86" t="s">
        <v>591</v>
      </c>
      <c r="E147" s="86" t="s">
        <v>592</v>
      </c>
      <c r="F147" s="86" t="s">
        <v>593</v>
      </c>
      <c r="G147" s="86" t="s">
        <v>594</v>
      </c>
      <c r="H147" s="86" t="s">
        <v>1131</v>
      </c>
      <c r="I147" s="87" t="s">
        <v>1135</v>
      </c>
      <c r="J147" s="84" t="s">
        <v>554</v>
      </c>
      <c r="K147" s="84" t="s">
        <v>555</v>
      </c>
    </row>
    <row r="148" spans="1:11" ht="15.75" x14ac:dyDescent="0.3">
      <c r="A148" s="86" t="s">
        <v>1138</v>
      </c>
      <c r="B148" s="86" t="s">
        <v>1139</v>
      </c>
      <c r="C148" s="86" t="s">
        <v>294</v>
      </c>
      <c r="D148" s="86" t="s">
        <v>804</v>
      </c>
      <c r="E148" s="86" t="s">
        <v>805</v>
      </c>
      <c r="F148" s="86" t="s">
        <v>806</v>
      </c>
      <c r="G148" s="86" t="s">
        <v>807</v>
      </c>
      <c r="H148" s="86" t="s">
        <v>808</v>
      </c>
      <c r="I148" s="87" t="s">
        <v>1140</v>
      </c>
      <c r="J148" s="84" t="s">
        <v>554</v>
      </c>
      <c r="K148" s="84" t="s">
        <v>555</v>
      </c>
    </row>
    <row r="149" spans="1:11" ht="15.75" x14ac:dyDescent="0.3">
      <c r="A149" s="86" t="s">
        <v>1141</v>
      </c>
      <c r="B149" s="86" t="s">
        <v>1142</v>
      </c>
      <c r="C149" s="86" t="s">
        <v>292</v>
      </c>
      <c r="D149" s="86" t="s">
        <v>639</v>
      </c>
      <c r="E149" s="86" t="s">
        <v>22</v>
      </c>
      <c r="F149" s="86" t="s">
        <v>24</v>
      </c>
      <c r="G149" s="86" t="s">
        <v>701</v>
      </c>
      <c r="H149" s="86" t="s">
        <v>977</v>
      </c>
      <c r="I149" s="87" t="s">
        <v>1143</v>
      </c>
      <c r="J149" s="84" t="s">
        <v>554</v>
      </c>
      <c r="K149" s="84" t="s">
        <v>555</v>
      </c>
    </row>
    <row r="150" spans="1:11" ht="15.75" x14ac:dyDescent="0.3">
      <c r="A150" s="86" t="s">
        <v>1144</v>
      </c>
      <c r="B150" s="86" t="s">
        <v>1142</v>
      </c>
      <c r="C150" s="86" t="s">
        <v>293</v>
      </c>
      <c r="D150" s="86" t="s">
        <v>821</v>
      </c>
      <c r="E150" s="86" t="s">
        <v>822</v>
      </c>
      <c r="F150" s="86" t="s">
        <v>823</v>
      </c>
      <c r="G150" s="86" t="s">
        <v>701</v>
      </c>
      <c r="H150" s="86" t="s">
        <v>1008</v>
      </c>
      <c r="I150" s="87" t="s">
        <v>1143</v>
      </c>
      <c r="J150" s="84" t="s">
        <v>554</v>
      </c>
      <c r="K150" s="84" t="s">
        <v>555</v>
      </c>
    </row>
    <row r="151" spans="1:11" ht="15.75" x14ac:dyDescent="0.3">
      <c r="A151" s="86" t="s">
        <v>1145</v>
      </c>
      <c r="B151" s="86" t="s">
        <v>1142</v>
      </c>
      <c r="C151" s="86" t="s">
        <v>292</v>
      </c>
      <c r="D151" s="86" t="s">
        <v>1146</v>
      </c>
      <c r="E151" s="86" t="s">
        <v>239</v>
      </c>
      <c r="F151" s="86" t="s">
        <v>241</v>
      </c>
      <c r="G151" s="86" t="s">
        <v>824</v>
      </c>
      <c r="H151" s="86" t="s">
        <v>1147</v>
      </c>
      <c r="I151" s="87" t="s">
        <v>1143</v>
      </c>
      <c r="J151" s="84" t="s">
        <v>554</v>
      </c>
      <c r="K151" s="84" t="s">
        <v>555</v>
      </c>
    </row>
    <row r="152" spans="1:11" ht="15.75" x14ac:dyDescent="0.3">
      <c r="A152" s="86" t="s">
        <v>1148</v>
      </c>
      <c r="B152" s="86" t="s">
        <v>1142</v>
      </c>
      <c r="C152" s="86" t="s">
        <v>292</v>
      </c>
      <c r="D152" s="86" t="s">
        <v>970</v>
      </c>
      <c r="E152" s="86" t="s">
        <v>971</v>
      </c>
      <c r="F152" s="86" t="s">
        <v>972</v>
      </c>
      <c r="G152" s="86" t="s">
        <v>708</v>
      </c>
      <c r="H152" s="86" t="s">
        <v>1149</v>
      </c>
      <c r="I152" s="87" t="s">
        <v>1143</v>
      </c>
      <c r="J152" s="84" t="s">
        <v>554</v>
      </c>
      <c r="K152" s="84" t="s">
        <v>555</v>
      </c>
    </row>
    <row r="153" spans="1:11" ht="15.75" x14ac:dyDescent="0.3">
      <c r="A153" s="86" t="s">
        <v>1150</v>
      </c>
      <c r="B153" s="86" t="s">
        <v>1142</v>
      </c>
      <c r="C153" s="86" t="s">
        <v>293</v>
      </c>
      <c r="D153" s="86" t="s">
        <v>621</v>
      </c>
      <c r="E153" s="86" t="s">
        <v>112</v>
      </c>
      <c r="F153" s="86" t="s">
        <v>114</v>
      </c>
      <c r="G153" s="86" t="s">
        <v>622</v>
      </c>
      <c r="H153" s="86" t="s">
        <v>1151</v>
      </c>
      <c r="I153" s="87" t="s">
        <v>1143</v>
      </c>
      <c r="J153" s="84" t="s">
        <v>554</v>
      </c>
      <c r="K153" s="84" t="s">
        <v>555</v>
      </c>
    </row>
    <row r="154" spans="1:11" ht="15.75" x14ac:dyDescent="0.3">
      <c r="A154" s="86" t="s">
        <v>1152</v>
      </c>
      <c r="B154" s="86" t="s">
        <v>1142</v>
      </c>
      <c r="C154" s="86" t="s">
        <v>293</v>
      </c>
      <c r="D154" s="86" t="s">
        <v>1153</v>
      </c>
      <c r="E154" s="86" t="s">
        <v>207</v>
      </c>
      <c r="F154" s="86" t="s">
        <v>209</v>
      </c>
      <c r="G154" s="86" t="s">
        <v>683</v>
      </c>
      <c r="H154" s="86" t="s">
        <v>1154</v>
      </c>
      <c r="I154" s="87" t="s">
        <v>1143</v>
      </c>
      <c r="J154" s="84" t="s">
        <v>554</v>
      </c>
      <c r="K154" s="84" t="s">
        <v>555</v>
      </c>
    </row>
    <row r="155" spans="1:11" ht="15.75" x14ac:dyDescent="0.3">
      <c r="A155" s="86" t="s">
        <v>1155</v>
      </c>
      <c r="B155" s="86" t="s">
        <v>1142</v>
      </c>
      <c r="C155" s="86" t="s">
        <v>293</v>
      </c>
      <c r="D155" s="86" t="s">
        <v>1156</v>
      </c>
      <c r="E155" s="86" t="s">
        <v>117</v>
      </c>
      <c r="F155" s="86" t="s">
        <v>119</v>
      </c>
      <c r="G155" s="86" t="s">
        <v>683</v>
      </c>
      <c r="H155" s="86" t="s">
        <v>1157</v>
      </c>
      <c r="I155" s="87" t="s">
        <v>1143</v>
      </c>
      <c r="J155" s="84" t="s">
        <v>554</v>
      </c>
      <c r="K155" s="84" t="s">
        <v>555</v>
      </c>
    </row>
    <row r="156" spans="1:11" ht="15.75" x14ac:dyDescent="0.3">
      <c r="A156" s="86" t="s">
        <v>1158</v>
      </c>
      <c r="B156" s="86" t="s">
        <v>1142</v>
      </c>
      <c r="C156" s="86" t="s">
        <v>292</v>
      </c>
      <c r="D156" s="86" t="s">
        <v>1159</v>
      </c>
      <c r="E156" s="86" t="s">
        <v>121</v>
      </c>
      <c r="F156" s="86" t="s">
        <v>123</v>
      </c>
      <c r="G156" s="86" t="s">
        <v>645</v>
      </c>
      <c r="H156" s="86" t="s">
        <v>1160</v>
      </c>
      <c r="I156" s="87" t="s">
        <v>1143</v>
      </c>
      <c r="J156" s="84" t="s">
        <v>554</v>
      </c>
      <c r="K156" s="84" t="s">
        <v>555</v>
      </c>
    </row>
    <row r="157" spans="1:11" ht="15.75" x14ac:dyDescent="0.3">
      <c r="A157" s="86" t="s">
        <v>1161</v>
      </c>
      <c r="B157" s="86" t="s">
        <v>1142</v>
      </c>
      <c r="C157" s="86" t="s">
        <v>293</v>
      </c>
      <c r="D157" s="86" t="s">
        <v>1162</v>
      </c>
      <c r="E157" s="86" t="s">
        <v>1163</v>
      </c>
      <c r="F157" s="86" t="s">
        <v>1164</v>
      </c>
      <c r="G157" s="86" t="s">
        <v>579</v>
      </c>
      <c r="H157" s="86" t="s">
        <v>1165</v>
      </c>
      <c r="I157" s="87" t="s">
        <v>1143</v>
      </c>
      <c r="J157" s="84" t="s">
        <v>554</v>
      </c>
      <c r="K157" s="84" t="s">
        <v>555</v>
      </c>
    </row>
    <row r="158" spans="1:11" ht="15.75" x14ac:dyDescent="0.3">
      <c r="A158" s="86" t="s">
        <v>1166</v>
      </c>
      <c r="B158" s="86" t="s">
        <v>1142</v>
      </c>
      <c r="C158" s="86" t="s">
        <v>293</v>
      </c>
      <c r="D158" s="86" t="s">
        <v>1017</v>
      </c>
      <c r="E158" s="86" t="s">
        <v>259</v>
      </c>
      <c r="F158" s="86" t="s">
        <v>261</v>
      </c>
      <c r="G158" s="86" t="s">
        <v>579</v>
      </c>
      <c r="H158" s="86" t="s">
        <v>1167</v>
      </c>
      <c r="I158" s="87" t="s">
        <v>1143</v>
      </c>
      <c r="J158" s="84" t="s">
        <v>554</v>
      </c>
      <c r="K158" s="84" t="s">
        <v>555</v>
      </c>
    </row>
    <row r="159" spans="1:11" ht="15.75" x14ac:dyDescent="0.3">
      <c r="A159" s="86" t="s">
        <v>1168</v>
      </c>
      <c r="B159" s="86" t="s">
        <v>1142</v>
      </c>
      <c r="C159" s="86" t="s">
        <v>293</v>
      </c>
      <c r="D159" s="86" t="s">
        <v>1169</v>
      </c>
      <c r="E159" s="86" t="s">
        <v>1170</v>
      </c>
      <c r="F159" s="86" t="s">
        <v>1171</v>
      </c>
      <c r="G159" s="86" t="s">
        <v>579</v>
      </c>
      <c r="H159" s="86" t="s">
        <v>1172</v>
      </c>
      <c r="I159" s="87" t="s">
        <v>1143</v>
      </c>
      <c r="J159" s="84" t="s">
        <v>554</v>
      </c>
      <c r="K159" s="84" t="s">
        <v>555</v>
      </c>
    </row>
    <row r="160" spans="1:11" ht="15.75" x14ac:dyDescent="0.3">
      <c r="A160" s="86" t="s">
        <v>1173</v>
      </c>
      <c r="B160" s="86" t="s">
        <v>1142</v>
      </c>
      <c r="C160" s="86" t="s">
        <v>293</v>
      </c>
      <c r="D160" s="86" t="s">
        <v>1174</v>
      </c>
      <c r="E160" s="86" t="s">
        <v>284</v>
      </c>
      <c r="F160" s="86" t="s">
        <v>192</v>
      </c>
      <c r="G160" s="86" t="s">
        <v>652</v>
      </c>
      <c r="H160" s="86" t="s">
        <v>1175</v>
      </c>
      <c r="I160" s="87" t="s">
        <v>1176</v>
      </c>
      <c r="J160" s="84" t="s">
        <v>554</v>
      </c>
      <c r="K160" s="84" t="s">
        <v>555</v>
      </c>
    </row>
    <row r="161" spans="1:11" ht="15.75" x14ac:dyDescent="0.3">
      <c r="A161" s="86" t="s">
        <v>1177</v>
      </c>
      <c r="B161" s="86" t="s">
        <v>1142</v>
      </c>
      <c r="C161" s="86" t="s">
        <v>293</v>
      </c>
      <c r="D161" s="86" t="s">
        <v>980</v>
      </c>
      <c r="E161" s="86" t="s">
        <v>224</v>
      </c>
      <c r="F161" s="86" t="s">
        <v>226</v>
      </c>
      <c r="G161" s="86" t="s">
        <v>652</v>
      </c>
      <c r="H161" s="86" t="s">
        <v>981</v>
      </c>
      <c r="I161" s="87" t="s">
        <v>1143</v>
      </c>
      <c r="J161" s="84" t="s">
        <v>554</v>
      </c>
      <c r="K161" s="84" t="s">
        <v>555</v>
      </c>
    </row>
    <row r="162" spans="1:11" ht="15.75" x14ac:dyDescent="0.3">
      <c r="A162" s="86" t="s">
        <v>1178</v>
      </c>
      <c r="B162" s="86" t="s">
        <v>1142</v>
      </c>
      <c r="C162" s="86" t="s">
        <v>293</v>
      </c>
      <c r="D162" s="86" t="s">
        <v>1021</v>
      </c>
      <c r="E162" s="86" t="s">
        <v>263</v>
      </c>
      <c r="F162" s="86" t="s">
        <v>265</v>
      </c>
      <c r="G162" s="86" t="s">
        <v>584</v>
      </c>
      <c r="H162" s="86" t="s">
        <v>1179</v>
      </c>
      <c r="I162" s="87" t="s">
        <v>1143</v>
      </c>
      <c r="J162" s="84" t="s">
        <v>554</v>
      </c>
      <c r="K162" s="84" t="s">
        <v>555</v>
      </c>
    </row>
    <row r="163" spans="1:11" ht="15.75" x14ac:dyDescent="0.3">
      <c r="A163" s="86" t="s">
        <v>1180</v>
      </c>
      <c r="B163" s="86" t="s">
        <v>1142</v>
      </c>
      <c r="C163" s="86" t="s">
        <v>292</v>
      </c>
      <c r="D163" s="86" t="s">
        <v>869</v>
      </c>
      <c r="E163" s="86" t="s">
        <v>57</v>
      </c>
      <c r="F163" s="86" t="s">
        <v>59</v>
      </c>
      <c r="G163" s="86" t="s">
        <v>584</v>
      </c>
      <c r="H163" s="86" t="s">
        <v>1181</v>
      </c>
      <c r="I163" s="87" t="s">
        <v>1143</v>
      </c>
      <c r="J163" s="84" t="s">
        <v>554</v>
      </c>
      <c r="K163" s="84" t="s">
        <v>555</v>
      </c>
    </row>
    <row r="164" spans="1:11" ht="15.75" x14ac:dyDescent="0.3">
      <c r="A164" s="86" t="s">
        <v>1182</v>
      </c>
      <c r="B164" s="86" t="s">
        <v>1142</v>
      </c>
      <c r="C164" s="86" t="s">
        <v>292</v>
      </c>
      <c r="D164" s="86" t="s">
        <v>583</v>
      </c>
      <c r="E164" s="86" t="s">
        <v>53</v>
      </c>
      <c r="F164" s="86" t="s">
        <v>55</v>
      </c>
      <c r="G164" s="86" t="s">
        <v>661</v>
      </c>
      <c r="H164" s="86" t="s">
        <v>670</v>
      </c>
      <c r="I164" s="87" t="s">
        <v>1143</v>
      </c>
      <c r="J164" s="84" t="s">
        <v>554</v>
      </c>
      <c r="K164" s="84" t="s">
        <v>555</v>
      </c>
    </row>
    <row r="165" spans="1:11" ht="15.75" x14ac:dyDescent="0.3">
      <c r="A165" s="86" t="s">
        <v>1183</v>
      </c>
      <c r="B165" s="86" t="s">
        <v>1142</v>
      </c>
      <c r="C165" s="86" t="s">
        <v>292</v>
      </c>
      <c r="D165" s="86" t="s">
        <v>905</v>
      </c>
      <c r="E165" s="86" t="s">
        <v>139</v>
      </c>
      <c r="F165" s="86" t="s">
        <v>141</v>
      </c>
      <c r="G165" s="86" t="s">
        <v>851</v>
      </c>
      <c r="H165" s="86" t="s">
        <v>1184</v>
      </c>
      <c r="I165" s="87" t="s">
        <v>1143</v>
      </c>
      <c r="J165" s="84" t="s">
        <v>554</v>
      </c>
      <c r="K165" s="84" t="s">
        <v>555</v>
      </c>
    </row>
    <row r="166" spans="1:11" ht="15.75" x14ac:dyDescent="0.3">
      <c r="A166" s="86" t="s">
        <v>1185</v>
      </c>
      <c r="B166" s="86" t="s">
        <v>1142</v>
      </c>
      <c r="C166" s="86" t="s">
        <v>293</v>
      </c>
      <c r="D166" s="86" t="s">
        <v>834</v>
      </c>
      <c r="E166" s="86" t="s">
        <v>929</v>
      </c>
      <c r="F166" s="86" t="s">
        <v>187</v>
      </c>
      <c r="G166" s="86" t="s">
        <v>588</v>
      </c>
      <c r="H166" s="86" t="s">
        <v>983</v>
      </c>
      <c r="I166" s="87" t="s">
        <v>1143</v>
      </c>
      <c r="J166" s="84" t="s">
        <v>554</v>
      </c>
      <c r="K166" s="84" t="s">
        <v>555</v>
      </c>
    </row>
    <row r="167" spans="1:11" ht="15.75" x14ac:dyDescent="0.3">
      <c r="A167" s="86" t="s">
        <v>1186</v>
      </c>
      <c r="B167" s="86" t="s">
        <v>1142</v>
      </c>
      <c r="C167" s="86" t="s">
        <v>292</v>
      </c>
      <c r="D167" s="86" t="s">
        <v>687</v>
      </c>
      <c r="E167" s="86" t="s">
        <v>152</v>
      </c>
      <c r="F167" s="86" t="s">
        <v>154</v>
      </c>
      <c r="G167" s="86" t="s">
        <v>594</v>
      </c>
      <c r="H167" s="86" t="s">
        <v>688</v>
      </c>
      <c r="I167" s="87" t="s">
        <v>1143</v>
      </c>
      <c r="J167" s="84" t="s">
        <v>554</v>
      </c>
      <c r="K167" s="84" t="s">
        <v>555</v>
      </c>
    </row>
    <row r="168" spans="1:11" ht="15.75" x14ac:dyDescent="0.3">
      <c r="A168" s="86" t="s">
        <v>1187</v>
      </c>
      <c r="B168" s="86" t="s">
        <v>1142</v>
      </c>
      <c r="C168" s="86" t="s">
        <v>292</v>
      </c>
      <c r="D168" s="86" t="s">
        <v>1011</v>
      </c>
      <c r="E168" s="86" t="s">
        <v>1012</v>
      </c>
      <c r="F168" s="86" t="s">
        <v>1013</v>
      </c>
      <c r="G168" s="86" t="s">
        <v>745</v>
      </c>
      <c r="H168" s="86" t="s">
        <v>1014</v>
      </c>
      <c r="I168" s="87" t="s">
        <v>1143</v>
      </c>
      <c r="J168" s="84" t="s">
        <v>554</v>
      </c>
      <c r="K168" s="84" t="s">
        <v>555</v>
      </c>
    </row>
    <row r="169" spans="1:11" ht="15.75" x14ac:dyDescent="0.3">
      <c r="A169" s="86" t="s">
        <v>1188</v>
      </c>
      <c r="B169" s="86" t="s">
        <v>1142</v>
      </c>
      <c r="C169" s="86" t="s">
        <v>292</v>
      </c>
      <c r="D169" s="86" t="s">
        <v>1189</v>
      </c>
      <c r="E169" s="86" t="s">
        <v>156</v>
      </c>
      <c r="F169" s="86" t="s">
        <v>158</v>
      </c>
      <c r="G169" s="86" t="s">
        <v>745</v>
      </c>
      <c r="H169" s="86" t="s">
        <v>1190</v>
      </c>
      <c r="I169" s="87" t="s">
        <v>1143</v>
      </c>
      <c r="J169" s="84" t="s">
        <v>554</v>
      </c>
      <c r="K169" s="84" t="s">
        <v>555</v>
      </c>
    </row>
    <row r="170" spans="1:11" ht="15.75" x14ac:dyDescent="0.3">
      <c r="A170" s="86" t="s">
        <v>1191</v>
      </c>
      <c r="B170" s="86" t="s">
        <v>1142</v>
      </c>
      <c r="C170" s="86" t="s">
        <v>293</v>
      </c>
      <c r="D170" s="86" t="s">
        <v>1192</v>
      </c>
      <c r="E170" s="86" t="s">
        <v>94</v>
      </c>
      <c r="F170" s="86" t="s">
        <v>96</v>
      </c>
      <c r="G170" s="86" t="s">
        <v>754</v>
      </c>
      <c r="H170" s="86" t="s">
        <v>1193</v>
      </c>
      <c r="I170" s="87" t="s">
        <v>1143</v>
      </c>
      <c r="J170" s="84" t="s">
        <v>554</v>
      </c>
      <c r="K170" s="84" t="s">
        <v>555</v>
      </c>
    </row>
    <row r="171" spans="1:11" ht="15.75" x14ac:dyDescent="0.3">
      <c r="A171" s="86" t="s">
        <v>1194</v>
      </c>
      <c r="B171" s="86" t="s">
        <v>1142</v>
      </c>
      <c r="C171" s="86" t="s">
        <v>293</v>
      </c>
      <c r="D171" s="86" t="s">
        <v>1195</v>
      </c>
      <c r="E171" s="86" t="s">
        <v>272</v>
      </c>
      <c r="F171" s="86" t="s">
        <v>274</v>
      </c>
      <c r="G171" s="86" t="s">
        <v>675</v>
      </c>
      <c r="H171" s="86" t="s">
        <v>1196</v>
      </c>
      <c r="I171" s="87" t="s">
        <v>1143</v>
      </c>
      <c r="J171" s="84" t="s">
        <v>554</v>
      </c>
      <c r="K171" s="84" t="s">
        <v>555</v>
      </c>
    </row>
    <row r="172" spans="1:11" ht="15.75" x14ac:dyDescent="0.3">
      <c r="A172" s="86" t="s">
        <v>1197</v>
      </c>
      <c r="B172" s="86" t="s">
        <v>1142</v>
      </c>
      <c r="C172" s="86" t="s">
        <v>292</v>
      </c>
      <c r="D172" s="86" t="s">
        <v>880</v>
      </c>
      <c r="E172" s="86" t="s">
        <v>71</v>
      </c>
      <c r="F172" s="86" t="s">
        <v>73</v>
      </c>
      <c r="G172" s="86" t="s">
        <v>807</v>
      </c>
      <c r="H172" s="86" t="s">
        <v>1198</v>
      </c>
      <c r="I172" s="87" t="s">
        <v>1143</v>
      </c>
      <c r="J172" s="84" t="s">
        <v>554</v>
      </c>
      <c r="K172" s="84" t="s">
        <v>555</v>
      </c>
    </row>
    <row r="173" spans="1:11" ht="15.75" x14ac:dyDescent="0.3">
      <c r="A173" s="86" t="s">
        <v>1199</v>
      </c>
      <c r="B173" s="86" t="s">
        <v>1142</v>
      </c>
      <c r="C173" s="86" t="s">
        <v>293</v>
      </c>
      <c r="D173" s="86" t="s">
        <v>985</v>
      </c>
      <c r="E173" s="86" t="s">
        <v>106</v>
      </c>
      <c r="F173" s="86" t="s">
        <v>108</v>
      </c>
      <c r="G173" s="86" t="s">
        <v>807</v>
      </c>
      <c r="H173" s="86" t="s">
        <v>986</v>
      </c>
      <c r="I173" s="87" t="s">
        <v>1143</v>
      </c>
      <c r="J173" s="84" t="s">
        <v>554</v>
      </c>
      <c r="K173" s="84" t="s">
        <v>555</v>
      </c>
    </row>
    <row r="174" spans="1:11" ht="15.75" x14ac:dyDescent="0.3">
      <c r="A174" s="86" t="s">
        <v>1200</v>
      </c>
      <c r="B174" s="86" t="s">
        <v>1142</v>
      </c>
      <c r="C174" s="86" t="s">
        <v>292</v>
      </c>
      <c r="D174" s="86" t="s">
        <v>883</v>
      </c>
      <c r="E174" s="86" t="s">
        <v>75</v>
      </c>
      <c r="F174" s="86" t="s">
        <v>77</v>
      </c>
      <c r="G174" s="86" t="s">
        <v>807</v>
      </c>
      <c r="H174" s="86" t="s">
        <v>959</v>
      </c>
      <c r="I174" s="87" t="s">
        <v>1143</v>
      </c>
      <c r="J174" s="84" t="s">
        <v>554</v>
      </c>
      <c r="K174" s="84" t="s">
        <v>555</v>
      </c>
    </row>
    <row r="175" spans="1:11" ht="15.75" x14ac:dyDescent="0.3">
      <c r="A175" s="86" t="s">
        <v>1201</v>
      </c>
      <c r="B175" s="86" t="s">
        <v>1142</v>
      </c>
      <c r="C175" s="86" t="s">
        <v>292</v>
      </c>
      <c r="D175" s="86" t="s">
        <v>1025</v>
      </c>
      <c r="E175" s="86" t="s">
        <v>1202</v>
      </c>
      <c r="F175" s="86" t="s">
        <v>1027</v>
      </c>
      <c r="G175" s="86" t="s">
        <v>990</v>
      </c>
      <c r="H175" s="86" t="s">
        <v>1203</v>
      </c>
      <c r="I175" s="87" t="s">
        <v>731</v>
      </c>
      <c r="J175" s="84" t="s">
        <v>554</v>
      </c>
      <c r="K175" s="84" t="s">
        <v>555</v>
      </c>
    </row>
    <row r="176" spans="1:11" ht="15.75" x14ac:dyDescent="0.3">
      <c r="A176" s="86" t="s">
        <v>1204</v>
      </c>
      <c r="B176" s="86" t="s">
        <v>1142</v>
      </c>
      <c r="C176" s="86" t="s">
        <v>292</v>
      </c>
      <c r="D176" s="86" t="s">
        <v>989</v>
      </c>
      <c r="E176" s="86" t="s">
        <v>252</v>
      </c>
      <c r="F176" s="86" t="s">
        <v>254</v>
      </c>
      <c r="G176" s="86" t="s">
        <v>990</v>
      </c>
      <c r="H176" s="86" t="s">
        <v>991</v>
      </c>
      <c r="I176" s="87" t="s">
        <v>1143</v>
      </c>
      <c r="J176" s="84" t="s">
        <v>554</v>
      </c>
      <c r="K176" s="84" t="s">
        <v>555</v>
      </c>
    </row>
    <row r="177" spans="1:11" ht="15.75" x14ac:dyDescent="0.3">
      <c r="A177" s="86" t="s">
        <v>1205</v>
      </c>
      <c r="B177" s="86" t="s">
        <v>1142</v>
      </c>
      <c r="C177" s="86" t="s">
        <v>292</v>
      </c>
      <c r="D177" s="86" t="s">
        <v>1206</v>
      </c>
      <c r="E177" s="86" t="s">
        <v>244</v>
      </c>
      <c r="F177" s="86" t="s">
        <v>246</v>
      </c>
      <c r="G177" s="86" t="s">
        <v>551</v>
      </c>
      <c r="H177" s="86" t="s">
        <v>1207</v>
      </c>
      <c r="I177" s="87" t="s">
        <v>1143</v>
      </c>
      <c r="J177" s="84" t="s">
        <v>554</v>
      </c>
      <c r="K177" s="84" t="s">
        <v>555</v>
      </c>
    </row>
    <row r="178" spans="1:11" ht="15.75" x14ac:dyDescent="0.3">
      <c r="A178" s="86" t="s">
        <v>1208</v>
      </c>
      <c r="B178" s="86" t="s">
        <v>1209</v>
      </c>
      <c r="C178" s="86" t="s">
        <v>292</v>
      </c>
      <c r="D178" s="86" t="s">
        <v>883</v>
      </c>
      <c r="E178" s="86" t="s">
        <v>75</v>
      </c>
      <c r="F178" s="86" t="s">
        <v>77</v>
      </c>
      <c r="G178" s="86" t="s">
        <v>807</v>
      </c>
      <c r="H178" s="86" t="s">
        <v>1210</v>
      </c>
      <c r="I178" s="87" t="s">
        <v>1211</v>
      </c>
      <c r="J178" s="84" t="s">
        <v>554</v>
      </c>
      <c r="K178" s="84" t="s">
        <v>555</v>
      </c>
    </row>
    <row r="179" spans="1:11" ht="15.75" x14ac:dyDescent="0.3">
      <c r="A179" s="86" t="s">
        <v>1212</v>
      </c>
      <c r="B179" s="86" t="s">
        <v>1213</v>
      </c>
      <c r="C179" s="86" t="s">
        <v>294</v>
      </c>
      <c r="D179" s="86" t="s">
        <v>1214</v>
      </c>
      <c r="E179" s="86" t="s">
        <v>1215</v>
      </c>
      <c r="F179" s="86" t="s">
        <v>1216</v>
      </c>
      <c r="G179" s="86" t="s">
        <v>990</v>
      </c>
      <c r="H179" s="86" t="s">
        <v>1217</v>
      </c>
      <c r="I179" s="87" t="s">
        <v>1218</v>
      </c>
      <c r="J179" s="84" t="s">
        <v>554</v>
      </c>
      <c r="K179" s="84" t="s">
        <v>555</v>
      </c>
    </row>
    <row r="180" spans="1:11" ht="15.75" x14ac:dyDescent="0.3">
      <c r="A180" s="86" t="s">
        <v>1219</v>
      </c>
      <c r="B180" s="86" t="s">
        <v>1220</v>
      </c>
      <c r="C180" s="86" t="s">
        <v>292</v>
      </c>
      <c r="D180" s="86" t="s">
        <v>1221</v>
      </c>
      <c r="E180" s="86" t="s">
        <v>1222</v>
      </c>
      <c r="F180" s="86" t="s">
        <v>1223</v>
      </c>
      <c r="G180" s="86" t="s">
        <v>851</v>
      </c>
      <c r="H180" s="86" t="s">
        <v>1224</v>
      </c>
      <c r="I180" s="87" t="s">
        <v>1225</v>
      </c>
      <c r="J180" s="84" t="s">
        <v>554</v>
      </c>
      <c r="K180" s="84" t="s">
        <v>555</v>
      </c>
    </row>
    <row r="181" spans="1:11" ht="15.75" x14ac:dyDescent="0.3">
      <c r="A181" s="86" t="s">
        <v>1226</v>
      </c>
      <c r="B181" s="86" t="s">
        <v>1227</v>
      </c>
      <c r="C181" s="86" t="s">
        <v>293</v>
      </c>
      <c r="D181" s="86" t="s">
        <v>672</v>
      </c>
      <c r="E181" s="86" t="s">
        <v>673</v>
      </c>
      <c r="F181" s="86" t="s">
        <v>674</v>
      </c>
      <c r="G181" s="86" t="s">
        <v>675</v>
      </c>
      <c r="H181" s="86" t="s">
        <v>1228</v>
      </c>
      <c r="I181" s="87" t="s">
        <v>1218</v>
      </c>
      <c r="J181" s="84" t="s">
        <v>554</v>
      </c>
      <c r="K181" s="84" t="s">
        <v>555</v>
      </c>
    </row>
    <row r="182" spans="1:11" ht="15.75" x14ac:dyDescent="0.3">
      <c r="A182" s="86" t="s">
        <v>1229</v>
      </c>
      <c r="B182" s="86" t="s">
        <v>1230</v>
      </c>
      <c r="C182" s="86" t="s">
        <v>292</v>
      </c>
      <c r="D182" s="86" t="s">
        <v>587</v>
      </c>
      <c r="E182" s="86" t="s">
        <v>135</v>
      </c>
      <c r="F182" s="86" t="s">
        <v>137</v>
      </c>
      <c r="G182" s="86" t="s">
        <v>588</v>
      </c>
      <c r="H182" s="86" t="s">
        <v>1231</v>
      </c>
      <c r="I182" s="87" t="s">
        <v>1232</v>
      </c>
      <c r="J182" s="84" t="s">
        <v>554</v>
      </c>
      <c r="K182" s="84" t="s">
        <v>555</v>
      </c>
    </row>
    <row r="183" spans="1:11" ht="15.75" x14ac:dyDescent="0.3">
      <c r="A183" s="86" t="s">
        <v>1233</v>
      </c>
      <c r="B183" s="86" t="s">
        <v>1234</v>
      </c>
      <c r="C183" s="86" t="s">
        <v>293</v>
      </c>
      <c r="D183" s="86" t="s">
        <v>1235</v>
      </c>
      <c r="E183" s="86" t="s">
        <v>1236</v>
      </c>
      <c r="F183" s="86" t="s">
        <v>1237</v>
      </c>
      <c r="G183" s="86" t="s">
        <v>652</v>
      </c>
      <c r="H183" s="86" t="s">
        <v>1238</v>
      </c>
      <c r="I183" s="87" t="s">
        <v>1239</v>
      </c>
      <c r="J183" s="84" t="s">
        <v>554</v>
      </c>
      <c r="K183" s="84" t="s">
        <v>555</v>
      </c>
    </row>
    <row r="184" spans="1:11" ht="15.75" x14ac:dyDescent="0.3">
      <c r="A184" s="86" t="s">
        <v>1240</v>
      </c>
      <c r="B184" s="86" t="s">
        <v>1234</v>
      </c>
      <c r="C184" s="86" t="s">
        <v>294</v>
      </c>
      <c r="D184" s="86" t="s">
        <v>834</v>
      </c>
      <c r="E184" s="86" t="s">
        <v>185</v>
      </c>
      <c r="F184" s="86" t="s">
        <v>187</v>
      </c>
      <c r="G184" s="86" t="s">
        <v>851</v>
      </c>
      <c r="H184" s="86" t="s">
        <v>994</v>
      </c>
      <c r="I184" s="87" t="s">
        <v>1239</v>
      </c>
      <c r="J184" s="84" t="s">
        <v>554</v>
      </c>
      <c r="K184" s="84" t="s">
        <v>555</v>
      </c>
    </row>
    <row r="185" spans="1:11" ht="15.75" x14ac:dyDescent="0.3">
      <c r="A185" s="86" t="s">
        <v>1241</v>
      </c>
      <c r="B185" s="86" t="s">
        <v>1234</v>
      </c>
      <c r="C185" s="86" t="s">
        <v>292</v>
      </c>
      <c r="D185" s="86" t="s">
        <v>587</v>
      </c>
      <c r="E185" s="86" t="s">
        <v>135</v>
      </c>
      <c r="F185" s="86" t="s">
        <v>137</v>
      </c>
      <c r="G185" s="86" t="s">
        <v>588</v>
      </c>
      <c r="H185" s="86" t="s">
        <v>1231</v>
      </c>
      <c r="I185" s="87" t="s">
        <v>1239</v>
      </c>
      <c r="J185" s="84" t="s">
        <v>554</v>
      </c>
      <c r="K185" s="84" t="s">
        <v>555</v>
      </c>
    </row>
    <row r="186" spans="1:11" ht="15.75" x14ac:dyDescent="0.3">
      <c r="A186" s="86" t="s">
        <v>1242</v>
      </c>
      <c r="B186" s="86" t="s">
        <v>1234</v>
      </c>
      <c r="C186" s="86" t="s">
        <v>293</v>
      </c>
      <c r="D186" s="86" t="s">
        <v>1121</v>
      </c>
      <c r="E186" s="86" t="s">
        <v>1122</v>
      </c>
      <c r="F186" s="86" t="s">
        <v>1123</v>
      </c>
      <c r="G186" s="86" t="s">
        <v>675</v>
      </c>
      <c r="H186" s="86" t="s">
        <v>1243</v>
      </c>
      <c r="I186" s="87" t="s">
        <v>1239</v>
      </c>
      <c r="J186" s="84" t="s">
        <v>554</v>
      </c>
      <c r="K186" s="84" t="s">
        <v>555</v>
      </c>
    </row>
    <row r="187" spans="1:11" ht="15.75" x14ac:dyDescent="0.3">
      <c r="A187" s="86" t="s">
        <v>1244</v>
      </c>
      <c r="B187" s="86" t="s">
        <v>1245</v>
      </c>
      <c r="C187" s="86" t="s">
        <v>292</v>
      </c>
      <c r="D187" s="86" t="s">
        <v>1221</v>
      </c>
      <c r="E187" s="86" t="s">
        <v>1222</v>
      </c>
      <c r="F187" s="86" t="s">
        <v>1223</v>
      </c>
      <c r="G187" s="86" t="s">
        <v>851</v>
      </c>
      <c r="H187" s="86" t="s">
        <v>1224</v>
      </c>
      <c r="I187" s="87" t="s">
        <v>1246</v>
      </c>
      <c r="J187" s="84" t="s">
        <v>554</v>
      </c>
      <c r="K187" s="84" t="s">
        <v>555</v>
      </c>
    </row>
    <row r="188" spans="1:11" ht="15.75" x14ac:dyDescent="0.3">
      <c r="A188" s="86" t="s">
        <v>1247</v>
      </c>
      <c r="B188" s="86" t="s">
        <v>1245</v>
      </c>
      <c r="C188" s="86" t="s">
        <v>294</v>
      </c>
      <c r="D188" s="86" t="s">
        <v>1248</v>
      </c>
      <c r="E188" s="86" t="s">
        <v>1249</v>
      </c>
      <c r="F188" s="86" t="s">
        <v>1250</v>
      </c>
      <c r="G188" s="86" t="s">
        <v>675</v>
      </c>
      <c r="H188" s="86" t="s">
        <v>1251</v>
      </c>
      <c r="I188" s="87" t="s">
        <v>1246</v>
      </c>
      <c r="J188" s="84" t="s">
        <v>554</v>
      </c>
      <c r="K188" s="84" t="s">
        <v>555</v>
      </c>
    </row>
    <row r="189" spans="1:11" ht="15.75" x14ac:dyDescent="0.3">
      <c r="A189" s="86" t="s">
        <v>1252</v>
      </c>
      <c r="B189" s="86" t="s">
        <v>1245</v>
      </c>
      <c r="C189" s="86" t="s">
        <v>294</v>
      </c>
      <c r="D189" s="86" t="s">
        <v>1214</v>
      </c>
      <c r="E189" s="86" t="s">
        <v>1215</v>
      </c>
      <c r="F189" s="86" t="s">
        <v>1216</v>
      </c>
      <c r="G189" s="86" t="s">
        <v>990</v>
      </c>
      <c r="H189" s="86" t="s">
        <v>1217</v>
      </c>
      <c r="I189" s="87" t="s">
        <v>1253</v>
      </c>
      <c r="J189" s="84" t="s">
        <v>554</v>
      </c>
      <c r="K189" s="84" t="s">
        <v>555</v>
      </c>
    </row>
    <row r="190" spans="1:11" ht="15.75" x14ac:dyDescent="0.3">
      <c r="A190" s="86" t="s">
        <v>1254</v>
      </c>
      <c r="B190" s="86" t="s">
        <v>1255</v>
      </c>
      <c r="C190" s="86" t="s">
        <v>293</v>
      </c>
      <c r="D190" s="86" t="s">
        <v>924</v>
      </c>
      <c r="E190" s="86" t="s">
        <v>126</v>
      </c>
      <c r="F190" s="86" t="s">
        <v>128</v>
      </c>
      <c r="G190" s="86" t="s">
        <v>579</v>
      </c>
      <c r="H190" s="86" t="s">
        <v>1256</v>
      </c>
      <c r="I190" s="87" t="s">
        <v>699</v>
      </c>
      <c r="J190" s="84" t="s">
        <v>554</v>
      </c>
      <c r="K190" s="84" t="s">
        <v>555</v>
      </c>
    </row>
    <row r="191" spans="1:11" ht="15.75" x14ac:dyDescent="0.3">
      <c r="A191" s="86" t="s">
        <v>1257</v>
      </c>
      <c r="B191" s="86" t="s">
        <v>1255</v>
      </c>
      <c r="C191" s="86" t="s">
        <v>292</v>
      </c>
      <c r="D191" s="86" t="s">
        <v>657</v>
      </c>
      <c r="E191" s="86" t="s">
        <v>1258</v>
      </c>
      <c r="F191" s="86" t="s">
        <v>50</v>
      </c>
      <c r="G191" s="86" t="s">
        <v>661</v>
      </c>
      <c r="H191" s="86" t="s">
        <v>1259</v>
      </c>
      <c r="I191" s="87" t="s">
        <v>699</v>
      </c>
      <c r="J191" s="84" t="s">
        <v>554</v>
      </c>
      <c r="K191" s="84" t="s">
        <v>555</v>
      </c>
    </row>
    <row r="192" spans="1:11" ht="15.75" x14ac:dyDescent="0.3">
      <c r="A192" s="86" t="s">
        <v>1260</v>
      </c>
      <c r="B192" s="86" t="s">
        <v>1255</v>
      </c>
      <c r="C192" s="86" t="s">
        <v>293</v>
      </c>
      <c r="D192" s="86" t="s">
        <v>672</v>
      </c>
      <c r="E192" s="86" t="s">
        <v>673</v>
      </c>
      <c r="F192" s="86" t="s">
        <v>674</v>
      </c>
      <c r="G192" s="86" t="s">
        <v>675</v>
      </c>
      <c r="H192" s="86" t="s">
        <v>1228</v>
      </c>
      <c r="I192" s="87" t="s">
        <v>699</v>
      </c>
      <c r="J192" s="84" t="s">
        <v>554</v>
      </c>
      <c r="K192" s="84" t="s">
        <v>555</v>
      </c>
    </row>
    <row r="193" spans="1:11" ht="15.75" x14ac:dyDescent="0.3">
      <c r="A193" s="86" t="s">
        <v>1261</v>
      </c>
      <c r="B193" s="86" t="s">
        <v>1255</v>
      </c>
      <c r="C193" s="86" t="s">
        <v>293</v>
      </c>
      <c r="D193" s="86" t="s">
        <v>672</v>
      </c>
      <c r="E193" s="86" t="s">
        <v>673</v>
      </c>
      <c r="F193" s="86" t="s">
        <v>674</v>
      </c>
      <c r="G193" s="86" t="s">
        <v>675</v>
      </c>
      <c r="H193" s="86" t="s">
        <v>676</v>
      </c>
      <c r="I193" s="87" t="s">
        <v>1262</v>
      </c>
      <c r="J193" s="84" t="s">
        <v>554</v>
      </c>
      <c r="K193" s="84" t="s">
        <v>555</v>
      </c>
    </row>
    <row r="194" spans="1:11" ht="15.75" x14ac:dyDescent="0.3">
      <c r="A194" s="86" t="s">
        <v>1263</v>
      </c>
      <c r="B194" s="86" t="s">
        <v>1255</v>
      </c>
      <c r="C194" s="86" t="s">
        <v>294</v>
      </c>
      <c r="D194" s="86" t="s">
        <v>1214</v>
      </c>
      <c r="E194" s="86" t="s">
        <v>1215</v>
      </c>
      <c r="F194" s="86" t="s">
        <v>1216</v>
      </c>
      <c r="G194" s="86" t="s">
        <v>990</v>
      </c>
      <c r="H194" s="86" t="s">
        <v>1217</v>
      </c>
      <c r="I194" s="87" t="s">
        <v>699</v>
      </c>
      <c r="J194" s="84" t="s">
        <v>554</v>
      </c>
      <c r="K194" s="84" t="s">
        <v>555</v>
      </c>
    </row>
    <row r="195" spans="1:11" ht="15.75" x14ac:dyDescent="0.3">
      <c r="A195" s="86" t="s">
        <v>1264</v>
      </c>
      <c r="B195" s="86" t="s">
        <v>1265</v>
      </c>
      <c r="C195" s="86" t="s">
        <v>294</v>
      </c>
      <c r="D195" s="86" t="s">
        <v>1067</v>
      </c>
      <c r="E195" s="86" t="s">
        <v>1068</v>
      </c>
      <c r="F195" s="86" t="s">
        <v>1069</v>
      </c>
      <c r="G195" s="86" t="s">
        <v>588</v>
      </c>
      <c r="H195" s="86" t="s">
        <v>1070</v>
      </c>
      <c r="I195" s="87" t="s">
        <v>1266</v>
      </c>
      <c r="J195" s="84" t="s">
        <v>554</v>
      </c>
      <c r="K195" s="84" t="s">
        <v>555</v>
      </c>
    </row>
    <row r="196" spans="1:11" ht="15.75" x14ac:dyDescent="0.3">
      <c r="A196" s="86" t="s">
        <v>1267</v>
      </c>
      <c r="B196" s="86" t="s">
        <v>1268</v>
      </c>
      <c r="C196" s="86" t="s">
        <v>294</v>
      </c>
      <c r="D196" s="86" t="s">
        <v>752</v>
      </c>
      <c r="E196" s="86" t="s">
        <v>753</v>
      </c>
      <c r="F196" s="86" t="s">
        <v>217</v>
      </c>
      <c r="G196" s="86" t="s">
        <v>754</v>
      </c>
      <c r="H196" s="86" t="s">
        <v>755</v>
      </c>
      <c r="I196" s="87" t="s">
        <v>1269</v>
      </c>
      <c r="J196" s="84" t="s">
        <v>554</v>
      </c>
      <c r="K196" s="84" t="s">
        <v>555</v>
      </c>
    </row>
    <row r="197" spans="1:11" ht="15.75" x14ac:dyDescent="0.3">
      <c r="A197" s="86" t="s">
        <v>1270</v>
      </c>
      <c r="B197" s="86" t="s">
        <v>1271</v>
      </c>
      <c r="C197" s="86" t="s">
        <v>294</v>
      </c>
      <c r="D197" s="86" t="s">
        <v>717</v>
      </c>
      <c r="E197" s="86" t="s">
        <v>718</v>
      </c>
      <c r="F197" s="86" t="s">
        <v>719</v>
      </c>
      <c r="G197" s="86" t="s">
        <v>579</v>
      </c>
      <c r="H197" s="86" t="s">
        <v>1272</v>
      </c>
      <c r="I197" s="87" t="s">
        <v>1273</v>
      </c>
      <c r="J197" s="84" t="s">
        <v>554</v>
      </c>
      <c r="K197" s="84" t="s">
        <v>555</v>
      </c>
    </row>
    <row r="198" spans="1:11" ht="15.75" x14ac:dyDescent="0.3">
      <c r="A198" s="86" t="s">
        <v>1274</v>
      </c>
      <c r="B198" s="86" t="s">
        <v>1275</v>
      </c>
      <c r="C198" s="86" t="s">
        <v>294</v>
      </c>
      <c r="D198" s="86" t="s">
        <v>732</v>
      </c>
      <c r="E198" s="86" t="s">
        <v>733</v>
      </c>
      <c r="F198" s="86" t="s">
        <v>734</v>
      </c>
      <c r="G198" s="86" t="s">
        <v>584</v>
      </c>
      <c r="H198" s="86" t="s">
        <v>1276</v>
      </c>
      <c r="I198" s="87" t="s">
        <v>1277</v>
      </c>
      <c r="J198" s="84" t="s">
        <v>554</v>
      </c>
      <c r="K198" s="84" t="s">
        <v>555</v>
      </c>
    </row>
    <row r="199" spans="1:11" ht="15.75" x14ac:dyDescent="0.3">
      <c r="A199" s="86" t="s">
        <v>1278</v>
      </c>
      <c r="B199" s="86" t="s">
        <v>1275</v>
      </c>
      <c r="C199" s="86" t="s">
        <v>294</v>
      </c>
      <c r="D199" s="86" t="s">
        <v>1279</v>
      </c>
      <c r="E199" s="86" t="s">
        <v>1280</v>
      </c>
      <c r="F199" s="86" t="s">
        <v>1281</v>
      </c>
      <c r="G199" s="86" t="s">
        <v>667</v>
      </c>
      <c r="H199" s="86" t="s">
        <v>1282</v>
      </c>
      <c r="I199" s="87" t="s">
        <v>1277</v>
      </c>
      <c r="J199" s="84" t="s">
        <v>554</v>
      </c>
      <c r="K199" s="84" t="s">
        <v>555</v>
      </c>
    </row>
    <row r="200" spans="1:11" ht="15.75" x14ac:dyDescent="0.3">
      <c r="A200" s="86" t="s">
        <v>1283</v>
      </c>
      <c r="B200" s="86" t="s">
        <v>1284</v>
      </c>
      <c r="C200" s="86" t="s">
        <v>294</v>
      </c>
      <c r="D200" s="86" t="s">
        <v>742</v>
      </c>
      <c r="E200" s="86" t="s">
        <v>743</v>
      </c>
      <c r="F200" s="86" t="s">
        <v>744</v>
      </c>
      <c r="G200" s="86" t="s">
        <v>745</v>
      </c>
      <c r="H200" s="86" t="s">
        <v>746</v>
      </c>
      <c r="I200" s="87" t="s">
        <v>1285</v>
      </c>
      <c r="J200" s="84" t="s">
        <v>554</v>
      </c>
      <c r="K200" s="84" t="s">
        <v>555</v>
      </c>
    </row>
    <row r="201" spans="1:11" ht="15.75" x14ac:dyDescent="0.3">
      <c r="A201" s="86" t="s">
        <v>1286</v>
      </c>
      <c r="B201" s="86" t="s">
        <v>1287</v>
      </c>
      <c r="C201" s="86" t="s">
        <v>294</v>
      </c>
      <c r="D201" s="86" t="s">
        <v>834</v>
      </c>
      <c r="E201" s="86" t="s">
        <v>185</v>
      </c>
      <c r="F201" s="86" t="s">
        <v>187</v>
      </c>
      <c r="G201" s="86" t="s">
        <v>675</v>
      </c>
      <c r="H201" s="86" t="s">
        <v>835</v>
      </c>
      <c r="I201" s="87" t="s">
        <v>1288</v>
      </c>
      <c r="J201" s="84" t="s">
        <v>554</v>
      </c>
      <c r="K201" s="84" t="s">
        <v>555</v>
      </c>
    </row>
    <row r="202" spans="1:11" ht="15.75" x14ac:dyDescent="0.3">
      <c r="A202" s="86" t="s">
        <v>1289</v>
      </c>
      <c r="B202" s="86" t="s">
        <v>1290</v>
      </c>
      <c r="C202" s="86" t="s">
        <v>294</v>
      </c>
      <c r="D202" s="86" t="s">
        <v>791</v>
      </c>
      <c r="E202" s="86" t="s">
        <v>792</v>
      </c>
      <c r="F202" s="86" t="s">
        <v>793</v>
      </c>
      <c r="G202" s="86" t="s">
        <v>691</v>
      </c>
      <c r="H202" s="86" t="s">
        <v>794</v>
      </c>
      <c r="I202" s="87" t="s">
        <v>1291</v>
      </c>
      <c r="J202" s="84" t="s">
        <v>554</v>
      </c>
      <c r="K202" s="84" t="s">
        <v>555</v>
      </c>
    </row>
    <row r="203" spans="1:11" ht="15.75" x14ac:dyDescent="0.3">
      <c r="A203" s="86" t="s">
        <v>1292</v>
      </c>
      <c r="B203" s="86" t="s">
        <v>1293</v>
      </c>
      <c r="C203" s="86" t="s">
        <v>294</v>
      </c>
      <c r="D203" s="86" t="s">
        <v>782</v>
      </c>
      <c r="E203" s="86" t="s">
        <v>783</v>
      </c>
      <c r="F203" s="86" t="s">
        <v>784</v>
      </c>
      <c r="G203" s="86" t="s">
        <v>622</v>
      </c>
      <c r="H203" s="86" t="s">
        <v>785</v>
      </c>
      <c r="I203" s="87" t="s">
        <v>1294</v>
      </c>
      <c r="J203" s="84" t="s">
        <v>554</v>
      </c>
      <c r="K203" s="84" t="s">
        <v>555</v>
      </c>
    </row>
    <row r="204" spans="1:11" ht="15.75" x14ac:dyDescent="0.3">
      <c r="A204" s="86" t="s">
        <v>1295</v>
      </c>
      <c r="B204" s="86" t="s">
        <v>1296</v>
      </c>
      <c r="C204" s="86" t="s">
        <v>294</v>
      </c>
      <c r="D204" s="86" t="s">
        <v>1094</v>
      </c>
      <c r="E204" s="86" t="s">
        <v>1095</v>
      </c>
      <c r="F204" s="86" t="s">
        <v>1096</v>
      </c>
      <c r="G204" s="86" t="s">
        <v>990</v>
      </c>
      <c r="H204" s="86" t="s">
        <v>1097</v>
      </c>
      <c r="I204" s="87" t="s">
        <v>1297</v>
      </c>
      <c r="J204" s="84" t="s">
        <v>554</v>
      </c>
      <c r="K204" s="84" t="s">
        <v>555</v>
      </c>
    </row>
    <row r="205" spans="1:11" ht="15.75" x14ac:dyDescent="0.3">
      <c r="A205" s="86" t="s">
        <v>1298</v>
      </c>
      <c r="B205" s="86" t="s">
        <v>1299</v>
      </c>
      <c r="C205" s="86" t="s">
        <v>294</v>
      </c>
      <c r="D205" s="86" t="s">
        <v>591</v>
      </c>
      <c r="E205" s="86" t="s">
        <v>592</v>
      </c>
      <c r="F205" s="86" t="s">
        <v>593</v>
      </c>
      <c r="G205" s="86" t="s">
        <v>594</v>
      </c>
      <c r="H205" s="86" t="s">
        <v>1131</v>
      </c>
      <c r="I205" s="87" t="s">
        <v>1300</v>
      </c>
      <c r="J205" s="84" t="s">
        <v>554</v>
      </c>
      <c r="K205" s="84" t="s">
        <v>555</v>
      </c>
    </row>
    <row r="206" spans="1:11" ht="15.75" x14ac:dyDescent="0.3">
      <c r="A206" s="86" t="s">
        <v>1301</v>
      </c>
      <c r="B206" s="86" t="s">
        <v>1302</v>
      </c>
      <c r="C206" s="86" t="s">
        <v>294</v>
      </c>
      <c r="D206" s="86" t="s">
        <v>705</v>
      </c>
      <c r="E206" s="86" t="s">
        <v>706</v>
      </c>
      <c r="F206" s="86" t="s">
        <v>707</v>
      </c>
      <c r="G206" s="86" t="s">
        <v>708</v>
      </c>
      <c r="H206" s="86" t="s">
        <v>709</v>
      </c>
      <c r="I206" s="87" t="s">
        <v>1303</v>
      </c>
      <c r="J206" s="84" t="s">
        <v>554</v>
      </c>
      <c r="K206" s="84" t="s">
        <v>555</v>
      </c>
    </row>
    <row r="207" spans="1:11" ht="15.75" x14ac:dyDescent="0.3">
      <c r="A207" s="86" t="s">
        <v>1304</v>
      </c>
      <c r="B207" s="86" t="s">
        <v>1302</v>
      </c>
      <c r="C207" s="86" t="s">
        <v>294</v>
      </c>
      <c r="D207" s="86" t="s">
        <v>1082</v>
      </c>
      <c r="E207" s="86" t="s">
        <v>1083</v>
      </c>
      <c r="F207" s="86" t="s">
        <v>1084</v>
      </c>
      <c r="G207" s="86" t="s">
        <v>588</v>
      </c>
      <c r="H207" s="86" t="s">
        <v>1305</v>
      </c>
      <c r="I207" s="87" t="s">
        <v>1303</v>
      </c>
      <c r="J207" s="84" t="s">
        <v>554</v>
      </c>
      <c r="K207" s="84" t="s">
        <v>555</v>
      </c>
    </row>
    <row r="208" spans="1:11" ht="15.75" x14ac:dyDescent="0.3">
      <c r="A208" s="86" t="s">
        <v>1306</v>
      </c>
      <c r="B208" s="86" t="s">
        <v>1307</v>
      </c>
      <c r="C208" s="86" t="s">
        <v>294</v>
      </c>
      <c r="D208" s="86" t="s">
        <v>737</v>
      </c>
      <c r="E208" s="86" t="s">
        <v>738</v>
      </c>
      <c r="F208" s="86" t="s">
        <v>739</v>
      </c>
      <c r="G208" s="86" t="s">
        <v>740</v>
      </c>
      <c r="H208" s="86" t="s">
        <v>1308</v>
      </c>
      <c r="I208" s="87" t="s">
        <v>1309</v>
      </c>
      <c r="J208" s="84" t="s">
        <v>554</v>
      </c>
      <c r="K208" s="84" t="s">
        <v>555</v>
      </c>
    </row>
    <row r="209" spans="1:11" ht="15.75" x14ac:dyDescent="0.3">
      <c r="A209" s="86" t="s">
        <v>1310</v>
      </c>
      <c r="B209" s="86" t="s">
        <v>1307</v>
      </c>
      <c r="C209" s="86" t="s">
        <v>294</v>
      </c>
      <c r="D209" s="86" t="s">
        <v>747</v>
      </c>
      <c r="E209" s="86" t="s">
        <v>748</v>
      </c>
      <c r="F209" s="86" t="s">
        <v>749</v>
      </c>
      <c r="G209" s="86" t="s">
        <v>750</v>
      </c>
      <c r="H209" s="86" t="s">
        <v>751</v>
      </c>
      <c r="I209" s="87" t="s">
        <v>1309</v>
      </c>
      <c r="J209" s="84" t="s">
        <v>554</v>
      </c>
      <c r="K209" s="84" t="s">
        <v>555</v>
      </c>
    </row>
    <row r="210" spans="1:11" ht="15.75" x14ac:dyDescent="0.3">
      <c r="A210" s="86" t="s">
        <v>1311</v>
      </c>
      <c r="B210" s="86" t="s">
        <v>1312</v>
      </c>
      <c r="C210" s="86" t="s">
        <v>293</v>
      </c>
      <c r="D210" s="86" t="s">
        <v>722</v>
      </c>
      <c r="E210" s="86" t="s">
        <v>723</v>
      </c>
      <c r="F210" s="86" t="s">
        <v>724</v>
      </c>
      <c r="G210" s="86" t="s">
        <v>652</v>
      </c>
      <c r="H210" s="86" t="s">
        <v>725</v>
      </c>
      <c r="I210" s="87" t="s">
        <v>1313</v>
      </c>
      <c r="J210" s="84" t="s">
        <v>554</v>
      </c>
      <c r="K210" s="84" t="s">
        <v>555</v>
      </c>
    </row>
    <row r="211" spans="1:11" ht="15.75" x14ac:dyDescent="0.3">
      <c r="A211" s="86" t="s">
        <v>1314</v>
      </c>
      <c r="B211" s="86" t="s">
        <v>1315</v>
      </c>
      <c r="C211" s="86" t="s">
        <v>294</v>
      </c>
      <c r="D211" s="86" t="s">
        <v>737</v>
      </c>
      <c r="E211" s="86" t="s">
        <v>738</v>
      </c>
      <c r="F211" s="86" t="s">
        <v>739</v>
      </c>
      <c r="G211" s="86" t="s">
        <v>740</v>
      </c>
      <c r="H211" s="86" t="s">
        <v>1308</v>
      </c>
      <c r="I211" s="87" t="s">
        <v>1309</v>
      </c>
      <c r="J211" s="84" t="s">
        <v>554</v>
      </c>
      <c r="K211" s="84" t="s">
        <v>555</v>
      </c>
    </row>
    <row r="212" spans="1:11" ht="15.75" x14ac:dyDescent="0.3">
      <c r="A212" s="86" t="s">
        <v>1316</v>
      </c>
      <c r="B212" s="86" t="s">
        <v>1315</v>
      </c>
      <c r="C212" s="86" t="s">
        <v>294</v>
      </c>
      <c r="D212" s="86" t="s">
        <v>747</v>
      </c>
      <c r="E212" s="86" t="s">
        <v>748</v>
      </c>
      <c r="F212" s="86" t="s">
        <v>749</v>
      </c>
      <c r="G212" s="86" t="s">
        <v>750</v>
      </c>
      <c r="H212" s="86" t="s">
        <v>751</v>
      </c>
      <c r="I212" s="87" t="s">
        <v>1309</v>
      </c>
      <c r="J212" s="84" t="s">
        <v>554</v>
      </c>
      <c r="K212" s="84" t="s">
        <v>555</v>
      </c>
    </row>
    <row r="213" spans="1:11" ht="15.75" x14ac:dyDescent="0.3">
      <c r="A213" s="86" t="s">
        <v>1317</v>
      </c>
      <c r="B213" s="86" t="s">
        <v>1318</v>
      </c>
      <c r="C213" s="86" t="s">
        <v>294</v>
      </c>
      <c r="D213" s="86" t="s">
        <v>804</v>
      </c>
      <c r="E213" s="86" t="s">
        <v>805</v>
      </c>
      <c r="F213" s="86" t="s">
        <v>806</v>
      </c>
      <c r="G213" s="86" t="s">
        <v>807</v>
      </c>
      <c r="H213" s="86" t="s">
        <v>808</v>
      </c>
      <c r="I213" s="87" t="s">
        <v>1319</v>
      </c>
      <c r="J213" s="84" t="s">
        <v>554</v>
      </c>
      <c r="K213" s="84" t="s">
        <v>555</v>
      </c>
    </row>
    <row r="214" spans="1:11" ht="15.75" x14ac:dyDescent="0.3">
      <c r="A214" s="86" t="s">
        <v>1320</v>
      </c>
      <c r="B214" s="86" t="s">
        <v>1321</v>
      </c>
      <c r="C214" s="86" t="s">
        <v>294</v>
      </c>
      <c r="D214" s="86" t="s">
        <v>1322</v>
      </c>
      <c r="E214" s="86" t="s">
        <v>1323</v>
      </c>
      <c r="F214" s="86" t="s">
        <v>1324</v>
      </c>
      <c r="G214" s="86" t="s">
        <v>652</v>
      </c>
      <c r="H214" s="86" t="s">
        <v>1325</v>
      </c>
      <c r="I214" s="87" t="s">
        <v>1326</v>
      </c>
      <c r="J214" s="84" t="s">
        <v>554</v>
      </c>
      <c r="K214" s="84" t="s">
        <v>555</v>
      </c>
    </row>
    <row r="215" spans="1:11" ht="15.75" x14ac:dyDescent="0.3">
      <c r="A215" s="86" t="s">
        <v>1327</v>
      </c>
      <c r="B215" s="86" t="s">
        <v>1328</v>
      </c>
      <c r="C215" s="86" t="s">
        <v>294</v>
      </c>
      <c r="D215" s="86" t="s">
        <v>732</v>
      </c>
      <c r="E215" s="86" t="s">
        <v>733</v>
      </c>
      <c r="F215" s="86" t="s">
        <v>734</v>
      </c>
      <c r="G215" s="86" t="s">
        <v>584</v>
      </c>
      <c r="H215" s="86" t="s">
        <v>1276</v>
      </c>
      <c r="I215" s="87" t="s">
        <v>1329</v>
      </c>
      <c r="J215" s="84" t="s">
        <v>554</v>
      </c>
      <c r="K215" s="84" t="s">
        <v>555</v>
      </c>
    </row>
    <row r="216" spans="1:11" ht="15.75" x14ac:dyDescent="0.3">
      <c r="A216" s="86" t="s">
        <v>1330</v>
      </c>
      <c r="B216" s="86" t="s">
        <v>1331</v>
      </c>
      <c r="C216" s="86" t="s">
        <v>294</v>
      </c>
      <c r="D216" s="86" t="s">
        <v>711</v>
      </c>
      <c r="E216" s="86" t="s">
        <v>278</v>
      </c>
      <c r="F216" s="86" t="s">
        <v>280</v>
      </c>
      <c r="G216" s="86" t="s">
        <v>708</v>
      </c>
      <c r="H216" s="86" t="s">
        <v>1332</v>
      </c>
      <c r="I216" s="87" t="s">
        <v>1333</v>
      </c>
      <c r="J216" s="84" t="s">
        <v>554</v>
      </c>
      <c r="K216" s="84" t="s">
        <v>555</v>
      </c>
    </row>
    <row r="217" spans="1:11" ht="15.75" x14ac:dyDescent="0.3">
      <c r="A217" s="86" t="s">
        <v>1334</v>
      </c>
      <c r="B217" s="86" t="s">
        <v>1331</v>
      </c>
      <c r="C217" s="86" t="s">
        <v>294</v>
      </c>
      <c r="D217" s="86" t="s">
        <v>713</v>
      </c>
      <c r="E217" s="86" t="s">
        <v>714</v>
      </c>
      <c r="F217" s="86" t="s">
        <v>715</v>
      </c>
      <c r="G217" s="86" t="s">
        <v>622</v>
      </c>
      <c r="H217" s="86" t="s">
        <v>716</v>
      </c>
      <c r="I217" s="87" t="s">
        <v>1333</v>
      </c>
      <c r="J217" s="84" t="s">
        <v>554</v>
      </c>
      <c r="K217" s="84" t="s">
        <v>555</v>
      </c>
    </row>
    <row r="218" spans="1:11" ht="15.75" x14ac:dyDescent="0.3">
      <c r="A218" s="86" t="s">
        <v>1335</v>
      </c>
      <c r="B218" s="86" t="s">
        <v>1331</v>
      </c>
      <c r="C218" s="86" t="s">
        <v>294</v>
      </c>
      <c r="D218" s="86" t="s">
        <v>1336</v>
      </c>
      <c r="E218" s="86" t="s">
        <v>1337</v>
      </c>
      <c r="F218" s="86" t="s">
        <v>237</v>
      </c>
      <c r="G218" s="86" t="s">
        <v>683</v>
      </c>
      <c r="H218" s="86" t="s">
        <v>1338</v>
      </c>
      <c r="I218" s="87" t="s">
        <v>1333</v>
      </c>
      <c r="J218" s="84" t="s">
        <v>554</v>
      </c>
      <c r="K218" s="84" t="s">
        <v>555</v>
      </c>
    </row>
    <row r="219" spans="1:11" ht="15.75" x14ac:dyDescent="0.3">
      <c r="A219" s="86" t="s">
        <v>1339</v>
      </c>
      <c r="B219" s="86" t="s">
        <v>1331</v>
      </c>
      <c r="C219" s="86" t="s">
        <v>294</v>
      </c>
      <c r="D219" s="86" t="s">
        <v>597</v>
      </c>
      <c r="E219" s="86" t="s">
        <v>598</v>
      </c>
      <c r="F219" s="86" t="s">
        <v>599</v>
      </c>
      <c r="G219" s="86" t="s">
        <v>551</v>
      </c>
      <c r="H219" s="86" t="s">
        <v>1099</v>
      </c>
      <c r="I219" s="87" t="s">
        <v>1333</v>
      </c>
      <c r="J219" s="84" t="s">
        <v>554</v>
      </c>
      <c r="K219" s="84" t="s">
        <v>555</v>
      </c>
    </row>
    <row r="220" spans="1:11" ht="15.75" x14ac:dyDescent="0.3">
      <c r="A220" s="86" t="s">
        <v>1340</v>
      </c>
      <c r="B220" s="86" t="s">
        <v>1341</v>
      </c>
      <c r="C220" s="86" t="s">
        <v>292</v>
      </c>
      <c r="D220" s="86" t="s">
        <v>657</v>
      </c>
      <c r="E220" s="86" t="s">
        <v>1258</v>
      </c>
      <c r="F220" s="86" t="s">
        <v>50</v>
      </c>
      <c r="G220" s="86" t="s">
        <v>661</v>
      </c>
      <c r="H220" s="86" t="s">
        <v>1259</v>
      </c>
      <c r="I220" s="87" t="s">
        <v>1342</v>
      </c>
      <c r="J220" s="84" t="s">
        <v>554</v>
      </c>
      <c r="K220" s="84" t="s">
        <v>555</v>
      </c>
    </row>
    <row r="221" spans="1:11" ht="15.75" x14ac:dyDescent="0.3">
      <c r="A221" s="86" t="s">
        <v>1343</v>
      </c>
      <c r="B221" s="86" t="s">
        <v>1341</v>
      </c>
      <c r="C221" s="86" t="s">
        <v>293</v>
      </c>
      <c r="D221" s="86" t="s">
        <v>1344</v>
      </c>
      <c r="E221" s="86" t="s">
        <v>1345</v>
      </c>
      <c r="F221" s="86" t="s">
        <v>1346</v>
      </c>
      <c r="G221" s="86" t="s">
        <v>691</v>
      </c>
      <c r="H221" s="86" t="s">
        <v>1347</v>
      </c>
      <c r="I221" s="87" t="s">
        <v>1342</v>
      </c>
      <c r="J221" s="84" t="s">
        <v>554</v>
      </c>
      <c r="K221" s="84" t="s">
        <v>555</v>
      </c>
    </row>
    <row r="222" spans="1:11" ht="15.75" x14ac:dyDescent="0.3">
      <c r="A222" s="86" t="s">
        <v>1348</v>
      </c>
      <c r="B222" s="86" t="s">
        <v>1341</v>
      </c>
      <c r="C222" s="86" t="s">
        <v>293</v>
      </c>
      <c r="D222" s="86" t="s">
        <v>1121</v>
      </c>
      <c r="E222" s="86" t="s">
        <v>1122</v>
      </c>
      <c r="F222" s="86" t="s">
        <v>1123</v>
      </c>
      <c r="G222" s="86" t="s">
        <v>675</v>
      </c>
      <c r="H222" s="86" t="s">
        <v>1349</v>
      </c>
      <c r="I222" s="87" t="s">
        <v>1342</v>
      </c>
      <c r="J222" s="84" t="s">
        <v>554</v>
      </c>
      <c r="K222" s="84" t="s">
        <v>555</v>
      </c>
    </row>
    <row r="223" spans="1:11" ht="15.75" x14ac:dyDescent="0.3">
      <c r="A223" s="86" t="s">
        <v>1350</v>
      </c>
      <c r="B223" s="86" t="s">
        <v>1351</v>
      </c>
      <c r="C223" s="86" t="s">
        <v>293</v>
      </c>
      <c r="D223" s="86" t="s">
        <v>1352</v>
      </c>
      <c r="E223" s="86" t="s">
        <v>43</v>
      </c>
      <c r="F223" s="86" t="s">
        <v>45</v>
      </c>
      <c r="G223" s="86" t="s">
        <v>683</v>
      </c>
      <c r="H223" s="86" t="s">
        <v>1353</v>
      </c>
      <c r="I223" s="87" t="s">
        <v>731</v>
      </c>
      <c r="J223" s="84" t="s">
        <v>554</v>
      </c>
      <c r="K223" s="84" t="s">
        <v>1354</v>
      </c>
    </row>
    <row r="224" spans="1:11" ht="15.75" x14ac:dyDescent="0.3">
      <c r="A224" s="86" t="s">
        <v>1355</v>
      </c>
      <c r="B224" s="86" t="s">
        <v>1351</v>
      </c>
      <c r="C224" s="86" t="s">
        <v>293</v>
      </c>
      <c r="D224" s="86" t="s">
        <v>1352</v>
      </c>
      <c r="E224" s="86" t="s">
        <v>43</v>
      </c>
      <c r="F224" s="86" t="s">
        <v>45</v>
      </c>
      <c r="G224" s="86" t="s">
        <v>683</v>
      </c>
      <c r="H224" s="86" t="s">
        <v>1356</v>
      </c>
      <c r="I224" s="87" t="s">
        <v>1357</v>
      </c>
      <c r="J224" s="84" t="s">
        <v>554</v>
      </c>
      <c r="K224" s="84" t="s">
        <v>1354</v>
      </c>
    </row>
    <row r="225" spans="1:11" ht="15.75" x14ac:dyDescent="0.3">
      <c r="A225" s="86" t="s">
        <v>1358</v>
      </c>
      <c r="B225" s="86" t="s">
        <v>1351</v>
      </c>
      <c r="C225" s="86" t="s">
        <v>293</v>
      </c>
      <c r="D225" s="86" t="s">
        <v>1359</v>
      </c>
      <c r="E225" s="86" t="s">
        <v>1360</v>
      </c>
      <c r="F225" s="86" t="s">
        <v>1361</v>
      </c>
      <c r="G225" s="86" t="s">
        <v>645</v>
      </c>
      <c r="H225" s="86" t="s">
        <v>1362</v>
      </c>
      <c r="I225" s="87" t="s">
        <v>1357</v>
      </c>
      <c r="J225" s="84" t="s">
        <v>554</v>
      </c>
      <c r="K225" s="84" t="s">
        <v>1354</v>
      </c>
    </row>
    <row r="226" spans="1:11" ht="15.75" x14ac:dyDescent="0.3">
      <c r="A226" s="86" t="s">
        <v>1363</v>
      </c>
      <c r="B226" s="86" t="s">
        <v>1351</v>
      </c>
      <c r="C226" s="86" t="s">
        <v>293</v>
      </c>
      <c r="D226" s="86" t="s">
        <v>1021</v>
      </c>
      <c r="E226" s="86" t="s">
        <v>263</v>
      </c>
      <c r="F226" s="86" t="s">
        <v>265</v>
      </c>
      <c r="G226" s="86" t="s">
        <v>584</v>
      </c>
      <c r="H226" s="86" t="s">
        <v>1022</v>
      </c>
      <c r="I226" s="87" t="s">
        <v>1357</v>
      </c>
      <c r="J226" s="84" t="s">
        <v>554</v>
      </c>
      <c r="K226" s="84" t="s">
        <v>1354</v>
      </c>
    </row>
    <row r="227" spans="1:11" ht="15.75" x14ac:dyDescent="0.3">
      <c r="A227" s="86" t="s">
        <v>1364</v>
      </c>
      <c r="B227" s="86" t="s">
        <v>1365</v>
      </c>
      <c r="C227" s="86" t="s">
        <v>292</v>
      </c>
      <c r="D227" s="86" t="s">
        <v>1366</v>
      </c>
      <c r="E227" s="86" t="s">
        <v>231</v>
      </c>
      <c r="F227" s="86" t="s">
        <v>233</v>
      </c>
      <c r="G227" s="86" t="s">
        <v>1367</v>
      </c>
      <c r="H227" s="86" t="s">
        <v>1368</v>
      </c>
      <c r="I227" s="87" t="s">
        <v>1369</v>
      </c>
      <c r="J227" s="84" t="s">
        <v>554</v>
      </c>
      <c r="K227" s="84" t="s">
        <v>1354</v>
      </c>
    </row>
    <row r="228" spans="1:11" ht="15.75" x14ac:dyDescent="0.3">
      <c r="A228" s="86" t="s">
        <v>1370</v>
      </c>
      <c r="B228" s="86" t="s">
        <v>1365</v>
      </c>
      <c r="C228" s="86" t="s">
        <v>292</v>
      </c>
      <c r="D228" s="86" t="s">
        <v>760</v>
      </c>
      <c r="E228" s="86" t="s">
        <v>761</v>
      </c>
      <c r="F228" s="86" t="s">
        <v>762</v>
      </c>
      <c r="G228" s="86" t="s">
        <v>640</v>
      </c>
      <c r="H228" s="86" t="s">
        <v>1371</v>
      </c>
      <c r="I228" s="87" t="s">
        <v>1369</v>
      </c>
      <c r="J228" s="84" t="s">
        <v>554</v>
      </c>
      <c r="K228" s="84" t="s">
        <v>1354</v>
      </c>
    </row>
    <row r="229" spans="1:11" ht="15.75" x14ac:dyDescent="0.3">
      <c r="A229" s="86" t="s">
        <v>1372</v>
      </c>
      <c r="B229" s="86" t="s">
        <v>1365</v>
      </c>
      <c r="C229" s="86" t="s">
        <v>292</v>
      </c>
      <c r="D229" s="86" t="s">
        <v>1146</v>
      </c>
      <c r="E229" s="86" t="s">
        <v>239</v>
      </c>
      <c r="F229" s="86" t="s">
        <v>241</v>
      </c>
      <c r="G229" s="86" t="s">
        <v>824</v>
      </c>
      <c r="H229" s="86" t="s">
        <v>1373</v>
      </c>
      <c r="I229" s="87" t="s">
        <v>1369</v>
      </c>
      <c r="J229" s="84" t="s">
        <v>554</v>
      </c>
      <c r="K229" s="84" t="s">
        <v>1354</v>
      </c>
    </row>
    <row r="230" spans="1:11" ht="15.75" x14ac:dyDescent="0.3">
      <c r="A230" s="86" t="s">
        <v>1374</v>
      </c>
      <c r="B230" s="86" t="s">
        <v>1365</v>
      </c>
      <c r="C230" s="86" t="s">
        <v>293</v>
      </c>
      <c r="D230" s="86" t="s">
        <v>955</v>
      </c>
      <c r="E230" s="86" t="s">
        <v>38</v>
      </c>
      <c r="F230" s="86" t="s">
        <v>40</v>
      </c>
      <c r="G230" s="86" t="s">
        <v>622</v>
      </c>
      <c r="H230" s="86" t="s">
        <v>956</v>
      </c>
      <c r="I230" s="87" t="s">
        <v>1369</v>
      </c>
      <c r="J230" s="84" t="s">
        <v>554</v>
      </c>
      <c r="K230" s="84" t="s">
        <v>1354</v>
      </c>
    </row>
    <row r="231" spans="1:11" ht="15.75" x14ac:dyDescent="0.3">
      <c r="A231" s="86" t="s">
        <v>1375</v>
      </c>
      <c r="B231" s="86" t="s">
        <v>1365</v>
      </c>
      <c r="C231" s="86" t="s">
        <v>293</v>
      </c>
      <c r="D231" s="86" t="s">
        <v>1153</v>
      </c>
      <c r="E231" s="86" t="s">
        <v>207</v>
      </c>
      <c r="F231" s="86" t="s">
        <v>209</v>
      </c>
      <c r="G231" s="86" t="s">
        <v>683</v>
      </c>
      <c r="H231" s="86" t="s">
        <v>1154</v>
      </c>
      <c r="I231" s="87" t="s">
        <v>1369</v>
      </c>
      <c r="J231" s="84" t="s">
        <v>554</v>
      </c>
      <c r="K231" s="84" t="s">
        <v>1354</v>
      </c>
    </row>
    <row r="232" spans="1:11" ht="15.75" x14ac:dyDescent="0.3">
      <c r="A232" s="86" t="s">
        <v>1376</v>
      </c>
      <c r="B232" s="86" t="s">
        <v>1365</v>
      </c>
      <c r="C232" s="86" t="s">
        <v>293</v>
      </c>
      <c r="D232" s="86" t="s">
        <v>1156</v>
      </c>
      <c r="E232" s="86" t="s">
        <v>117</v>
      </c>
      <c r="F232" s="86" t="s">
        <v>119</v>
      </c>
      <c r="G232" s="86" t="s">
        <v>683</v>
      </c>
      <c r="H232" s="86" t="s">
        <v>1157</v>
      </c>
      <c r="I232" s="87" t="s">
        <v>1369</v>
      </c>
      <c r="J232" s="84" t="s">
        <v>554</v>
      </c>
      <c r="K232" s="84" t="s">
        <v>1354</v>
      </c>
    </row>
    <row r="233" spans="1:11" ht="15.75" x14ac:dyDescent="0.3">
      <c r="A233" s="86" t="s">
        <v>1377</v>
      </c>
      <c r="B233" s="86" t="s">
        <v>1365</v>
      </c>
      <c r="C233" s="86" t="s">
        <v>293</v>
      </c>
      <c r="D233" s="86" t="s">
        <v>1017</v>
      </c>
      <c r="E233" s="86" t="s">
        <v>259</v>
      </c>
      <c r="F233" s="86" t="s">
        <v>261</v>
      </c>
      <c r="G233" s="86" t="s">
        <v>579</v>
      </c>
      <c r="H233" s="86" t="s">
        <v>1167</v>
      </c>
      <c r="I233" s="87" t="s">
        <v>1369</v>
      </c>
      <c r="J233" s="84" t="s">
        <v>554</v>
      </c>
      <c r="K233" s="84" t="s">
        <v>1354</v>
      </c>
    </row>
    <row r="234" spans="1:11" ht="15.75" x14ac:dyDescent="0.3">
      <c r="A234" s="86" t="s">
        <v>1378</v>
      </c>
      <c r="B234" s="86" t="s">
        <v>1365</v>
      </c>
      <c r="C234" s="86" t="s">
        <v>293</v>
      </c>
      <c r="D234" s="86" t="s">
        <v>1174</v>
      </c>
      <c r="E234" s="86" t="s">
        <v>284</v>
      </c>
      <c r="F234" s="86" t="s">
        <v>192</v>
      </c>
      <c r="G234" s="86" t="s">
        <v>652</v>
      </c>
      <c r="H234" s="86" t="s">
        <v>1379</v>
      </c>
      <c r="I234" s="87" t="s">
        <v>1369</v>
      </c>
      <c r="J234" s="84" t="s">
        <v>554</v>
      </c>
      <c r="K234" s="84" t="s">
        <v>1354</v>
      </c>
    </row>
    <row r="235" spans="1:11" ht="15.75" x14ac:dyDescent="0.3">
      <c r="A235" s="86" t="s">
        <v>1380</v>
      </c>
      <c r="B235" s="86" t="s">
        <v>1365</v>
      </c>
      <c r="C235" s="86" t="s">
        <v>292</v>
      </c>
      <c r="D235" s="86" t="s">
        <v>583</v>
      </c>
      <c r="E235" s="86" t="s">
        <v>53</v>
      </c>
      <c r="F235" s="86" t="s">
        <v>55</v>
      </c>
      <c r="G235" s="86" t="s">
        <v>661</v>
      </c>
      <c r="H235" s="86" t="s">
        <v>670</v>
      </c>
      <c r="I235" s="87" t="s">
        <v>1369</v>
      </c>
      <c r="J235" s="84" t="s">
        <v>554</v>
      </c>
      <c r="K235" s="84" t="s">
        <v>1354</v>
      </c>
    </row>
    <row r="236" spans="1:11" ht="15.75" x14ac:dyDescent="0.3">
      <c r="A236" s="86" t="s">
        <v>1381</v>
      </c>
      <c r="B236" s="86" t="s">
        <v>1365</v>
      </c>
      <c r="C236" s="86" t="s">
        <v>293</v>
      </c>
      <c r="D236" s="86" t="s">
        <v>838</v>
      </c>
      <c r="E236" s="86" t="s">
        <v>1382</v>
      </c>
      <c r="F236" s="86" t="s">
        <v>840</v>
      </c>
      <c r="G236" s="86" t="s">
        <v>851</v>
      </c>
      <c r="H236" s="86" t="s">
        <v>1383</v>
      </c>
      <c r="I236" s="87" t="s">
        <v>1369</v>
      </c>
      <c r="J236" s="84" t="s">
        <v>554</v>
      </c>
      <c r="K236" s="84" t="s">
        <v>1354</v>
      </c>
    </row>
    <row r="237" spans="1:11" ht="15.75" x14ac:dyDescent="0.3">
      <c r="A237" s="86" t="s">
        <v>1384</v>
      </c>
      <c r="B237" s="86" t="s">
        <v>1365</v>
      </c>
      <c r="C237" s="86" t="s">
        <v>293</v>
      </c>
      <c r="D237" s="86" t="s">
        <v>1385</v>
      </c>
      <c r="E237" s="86" t="s">
        <v>89</v>
      </c>
      <c r="F237" s="86" t="s">
        <v>91</v>
      </c>
      <c r="G237" s="86" t="s">
        <v>667</v>
      </c>
      <c r="H237" s="86" t="s">
        <v>1386</v>
      </c>
      <c r="I237" s="87" t="s">
        <v>1369</v>
      </c>
      <c r="J237" s="84" t="s">
        <v>554</v>
      </c>
      <c r="K237" s="84" t="s">
        <v>1354</v>
      </c>
    </row>
    <row r="238" spans="1:11" ht="15.75" x14ac:dyDescent="0.3">
      <c r="A238" s="86" t="s">
        <v>1387</v>
      </c>
      <c r="B238" s="86" t="s">
        <v>1365</v>
      </c>
      <c r="C238" s="86" t="s">
        <v>293</v>
      </c>
      <c r="D238" s="86" t="s">
        <v>1388</v>
      </c>
      <c r="E238" s="86" t="s">
        <v>101</v>
      </c>
      <c r="F238" s="86" t="s">
        <v>103</v>
      </c>
      <c r="G238" s="86" t="s">
        <v>807</v>
      </c>
      <c r="H238" s="86" t="s">
        <v>1389</v>
      </c>
      <c r="I238" s="87" t="s">
        <v>1369</v>
      </c>
      <c r="J238" s="84" t="s">
        <v>554</v>
      </c>
      <c r="K238" s="84" t="s">
        <v>1354</v>
      </c>
    </row>
    <row r="239" spans="1:11" ht="15.75" x14ac:dyDescent="0.3">
      <c r="A239" s="86" t="s">
        <v>1390</v>
      </c>
      <c r="B239" s="86" t="s">
        <v>1365</v>
      </c>
      <c r="C239" s="86" t="s">
        <v>292</v>
      </c>
      <c r="D239" s="86" t="s">
        <v>883</v>
      </c>
      <c r="E239" s="86" t="s">
        <v>75</v>
      </c>
      <c r="F239" s="86" t="s">
        <v>77</v>
      </c>
      <c r="G239" s="86" t="s">
        <v>807</v>
      </c>
      <c r="H239" s="86" t="s">
        <v>959</v>
      </c>
      <c r="I239" s="87" t="s">
        <v>1369</v>
      </c>
      <c r="J239" s="84" t="s">
        <v>554</v>
      </c>
      <c r="K239" s="84" t="s">
        <v>1354</v>
      </c>
    </row>
    <row r="240" spans="1:11" ht="15.75" x14ac:dyDescent="0.3">
      <c r="A240" s="86" t="s">
        <v>1391</v>
      </c>
      <c r="B240" s="86" t="s">
        <v>1365</v>
      </c>
      <c r="C240" s="86" t="s">
        <v>294</v>
      </c>
      <c r="D240" s="86" t="s">
        <v>1214</v>
      </c>
      <c r="E240" s="86" t="s">
        <v>1215</v>
      </c>
      <c r="F240" s="86" t="s">
        <v>1216</v>
      </c>
      <c r="G240" s="86" t="s">
        <v>551</v>
      </c>
      <c r="H240" s="86" t="s">
        <v>1392</v>
      </c>
      <c r="I240" s="87" t="s">
        <v>1369</v>
      </c>
      <c r="J240" s="84" t="s">
        <v>554</v>
      </c>
      <c r="K240" s="84" t="s">
        <v>1354</v>
      </c>
    </row>
    <row r="241" spans="1:11" ht="15.75" x14ac:dyDescent="0.3">
      <c r="A241" s="86" t="s">
        <v>1393</v>
      </c>
      <c r="B241" s="86" t="s">
        <v>1394</v>
      </c>
      <c r="C241" s="86" t="s">
        <v>292</v>
      </c>
      <c r="D241" s="86" t="s">
        <v>587</v>
      </c>
      <c r="E241" s="86" t="s">
        <v>135</v>
      </c>
      <c r="F241" s="86" t="s">
        <v>137</v>
      </c>
      <c r="G241" s="86" t="s">
        <v>588</v>
      </c>
      <c r="H241" s="86" t="s">
        <v>1395</v>
      </c>
      <c r="I241" s="87" t="s">
        <v>1396</v>
      </c>
      <c r="J241" s="84" t="s">
        <v>554</v>
      </c>
      <c r="K241" s="84" t="s">
        <v>1354</v>
      </c>
    </row>
    <row r="242" spans="1:11" ht="15.75" x14ac:dyDescent="0.3">
      <c r="A242" s="86" t="s">
        <v>1397</v>
      </c>
      <c r="B242" s="86" t="s">
        <v>1398</v>
      </c>
      <c r="C242" s="86" t="s">
        <v>292</v>
      </c>
      <c r="D242" s="86" t="s">
        <v>587</v>
      </c>
      <c r="E242" s="86" t="s">
        <v>135</v>
      </c>
      <c r="F242" s="86" t="s">
        <v>137</v>
      </c>
      <c r="G242" s="86" t="s">
        <v>851</v>
      </c>
      <c r="H242" s="86" t="s">
        <v>896</v>
      </c>
      <c r="I242" s="87" t="s">
        <v>1396</v>
      </c>
      <c r="J242" s="84" t="s">
        <v>554</v>
      </c>
      <c r="K242" s="84" t="s">
        <v>555</v>
      </c>
    </row>
    <row r="243" spans="1:11" ht="15.75" x14ac:dyDescent="0.3">
      <c r="A243" s="86" t="s">
        <v>1399</v>
      </c>
      <c r="B243" s="86" t="s">
        <v>1400</v>
      </c>
      <c r="C243" s="86" t="s">
        <v>293</v>
      </c>
      <c r="D243" s="86" t="s">
        <v>1401</v>
      </c>
      <c r="E243" s="86" t="s">
        <v>1402</v>
      </c>
      <c r="F243" s="86" t="s">
        <v>64</v>
      </c>
      <c r="G243" s="86" t="s">
        <v>584</v>
      </c>
      <c r="H243" s="86" t="s">
        <v>1403</v>
      </c>
      <c r="I243" s="87" t="s">
        <v>1404</v>
      </c>
      <c r="J243" s="84" t="s">
        <v>554</v>
      </c>
      <c r="K243" s="84" t="s">
        <v>555</v>
      </c>
    </row>
    <row r="244" spans="1:11" ht="15.75" x14ac:dyDescent="0.3">
      <c r="A244" s="86" t="s">
        <v>1405</v>
      </c>
      <c r="B244" s="86" t="s">
        <v>1406</v>
      </c>
      <c r="C244" s="86" t="s">
        <v>293</v>
      </c>
      <c r="D244" s="86" t="s">
        <v>1401</v>
      </c>
      <c r="E244" s="86" t="s">
        <v>1402</v>
      </c>
      <c r="F244" s="86" t="s">
        <v>64</v>
      </c>
      <c r="G244" s="86" t="s">
        <v>584</v>
      </c>
      <c r="H244" s="86" t="s">
        <v>1403</v>
      </c>
      <c r="I244" s="87" t="s">
        <v>1407</v>
      </c>
      <c r="J244" s="84" t="s">
        <v>554</v>
      </c>
      <c r="K244" s="84" t="s">
        <v>555</v>
      </c>
    </row>
    <row r="245" spans="1:11" ht="15.75" x14ac:dyDescent="0.3">
      <c r="A245" s="86" t="s">
        <v>1408</v>
      </c>
      <c r="B245" s="86" t="s">
        <v>1409</v>
      </c>
      <c r="C245" s="86" t="s">
        <v>292</v>
      </c>
      <c r="D245" s="86" t="s">
        <v>1025</v>
      </c>
      <c r="E245" s="86" t="s">
        <v>1202</v>
      </c>
      <c r="F245" s="86" t="s">
        <v>1027</v>
      </c>
      <c r="G245" s="86" t="s">
        <v>750</v>
      </c>
      <c r="H245" s="86" t="s">
        <v>1410</v>
      </c>
      <c r="I245" s="87" t="s">
        <v>731</v>
      </c>
      <c r="J245" s="84" t="s">
        <v>554</v>
      </c>
      <c r="K245" s="84" t="s">
        <v>555</v>
      </c>
    </row>
    <row r="246" spans="1:11" ht="15.75" x14ac:dyDescent="0.3">
      <c r="A246" s="86" t="s">
        <v>1411</v>
      </c>
      <c r="B246" s="86" t="s">
        <v>1412</v>
      </c>
      <c r="C246" s="86" t="s">
        <v>293</v>
      </c>
      <c r="D246" s="86" t="s">
        <v>1413</v>
      </c>
      <c r="E246" s="86" t="s">
        <v>1414</v>
      </c>
      <c r="F246" s="86" t="s">
        <v>1415</v>
      </c>
      <c r="G246" s="86" t="s">
        <v>965</v>
      </c>
      <c r="H246" s="86" t="s">
        <v>1416</v>
      </c>
      <c r="I246" s="87" t="s">
        <v>1417</v>
      </c>
      <c r="J246" s="84" t="s">
        <v>554</v>
      </c>
      <c r="K246" s="84" t="s">
        <v>555</v>
      </c>
    </row>
    <row r="247" spans="1:11" ht="15.75" x14ac:dyDescent="0.3">
      <c r="A247" s="86" t="s">
        <v>1418</v>
      </c>
      <c r="B247" s="86" t="s">
        <v>1419</v>
      </c>
      <c r="C247" s="86" t="s">
        <v>292</v>
      </c>
      <c r="D247" s="86" t="s">
        <v>940</v>
      </c>
      <c r="E247" s="86" t="s">
        <v>161</v>
      </c>
      <c r="F247" s="86" t="s">
        <v>163</v>
      </c>
      <c r="G247" s="86" t="s">
        <v>675</v>
      </c>
      <c r="H247" s="86" t="s">
        <v>941</v>
      </c>
      <c r="I247" s="87" t="s">
        <v>1420</v>
      </c>
      <c r="J247" s="84" t="s">
        <v>554</v>
      </c>
      <c r="K247" s="84" t="s">
        <v>555</v>
      </c>
    </row>
    <row r="248" spans="1:11" ht="15.75" x14ac:dyDescent="0.3">
      <c r="A248" s="86" t="s">
        <v>1421</v>
      </c>
      <c r="B248" s="86" t="s">
        <v>1422</v>
      </c>
      <c r="C248" s="86" t="s">
        <v>294</v>
      </c>
      <c r="D248" s="86" t="s">
        <v>591</v>
      </c>
      <c r="E248" s="86" t="s">
        <v>592</v>
      </c>
      <c r="F248" s="86" t="s">
        <v>593</v>
      </c>
      <c r="G248" s="86" t="s">
        <v>594</v>
      </c>
      <c r="H248" s="86" t="s">
        <v>1131</v>
      </c>
      <c r="I248" s="87" t="s">
        <v>1423</v>
      </c>
      <c r="J248" s="84" t="s">
        <v>554</v>
      </c>
      <c r="K248" s="84" t="s">
        <v>555</v>
      </c>
    </row>
    <row r="249" spans="1:11" ht="15.75" x14ac:dyDescent="0.3">
      <c r="A249" s="86" t="s">
        <v>1424</v>
      </c>
      <c r="B249" s="86" t="s">
        <v>1425</v>
      </c>
      <c r="C249" s="86" t="s">
        <v>293</v>
      </c>
      <c r="D249" s="86" t="s">
        <v>821</v>
      </c>
      <c r="E249" s="86" t="s">
        <v>822</v>
      </c>
      <c r="F249" s="86" t="s">
        <v>823</v>
      </c>
      <c r="G249" s="86" t="s">
        <v>824</v>
      </c>
      <c r="H249" s="86" t="s">
        <v>825</v>
      </c>
      <c r="I249" s="87" t="s">
        <v>1426</v>
      </c>
      <c r="J249" s="84" t="s">
        <v>554</v>
      </c>
      <c r="K249" s="84" t="s">
        <v>555</v>
      </c>
    </row>
    <row r="250" spans="1:11" ht="15.75" x14ac:dyDescent="0.3">
      <c r="A250" s="86" t="s">
        <v>1427</v>
      </c>
      <c r="B250" s="86" t="s">
        <v>1428</v>
      </c>
      <c r="C250" s="86" t="s">
        <v>293</v>
      </c>
      <c r="D250" s="86" t="s">
        <v>1344</v>
      </c>
      <c r="E250" s="86" t="s">
        <v>1345</v>
      </c>
      <c r="F250" s="86" t="s">
        <v>1346</v>
      </c>
      <c r="G250" s="86" t="s">
        <v>740</v>
      </c>
      <c r="H250" s="86" t="s">
        <v>1429</v>
      </c>
      <c r="I250" s="87" t="s">
        <v>1430</v>
      </c>
      <c r="J250" s="84" t="s">
        <v>554</v>
      </c>
      <c r="K250" s="84" t="s">
        <v>555</v>
      </c>
    </row>
    <row r="251" spans="1:11" ht="15.75" x14ac:dyDescent="0.3">
      <c r="A251" s="86" t="s">
        <v>1431</v>
      </c>
      <c r="B251" s="86" t="s">
        <v>1432</v>
      </c>
      <c r="C251" s="86" t="s">
        <v>292</v>
      </c>
      <c r="D251" s="86" t="s">
        <v>1433</v>
      </c>
      <c r="E251" s="86" t="s">
        <v>1434</v>
      </c>
      <c r="F251" s="86" t="s">
        <v>1435</v>
      </c>
      <c r="G251" s="86" t="s">
        <v>640</v>
      </c>
      <c r="H251" s="86" t="s">
        <v>1436</v>
      </c>
      <c r="I251" s="87" t="s">
        <v>1437</v>
      </c>
      <c r="J251" s="84" t="s">
        <v>554</v>
      </c>
      <c r="K251" s="84" t="s">
        <v>555</v>
      </c>
    </row>
    <row r="252" spans="1:11" ht="15.75" x14ac:dyDescent="0.3">
      <c r="A252" s="86" t="s">
        <v>1438</v>
      </c>
      <c r="B252" s="86" t="s">
        <v>1432</v>
      </c>
      <c r="C252" s="86" t="s">
        <v>294</v>
      </c>
      <c r="D252" s="86" t="s">
        <v>705</v>
      </c>
      <c r="E252" s="86" t="s">
        <v>706</v>
      </c>
      <c r="F252" s="86" t="s">
        <v>707</v>
      </c>
      <c r="G252" s="86" t="s">
        <v>708</v>
      </c>
      <c r="H252" s="86" t="s">
        <v>709</v>
      </c>
      <c r="I252" s="87" t="s">
        <v>1439</v>
      </c>
      <c r="J252" s="84" t="s">
        <v>554</v>
      </c>
      <c r="K252" s="84" t="s">
        <v>555</v>
      </c>
    </row>
    <row r="253" spans="1:11" ht="15.75" x14ac:dyDescent="0.3">
      <c r="A253" s="86" t="s">
        <v>1440</v>
      </c>
      <c r="B253" s="86" t="s">
        <v>1432</v>
      </c>
      <c r="C253" s="86" t="s">
        <v>294</v>
      </c>
      <c r="D253" s="86" t="s">
        <v>711</v>
      </c>
      <c r="E253" s="86" t="s">
        <v>278</v>
      </c>
      <c r="F253" s="86" t="s">
        <v>280</v>
      </c>
      <c r="G253" s="86" t="s">
        <v>708</v>
      </c>
      <c r="H253" s="86" t="s">
        <v>712</v>
      </c>
      <c r="I253" s="87" t="s">
        <v>1439</v>
      </c>
      <c r="J253" s="84" t="s">
        <v>554</v>
      </c>
      <c r="K253" s="84" t="s">
        <v>555</v>
      </c>
    </row>
    <row r="254" spans="1:11" ht="15.75" x14ac:dyDescent="0.3">
      <c r="A254" s="86" t="s">
        <v>1441</v>
      </c>
      <c r="B254" s="86" t="s">
        <v>1432</v>
      </c>
      <c r="C254" s="86" t="s">
        <v>294</v>
      </c>
      <c r="D254" s="86" t="s">
        <v>782</v>
      </c>
      <c r="E254" s="86" t="s">
        <v>783</v>
      </c>
      <c r="F254" s="86" t="s">
        <v>784</v>
      </c>
      <c r="G254" s="86" t="s">
        <v>622</v>
      </c>
      <c r="H254" s="86" t="s">
        <v>785</v>
      </c>
      <c r="I254" s="87" t="s">
        <v>1439</v>
      </c>
      <c r="J254" s="84" t="s">
        <v>554</v>
      </c>
      <c r="K254" s="84" t="s">
        <v>555</v>
      </c>
    </row>
    <row r="255" spans="1:11" ht="15.75" x14ac:dyDescent="0.3">
      <c r="A255" s="86" t="s">
        <v>1442</v>
      </c>
      <c r="B255" s="86" t="s">
        <v>1432</v>
      </c>
      <c r="C255" s="86" t="s">
        <v>294</v>
      </c>
      <c r="D255" s="86" t="s">
        <v>713</v>
      </c>
      <c r="E255" s="86" t="s">
        <v>714</v>
      </c>
      <c r="F255" s="86" t="s">
        <v>715</v>
      </c>
      <c r="G255" s="86" t="s">
        <v>622</v>
      </c>
      <c r="H255" s="86" t="s">
        <v>716</v>
      </c>
      <c r="I255" s="87" t="s">
        <v>1439</v>
      </c>
      <c r="J255" s="84" t="s">
        <v>554</v>
      </c>
      <c r="K255" s="84" t="s">
        <v>555</v>
      </c>
    </row>
    <row r="256" spans="1:11" ht="15.75" x14ac:dyDescent="0.3">
      <c r="A256" s="86" t="s">
        <v>1443</v>
      </c>
      <c r="B256" s="86" t="s">
        <v>1432</v>
      </c>
      <c r="C256" s="86" t="s">
        <v>294</v>
      </c>
      <c r="D256" s="86" t="s">
        <v>717</v>
      </c>
      <c r="E256" s="86" t="s">
        <v>718</v>
      </c>
      <c r="F256" s="86" t="s">
        <v>719</v>
      </c>
      <c r="G256" s="86" t="s">
        <v>579</v>
      </c>
      <c r="H256" s="86" t="s">
        <v>720</v>
      </c>
      <c r="I256" s="87" t="s">
        <v>1439</v>
      </c>
      <c r="J256" s="84" t="s">
        <v>554</v>
      </c>
      <c r="K256" s="84" t="s">
        <v>555</v>
      </c>
    </row>
    <row r="257" spans="1:11" ht="15.75" x14ac:dyDescent="0.3">
      <c r="A257" s="86" t="s">
        <v>1444</v>
      </c>
      <c r="B257" s="86" t="s">
        <v>1432</v>
      </c>
      <c r="C257" s="86" t="s">
        <v>293</v>
      </c>
      <c r="D257" s="86" t="s">
        <v>722</v>
      </c>
      <c r="E257" s="86" t="s">
        <v>723</v>
      </c>
      <c r="F257" s="86" t="s">
        <v>724</v>
      </c>
      <c r="G257" s="86" t="s">
        <v>652</v>
      </c>
      <c r="H257" s="86" t="s">
        <v>725</v>
      </c>
      <c r="I257" s="87" t="s">
        <v>1445</v>
      </c>
      <c r="J257" s="84" t="s">
        <v>554</v>
      </c>
      <c r="K257" s="84" t="s">
        <v>555</v>
      </c>
    </row>
    <row r="258" spans="1:11" ht="15.75" x14ac:dyDescent="0.3">
      <c r="A258" s="86" t="s">
        <v>1446</v>
      </c>
      <c r="B258" s="86" t="s">
        <v>1432</v>
      </c>
      <c r="C258" s="86" t="s">
        <v>293</v>
      </c>
      <c r="D258" s="86" t="s">
        <v>576</v>
      </c>
      <c r="E258" s="86" t="s">
        <v>577</v>
      </c>
      <c r="F258" s="86" t="s">
        <v>578</v>
      </c>
      <c r="G258" s="86" t="s">
        <v>652</v>
      </c>
      <c r="H258" s="86" t="s">
        <v>726</v>
      </c>
      <c r="I258" s="87" t="s">
        <v>1447</v>
      </c>
      <c r="J258" s="84" t="s">
        <v>554</v>
      </c>
      <c r="K258" s="84" t="s">
        <v>555</v>
      </c>
    </row>
    <row r="259" spans="1:11" ht="15.75" x14ac:dyDescent="0.3">
      <c r="A259" s="86" t="s">
        <v>1448</v>
      </c>
      <c r="B259" s="86" t="s">
        <v>1432</v>
      </c>
      <c r="C259" s="86" t="s">
        <v>292</v>
      </c>
      <c r="D259" s="86" t="s">
        <v>576</v>
      </c>
      <c r="E259" s="86" t="s">
        <v>728</v>
      </c>
      <c r="F259" s="86" t="s">
        <v>578</v>
      </c>
      <c r="G259" s="86" t="s">
        <v>729</v>
      </c>
      <c r="H259" s="86" t="s">
        <v>730</v>
      </c>
      <c r="I259" s="87" t="s">
        <v>731</v>
      </c>
      <c r="J259" s="84" t="s">
        <v>554</v>
      </c>
      <c r="K259" s="84" t="s">
        <v>555</v>
      </c>
    </row>
    <row r="260" spans="1:11" ht="15.75" x14ac:dyDescent="0.3">
      <c r="A260" s="86" t="s">
        <v>1449</v>
      </c>
      <c r="B260" s="86" t="s">
        <v>1432</v>
      </c>
      <c r="C260" s="86" t="s">
        <v>294</v>
      </c>
      <c r="D260" s="86" t="s">
        <v>737</v>
      </c>
      <c r="E260" s="86" t="s">
        <v>738</v>
      </c>
      <c r="F260" s="86" t="s">
        <v>739</v>
      </c>
      <c r="G260" s="86" t="s">
        <v>740</v>
      </c>
      <c r="H260" s="86" t="s">
        <v>788</v>
      </c>
      <c r="I260" s="87" t="s">
        <v>1439</v>
      </c>
      <c r="J260" s="84" t="s">
        <v>554</v>
      </c>
      <c r="K260" s="84" t="s">
        <v>555</v>
      </c>
    </row>
    <row r="261" spans="1:11" ht="15.75" x14ac:dyDescent="0.3">
      <c r="A261" s="86" t="s">
        <v>1450</v>
      </c>
      <c r="B261" s="86" t="s">
        <v>1432</v>
      </c>
      <c r="C261" s="86" t="s">
        <v>293</v>
      </c>
      <c r="D261" s="86" t="s">
        <v>1451</v>
      </c>
      <c r="E261" s="86" t="s">
        <v>1452</v>
      </c>
      <c r="F261" s="86" t="s">
        <v>1453</v>
      </c>
      <c r="G261" s="86" t="s">
        <v>691</v>
      </c>
      <c r="H261" s="86" t="s">
        <v>1454</v>
      </c>
      <c r="I261" s="87" t="s">
        <v>1455</v>
      </c>
      <c r="J261" s="84" t="s">
        <v>554</v>
      </c>
      <c r="K261" s="84" t="s">
        <v>555</v>
      </c>
    </row>
    <row r="262" spans="1:11" ht="15.75" x14ac:dyDescent="0.3">
      <c r="A262" s="86" t="s">
        <v>1456</v>
      </c>
      <c r="B262" s="86" t="s">
        <v>1432</v>
      </c>
      <c r="C262" s="86" t="s">
        <v>294</v>
      </c>
      <c r="D262" s="86" t="s">
        <v>1082</v>
      </c>
      <c r="E262" s="86" t="s">
        <v>1083</v>
      </c>
      <c r="F262" s="86" t="s">
        <v>1084</v>
      </c>
      <c r="G262" s="86" t="s">
        <v>588</v>
      </c>
      <c r="H262" s="86" t="s">
        <v>1085</v>
      </c>
      <c r="I262" s="87" t="s">
        <v>1439</v>
      </c>
      <c r="J262" s="84" t="s">
        <v>554</v>
      </c>
      <c r="K262" s="84" t="s">
        <v>555</v>
      </c>
    </row>
    <row r="263" spans="1:11" ht="15.75" x14ac:dyDescent="0.3">
      <c r="A263" s="86" t="s">
        <v>1457</v>
      </c>
      <c r="B263" s="86" t="s">
        <v>1432</v>
      </c>
      <c r="C263" s="86" t="s">
        <v>294</v>
      </c>
      <c r="D263" s="86" t="s">
        <v>1067</v>
      </c>
      <c r="E263" s="86" t="s">
        <v>1068</v>
      </c>
      <c r="F263" s="86" t="s">
        <v>1069</v>
      </c>
      <c r="G263" s="86" t="s">
        <v>588</v>
      </c>
      <c r="H263" s="86" t="s">
        <v>1070</v>
      </c>
      <c r="I263" s="87" t="s">
        <v>1439</v>
      </c>
      <c r="J263" s="84" t="s">
        <v>554</v>
      </c>
      <c r="K263" s="84" t="s">
        <v>555</v>
      </c>
    </row>
    <row r="264" spans="1:11" ht="15.75" x14ac:dyDescent="0.3">
      <c r="A264" s="86" t="s">
        <v>1458</v>
      </c>
      <c r="B264" s="86" t="s">
        <v>1432</v>
      </c>
      <c r="C264" s="86" t="s">
        <v>292</v>
      </c>
      <c r="D264" s="86" t="s">
        <v>1459</v>
      </c>
      <c r="E264" s="86" t="s">
        <v>1460</v>
      </c>
      <c r="F264" s="86" t="s">
        <v>1461</v>
      </c>
      <c r="G264" s="86" t="s">
        <v>588</v>
      </c>
      <c r="H264" s="86" t="s">
        <v>1462</v>
      </c>
      <c r="I264" s="87" t="s">
        <v>1445</v>
      </c>
      <c r="J264" s="84" t="s">
        <v>554</v>
      </c>
      <c r="K264" s="84" t="s">
        <v>555</v>
      </c>
    </row>
    <row r="265" spans="1:11" ht="15.75" x14ac:dyDescent="0.3">
      <c r="A265" s="86" t="s">
        <v>1463</v>
      </c>
      <c r="B265" s="86" t="s">
        <v>1432</v>
      </c>
      <c r="C265" s="86" t="s">
        <v>294</v>
      </c>
      <c r="D265" s="86" t="s">
        <v>591</v>
      </c>
      <c r="E265" s="86" t="s">
        <v>592</v>
      </c>
      <c r="F265" s="86" t="s">
        <v>593</v>
      </c>
      <c r="G265" s="86" t="s">
        <v>594</v>
      </c>
      <c r="H265" s="86" t="s">
        <v>1464</v>
      </c>
      <c r="I265" s="87" t="s">
        <v>1439</v>
      </c>
      <c r="J265" s="84" t="s">
        <v>554</v>
      </c>
      <c r="K265" s="84" t="s">
        <v>555</v>
      </c>
    </row>
    <row r="266" spans="1:11" ht="15.75" x14ac:dyDescent="0.3">
      <c r="A266" s="86" t="s">
        <v>1465</v>
      </c>
      <c r="B266" s="86" t="s">
        <v>1432</v>
      </c>
      <c r="C266" s="86" t="s">
        <v>294</v>
      </c>
      <c r="D266" s="86" t="s">
        <v>1466</v>
      </c>
      <c r="E266" s="86" t="s">
        <v>1467</v>
      </c>
      <c r="F266" s="86" t="s">
        <v>1468</v>
      </c>
      <c r="G266" s="86" t="s">
        <v>750</v>
      </c>
      <c r="H266" s="86" t="s">
        <v>1469</v>
      </c>
      <c r="I266" s="87" t="s">
        <v>1445</v>
      </c>
      <c r="J266" s="84" t="s">
        <v>554</v>
      </c>
      <c r="K266" s="84" t="s">
        <v>555</v>
      </c>
    </row>
    <row r="267" spans="1:11" ht="15.75" x14ac:dyDescent="0.3">
      <c r="A267" s="86" t="s">
        <v>1470</v>
      </c>
      <c r="B267" s="86" t="s">
        <v>1432</v>
      </c>
      <c r="C267" s="86" t="s">
        <v>294</v>
      </c>
      <c r="D267" s="86" t="s">
        <v>747</v>
      </c>
      <c r="E267" s="86" t="s">
        <v>748</v>
      </c>
      <c r="F267" s="86" t="s">
        <v>749</v>
      </c>
      <c r="G267" s="86" t="s">
        <v>750</v>
      </c>
      <c r="H267" s="86" t="s">
        <v>751</v>
      </c>
      <c r="I267" s="87" t="s">
        <v>1439</v>
      </c>
      <c r="J267" s="84" t="s">
        <v>554</v>
      </c>
      <c r="K267" s="84" t="s">
        <v>555</v>
      </c>
    </row>
    <row r="268" spans="1:11" ht="15.75" x14ac:dyDescent="0.3">
      <c r="A268" s="86" t="s">
        <v>1471</v>
      </c>
      <c r="B268" s="86" t="s">
        <v>1432</v>
      </c>
      <c r="C268" s="86" t="s">
        <v>294</v>
      </c>
      <c r="D268" s="86" t="s">
        <v>752</v>
      </c>
      <c r="E268" s="86" t="s">
        <v>753</v>
      </c>
      <c r="F268" s="86" t="s">
        <v>217</v>
      </c>
      <c r="G268" s="86" t="s">
        <v>754</v>
      </c>
      <c r="H268" s="86" t="s">
        <v>755</v>
      </c>
      <c r="I268" s="87" t="s">
        <v>1472</v>
      </c>
      <c r="J268" s="84" t="s">
        <v>554</v>
      </c>
      <c r="K268" s="84" t="s">
        <v>555</v>
      </c>
    </row>
    <row r="269" spans="1:11" ht="15.75" x14ac:dyDescent="0.3">
      <c r="A269" s="86" t="s">
        <v>1473</v>
      </c>
      <c r="B269" s="86" t="s">
        <v>1432</v>
      </c>
      <c r="C269" s="86" t="s">
        <v>293</v>
      </c>
      <c r="D269" s="86" t="s">
        <v>1192</v>
      </c>
      <c r="E269" s="86" t="s">
        <v>94</v>
      </c>
      <c r="F269" s="86" t="s">
        <v>96</v>
      </c>
      <c r="G269" s="86" t="s">
        <v>754</v>
      </c>
      <c r="H269" s="86" t="s">
        <v>1193</v>
      </c>
      <c r="I269" s="87" t="s">
        <v>1439</v>
      </c>
      <c r="J269" s="84" t="s">
        <v>554</v>
      </c>
      <c r="K269" s="84" t="s">
        <v>555</v>
      </c>
    </row>
    <row r="270" spans="1:11" ht="15.75" x14ac:dyDescent="0.3">
      <c r="A270" s="86" t="s">
        <v>1474</v>
      </c>
      <c r="B270" s="86" t="s">
        <v>1432</v>
      </c>
      <c r="C270" s="86" t="s">
        <v>294</v>
      </c>
      <c r="D270" s="86" t="s">
        <v>834</v>
      </c>
      <c r="E270" s="86" t="s">
        <v>185</v>
      </c>
      <c r="F270" s="86" t="s">
        <v>187</v>
      </c>
      <c r="G270" s="86" t="s">
        <v>675</v>
      </c>
      <c r="H270" s="86" t="s">
        <v>1091</v>
      </c>
      <c r="I270" s="87" t="s">
        <v>1439</v>
      </c>
      <c r="J270" s="84" t="s">
        <v>554</v>
      </c>
      <c r="K270" s="84" t="s">
        <v>555</v>
      </c>
    </row>
    <row r="271" spans="1:11" ht="15.75" x14ac:dyDescent="0.3">
      <c r="A271" s="86" t="s">
        <v>1475</v>
      </c>
      <c r="B271" s="86" t="s">
        <v>1432</v>
      </c>
      <c r="C271" s="86" t="s">
        <v>294</v>
      </c>
      <c r="D271" s="86" t="s">
        <v>834</v>
      </c>
      <c r="E271" s="86" t="s">
        <v>185</v>
      </c>
      <c r="F271" s="86" t="s">
        <v>187</v>
      </c>
      <c r="G271" s="86" t="s">
        <v>675</v>
      </c>
      <c r="H271" s="86" t="s">
        <v>1476</v>
      </c>
      <c r="I271" s="87" t="s">
        <v>1477</v>
      </c>
      <c r="J271" s="84" t="s">
        <v>554</v>
      </c>
      <c r="K271" s="84" t="s">
        <v>555</v>
      </c>
    </row>
    <row r="272" spans="1:11" ht="15.75" x14ac:dyDescent="0.3">
      <c r="A272" s="86" t="s">
        <v>1478</v>
      </c>
      <c r="B272" s="86" t="s">
        <v>1432</v>
      </c>
      <c r="C272" s="86" t="s">
        <v>294</v>
      </c>
      <c r="D272" s="86" t="s">
        <v>804</v>
      </c>
      <c r="E272" s="86" t="s">
        <v>805</v>
      </c>
      <c r="F272" s="86" t="s">
        <v>806</v>
      </c>
      <c r="G272" s="86" t="s">
        <v>807</v>
      </c>
      <c r="H272" s="86" t="s">
        <v>808</v>
      </c>
      <c r="I272" s="87" t="s">
        <v>1439</v>
      </c>
      <c r="J272" s="84" t="s">
        <v>554</v>
      </c>
      <c r="K272" s="84" t="s">
        <v>555</v>
      </c>
    </row>
    <row r="273" spans="1:11" ht="15.75" x14ac:dyDescent="0.3">
      <c r="A273" s="86" t="s">
        <v>1479</v>
      </c>
      <c r="B273" s="86" t="s">
        <v>1480</v>
      </c>
      <c r="C273" s="86" t="s">
        <v>292</v>
      </c>
      <c r="D273" s="86" t="s">
        <v>1481</v>
      </c>
      <c r="E273" s="86" t="s">
        <v>1482</v>
      </c>
      <c r="F273" s="86" t="s">
        <v>1483</v>
      </c>
      <c r="G273" s="86" t="s">
        <v>640</v>
      </c>
      <c r="H273" s="86" t="s">
        <v>1484</v>
      </c>
      <c r="I273" s="87" t="s">
        <v>1485</v>
      </c>
      <c r="J273" s="84" t="s">
        <v>554</v>
      </c>
      <c r="K273" s="84" t="s">
        <v>555</v>
      </c>
    </row>
    <row r="274" spans="1:11" ht="15.75" x14ac:dyDescent="0.3">
      <c r="A274" s="86" t="s">
        <v>1486</v>
      </c>
      <c r="B274" s="86" t="s">
        <v>1480</v>
      </c>
      <c r="C274" s="86" t="s">
        <v>292</v>
      </c>
      <c r="D274" s="86" t="s">
        <v>1433</v>
      </c>
      <c r="E274" s="86" t="s">
        <v>1434</v>
      </c>
      <c r="F274" s="86" t="s">
        <v>1435</v>
      </c>
      <c r="G274" s="86" t="s">
        <v>640</v>
      </c>
      <c r="H274" s="86" t="s">
        <v>1487</v>
      </c>
      <c r="I274" s="87" t="s">
        <v>1086</v>
      </c>
      <c r="J274" s="84" t="s">
        <v>554</v>
      </c>
      <c r="K274" s="84" t="s">
        <v>555</v>
      </c>
    </row>
    <row r="275" spans="1:11" ht="15.75" x14ac:dyDescent="0.3">
      <c r="A275" s="86" t="s">
        <v>1488</v>
      </c>
      <c r="B275" s="86" t="s">
        <v>1480</v>
      </c>
      <c r="C275" s="86" t="s">
        <v>294</v>
      </c>
      <c r="D275" s="86" t="s">
        <v>782</v>
      </c>
      <c r="E275" s="86" t="s">
        <v>783</v>
      </c>
      <c r="F275" s="86" t="s">
        <v>784</v>
      </c>
      <c r="G275" s="86" t="s">
        <v>622</v>
      </c>
      <c r="H275" s="86" t="s">
        <v>785</v>
      </c>
      <c r="I275" s="87" t="s">
        <v>1086</v>
      </c>
      <c r="J275" s="84" t="s">
        <v>554</v>
      </c>
      <c r="K275" s="84" t="s">
        <v>555</v>
      </c>
    </row>
    <row r="276" spans="1:11" ht="15.75" x14ac:dyDescent="0.3">
      <c r="A276" s="86" t="s">
        <v>1489</v>
      </c>
      <c r="B276" s="86" t="s">
        <v>1480</v>
      </c>
      <c r="C276" s="86" t="s">
        <v>294</v>
      </c>
      <c r="D276" s="86" t="s">
        <v>732</v>
      </c>
      <c r="E276" s="86" t="s">
        <v>733</v>
      </c>
      <c r="F276" s="86" t="s">
        <v>734</v>
      </c>
      <c r="G276" s="86" t="s">
        <v>584</v>
      </c>
      <c r="H276" s="86" t="s">
        <v>735</v>
      </c>
      <c r="I276" s="87" t="s">
        <v>1086</v>
      </c>
      <c r="J276" s="84" t="s">
        <v>554</v>
      </c>
      <c r="K276" s="84" t="s">
        <v>555</v>
      </c>
    </row>
    <row r="277" spans="1:11" ht="15.75" x14ac:dyDescent="0.3">
      <c r="A277" s="86" t="s">
        <v>1490</v>
      </c>
      <c r="B277" s="86" t="s">
        <v>1480</v>
      </c>
      <c r="C277" s="86" t="s">
        <v>292</v>
      </c>
      <c r="D277" s="86" t="s">
        <v>583</v>
      </c>
      <c r="E277" s="86" t="s">
        <v>53</v>
      </c>
      <c r="F277" s="86" t="s">
        <v>55</v>
      </c>
      <c r="G277" s="86" t="s">
        <v>661</v>
      </c>
      <c r="H277" s="86" t="s">
        <v>1491</v>
      </c>
      <c r="I277" s="87" t="s">
        <v>1086</v>
      </c>
      <c r="J277" s="84" t="s">
        <v>554</v>
      </c>
      <c r="K277" s="84" t="s">
        <v>555</v>
      </c>
    </row>
    <row r="278" spans="1:11" ht="15.75" x14ac:dyDescent="0.3">
      <c r="A278" s="86" t="s">
        <v>1492</v>
      </c>
      <c r="B278" s="86" t="s">
        <v>1480</v>
      </c>
      <c r="C278" s="86" t="s">
        <v>294</v>
      </c>
      <c r="D278" s="86" t="s">
        <v>742</v>
      </c>
      <c r="E278" s="86" t="s">
        <v>743</v>
      </c>
      <c r="F278" s="86" t="s">
        <v>744</v>
      </c>
      <c r="G278" s="86" t="s">
        <v>745</v>
      </c>
      <c r="H278" s="86" t="s">
        <v>746</v>
      </c>
      <c r="I278" s="87" t="s">
        <v>1089</v>
      </c>
      <c r="J278" s="84" t="s">
        <v>554</v>
      </c>
      <c r="K278" s="84" t="s">
        <v>555</v>
      </c>
    </row>
    <row r="279" spans="1:11" ht="15.75" x14ac:dyDescent="0.3">
      <c r="A279" s="86" t="s">
        <v>1493</v>
      </c>
      <c r="B279" s="86" t="s">
        <v>1494</v>
      </c>
      <c r="C279" s="86" t="s">
        <v>294</v>
      </c>
      <c r="D279" s="86" t="s">
        <v>1094</v>
      </c>
      <c r="E279" s="86" t="s">
        <v>1095</v>
      </c>
      <c r="F279" s="86" t="s">
        <v>1096</v>
      </c>
      <c r="G279" s="86" t="s">
        <v>990</v>
      </c>
      <c r="H279" s="86" t="s">
        <v>1097</v>
      </c>
      <c r="I279" s="87" t="s">
        <v>1495</v>
      </c>
      <c r="J279" s="84" t="s">
        <v>554</v>
      </c>
      <c r="K279" s="84" t="s">
        <v>555</v>
      </c>
    </row>
    <row r="280" spans="1:11" ht="15.75" x14ac:dyDescent="0.3">
      <c r="A280" s="86" t="s">
        <v>1496</v>
      </c>
      <c r="B280" s="86" t="s">
        <v>1494</v>
      </c>
      <c r="C280" s="86" t="s">
        <v>294</v>
      </c>
      <c r="D280" s="86" t="s">
        <v>597</v>
      </c>
      <c r="E280" s="86" t="s">
        <v>598</v>
      </c>
      <c r="F280" s="86" t="s">
        <v>599</v>
      </c>
      <c r="G280" s="86" t="s">
        <v>551</v>
      </c>
      <c r="H280" s="86" t="s">
        <v>1099</v>
      </c>
      <c r="I280" s="87" t="s">
        <v>1495</v>
      </c>
      <c r="J280" s="84" t="s">
        <v>554</v>
      </c>
      <c r="K280" s="84" t="s">
        <v>555</v>
      </c>
    </row>
    <row r="281" spans="1:11" ht="15.75" x14ac:dyDescent="0.3">
      <c r="A281" s="86" t="s">
        <v>1497</v>
      </c>
      <c r="B281" s="86" t="s">
        <v>1498</v>
      </c>
      <c r="C281" s="86" t="s">
        <v>292</v>
      </c>
      <c r="D281" s="86" t="s">
        <v>587</v>
      </c>
      <c r="E281" s="86" t="s">
        <v>135</v>
      </c>
      <c r="F281" s="86" t="s">
        <v>137</v>
      </c>
      <c r="G281" s="86" t="s">
        <v>851</v>
      </c>
      <c r="H281" s="86" t="s">
        <v>896</v>
      </c>
      <c r="I281" s="87" t="s">
        <v>1499</v>
      </c>
      <c r="J281" s="84" t="s">
        <v>554</v>
      </c>
      <c r="K281" s="84" t="s">
        <v>555</v>
      </c>
    </row>
    <row r="282" spans="1:11" ht="15.75" x14ac:dyDescent="0.3">
      <c r="A282" s="86" t="s">
        <v>1500</v>
      </c>
      <c r="B282" s="86" t="s">
        <v>1501</v>
      </c>
      <c r="C282" s="86" t="s">
        <v>292</v>
      </c>
      <c r="D282" s="86" t="s">
        <v>760</v>
      </c>
      <c r="E282" s="86" t="s">
        <v>761</v>
      </c>
      <c r="F282" s="86" t="s">
        <v>762</v>
      </c>
      <c r="G282" s="86" t="s">
        <v>640</v>
      </c>
      <c r="H282" s="86" t="s">
        <v>763</v>
      </c>
      <c r="I282" s="87" t="s">
        <v>1502</v>
      </c>
      <c r="J282" s="84" t="s">
        <v>554</v>
      </c>
      <c r="K282" s="84" t="s">
        <v>555</v>
      </c>
    </row>
    <row r="283" spans="1:11" ht="15.75" x14ac:dyDescent="0.3">
      <c r="A283" s="86" t="s">
        <v>1503</v>
      </c>
      <c r="B283" s="86" t="s">
        <v>1501</v>
      </c>
      <c r="C283" s="86" t="s">
        <v>292</v>
      </c>
      <c r="D283" s="86" t="s">
        <v>583</v>
      </c>
      <c r="E283" s="86" t="s">
        <v>53</v>
      </c>
      <c r="F283" s="86" t="s">
        <v>55</v>
      </c>
      <c r="G283" s="86" t="s">
        <v>584</v>
      </c>
      <c r="H283" s="86" t="s">
        <v>1504</v>
      </c>
      <c r="I283" s="87" t="s">
        <v>1502</v>
      </c>
      <c r="J283" s="84" t="s">
        <v>554</v>
      </c>
      <c r="K283" s="84" t="s">
        <v>555</v>
      </c>
    </row>
    <row r="284" spans="1:11" ht="15.75" x14ac:dyDescent="0.3">
      <c r="A284" s="86" t="s">
        <v>1505</v>
      </c>
      <c r="B284" s="86" t="s">
        <v>1506</v>
      </c>
      <c r="C284" s="86" t="s">
        <v>294</v>
      </c>
      <c r="D284" s="86" t="s">
        <v>597</v>
      </c>
      <c r="E284" s="86" t="s">
        <v>598</v>
      </c>
      <c r="F284" s="86" t="s">
        <v>599</v>
      </c>
      <c r="G284" s="86" t="s">
        <v>551</v>
      </c>
      <c r="H284" s="86" t="s">
        <v>1507</v>
      </c>
      <c r="I284" s="87" t="s">
        <v>1508</v>
      </c>
      <c r="J284" s="84" t="s">
        <v>554</v>
      </c>
      <c r="K284" s="84" t="s">
        <v>555</v>
      </c>
    </row>
    <row r="285" spans="1:11" ht="15.75" x14ac:dyDescent="0.3">
      <c r="A285" s="86" t="s">
        <v>1509</v>
      </c>
      <c r="B285" s="86" t="s">
        <v>1510</v>
      </c>
      <c r="C285" s="86" t="s">
        <v>294</v>
      </c>
      <c r="D285" s="86" t="s">
        <v>591</v>
      </c>
      <c r="E285" s="86" t="s">
        <v>592</v>
      </c>
      <c r="F285" s="86" t="s">
        <v>593</v>
      </c>
      <c r="G285" s="86" t="s">
        <v>594</v>
      </c>
      <c r="H285" s="86" t="s">
        <v>1131</v>
      </c>
      <c r="I285" s="87" t="s">
        <v>1511</v>
      </c>
      <c r="J285" s="84" t="s">
        <v>554</v>
      </c>
      <c r="K285" s="84" t="s">
        <v>555</v>
      </c>
    </row>
    <row r="286" spans="1:11" ht="15.75" x14ac:dyDescent="0.3">
      <c r="A286" s="86" t="s">
        <v>1512</v>
      </c>
      <c r="B286" s="86" t="s">
        <v>1513</v>
      </c>
      <c r="C286" s="86" t="s">
        <v>293</v>
      </c>
      <c r="D286" s="86" t="s">
        <v>821</v>
      </c>
      <c r="E286" s="86" t="s">
        <v>1514</v>
      </c>
      <c r="F286" s="86" t="s">
        <v>823</v>
      </c>
      <c r="G286" s="86" t="s">
        <v>750</v>
      </c>
      <c r="H286" s="86" t="s">
        <v>1515</v>
      </c>
      <c r="I286" s="87" t="s">
        <v>1516</v>
      </c>
      <c r="J286" s="84" t="s">
        <v>554</v>
      </c>
      <c r="K286" s="84" t="s">
        <v>555</v>
      </c>
    </row>
    <row r="287" spans="1:11" ht="15.75" x14ac:dyDescent="0.3">
      <c r="A287" s="86" t="s">
        <v>1517</v>
      </c>
      <c r="B287" s="86" t="s">
        <v>1518</v>
      </c>
      <c r="C287" s="86" t="s">
        <v>292</v>
      </c>
      <c r="D287" s="86" t="s">
        <v>1206</v>
      </c>
      <c r="E287" s="86" t="s">
        <v>244</v>
      </c>
      <c r="F287" s="86" t="s">
        <v>246</v>
      </c>
      <c r="G287" s="86" t="s">
        <v>551</v>
      </c>
      <c r="H287" s="86" t="s">
        <v>1519</v>
      </c>
      <c r="I287" s="87" t="s">
        <v>1520</v>
      </c>
      <c r="J287" s="84" t="s">
        <v>554</v>
      </c>
      <c r="K287" s="84" t="s">
        <v>555</v>
      </c>
    </row>
    <row r="288" spans="1:11" ht="15.75" x14ac:dyDescent="0.3">
      <c r="A288" s="86" t="s">
        <v>1521</v>
      </c>
      <c r="B288" s="86" t="s">
        <v>1522</v>
      </c>
      <c r="C288" s="86" t="s">
        <v>292</v>
      </c>
      <c r="D288" s="86" t="s">
        <v>970</v>
      </c>
      <c r="E288" s="86" t="s">
        <v>971</v>
      </c>
      <c r="F288" s="86" t="s">
        <v>972</v>
      </c>
      <c r="G288" s="86" t="s">
        <v>708</v>
      </c>
      <c r="H288" s="86" t="s">
        <v>973</v>
      </c>
      <c r="I288" s="87" t="s">
        <v>1523</v>
      </c>
      <c r="J288" s="84" t="s">
        <v>554</v>
      </c>
      <c r="K288" s="84" t="s">
        <v>555</v>
      </c>
    </row>
    <row r="289" spans="1:11" ht="15.75" x14ac:dyDescent="0.3">
      <c r="A289" s="86" t="s">
        <v>1524</v>
      </c>
      <c r="B289" s="86" t="s">
        <v>1522</v>
      </c>
      <c r="C289" s="86" t="s">
        <v>293</v>
      </c>
      <c r="D289" s="86" t="s">
        <v>1153</v>
      </c>
      <c r="E289" s="86" t="s">
        <v>207</v>
      </c>
      <c r="F289" s="86" t="s">
        <v>209</v>
      </c>
      <c r="G289" s="86" t="s">
        <v>683</v>
      </c>
      <c r="H289" s="86" t="s">
        <v>1154</v>
      </c>
      <c r="I289" s="87" t="s">
        <v>1525</v>
      </c>
      <c r="J289" s="84" t="s">
        <v>554</v>
      </c>
      <c r="K289" s="84" t="s">
        <v>555</v>
      </c>
    </row>
    <row r="290" spans="1:11" ht="15.75" x14ac:dyDescent="0.3">
      <c r="A290" s="86" t="s">
        <v>1526</v>
      </c>
      <c r="B290" s="86" t="s">
        <v>1522</v>
      </c>
      <c r="C290" s="86" t="s">
        <v>293</v>
      </c>
      <c r="D290" s="86" t="s">
        <v>1156</v>
      </c>
      <c r="E290" s="86" t="s">
        <v>117</v>
      </c>
      <c r="F290" s="86" t="s">
        <v>119</v>
      </c>
      <c r="G290" s="86" t="s">
        <v>683</v>
      </c>
      <c r="H290" s="86" t="s">
        <v>1157</v>
      </c>
      <c r="I290" s="87" t="s">
        <v>1527</v>
      </c>
      <c r="J290" s="84" t="s">
        <v>554</v>
      </c>
      <c r="K290" s="84" t="s">
        <v>555</v>
      </c>
    </row>
    <row r="291" spans="1:11" ht="15.75" x14ac:dyDescent="0.3">
      <c r="A291" s="86" t="s">
        <v>1528</v>
      </c>
      <c r="B291" s="86" t="s">
        <v>1522</v>
      </c>
      <c r="C291" s="86" t="s">
        <v>292</v>
      </c>
      <c r="D291" s="86" t="s">
        <v>1159</v>
      </c>
      <c r="E291" s="86" t="s">
        <v>121</v>
      </c>
      <c r="F291" s="86" t="s">
        <v>123</v>
      </c>
      <c r="G291" s="86" t="s">
        <v>645</v>
      </c>
      <c r="H291" s="86" t="s">
        <v>1160</v>
      </c>
      <c r="I291" s="87" t="s">
        <v>1529</v>
      </c>
      <c r="J291" s="84" t="s">
        <v>554</v>
      </c>
      <c r="K291" s="84" t="s">
        <v>555</v>
      </c>
    </row>
    <row r="292" spans="1:11" ht="15.75" x14ac:dyDescent="0.3">
      <c r="A292" s="86" t="s">
        <v>1530</v>
      </c>
      <c r="B292" s="86" t="s">
        <v>1522</v>
      </c>
      <c r="C292" s="86" t="s">
        <v>293</v>
      </c>
      <c r="D292" s="86" t="s">
        <v>1162</v>
      </c>
      <c r="E292" s="86" t="s">
        <v>1163</v>
      </c>
      <c r="F292" s="86" t="s">
        <v>1164</v>
      </c>
      <c r="G292" s="86" t="s">
        <v>579</v>
      </c>
      <c r="H292" s="86" t="s">
        <v>1165</v>
      </c>
      <c r="I292" s="87" t="s">
        <v>1525</v>
      </c>
      <c r="J292" s="84" t="s">
        <v>554</v>
      </c>
      <c r="K292" s="84" t="s">
        <v>555</v>
      </c>
    </row>
    <row r="293" spans="1:11" ht="15.75" x14ac:dyDescent="0.3">
      <c r="A293" s="86" t="s">
        <v>1531</v>
      </c>
      <c r="B293" s="86" t="s">
        <v>1522</v>
      </c>
      <c r="C293" s="86" t="s">
        <v>293</v>
      </c>
      <c r="D293" s="86" t="s">
        <v>1017</v>
      </c>
      <c r="E293" s="86" t="s">
        <v>259</v>
      </c>
      <c r="F293" s="86" t="s">
        <v>261</v>
      </c>
      <c r="G293" s="86" t="s">
        <v>579</v>
      </c>
      <c r="H293" s="86" t="s">
        <v>1167</v>
      </c>
      <c r="I293" s="87" t="s">
        <v>1525</v>
      </c>
      <c r="J293" s="84" t="s">
        <v>554</v>
      </c>
      <c r="K293" s="84" t="s">
        <v>555</v>
      </c>
    </row>
    <row r="294" spans="1:11" ht="15.75" x14ac:dyDescent="0.3">
      <c r="A294" s="86" t="s">
        <v>1532</v>
      </c>
      <c r="B294" s="86" t="s">
        <v>1522</v>
      </c>
      <c r="C294" s="86" t="s">
        <v>293</v>
      </c>
      <c r="D294" s="86" t="s">
        <v>1169</v>
      </c>
      <c r="E294" s="86" t="s">
        <v>1170</v>
      </c>
      <c r="F294" s="86" t="s">
        <v>1171</v>
      </c>
      <c r="G294" s="86" t="s">
        <v>579</v>
      </c>
      <c r="H294" s="86" t="s">
        <v>1172</v>
      </c>
      <c r="I294" s="87" t="s">
        <v>1525</v>
      </c>
      <c r="J294" s="84" t="s">
        <v>554</v>
      </c>
      <c r="K294" s="84" t="s">
        <v>555</v>
      </c>
    </row>
    <row r="295" spans="1:11" ht="15.75" x14ac:dyDescent="0.3">
      <c r="A295" s="86" t="s">
        <v>1533</v>
      </c>
      <c r="B295" s="86" t="s">
        <v>1522</v>
      </c>
      <c r="C295" s="86" t="s">
        <v>293</v>
      </c>
      <c r="D295" s="86" t="s">
        <v>1174</v>
      </c>
      <c r="E295" s="86" t="s">
        <v>284</v>
      </c>
      <c r="F295" s="86" t="s">
        <v>192</v>
      </c>
      <c r="G295" s="86" t="s">
        <v>652</v>
      </c>
      <c r="H295" s="86" t="s">
        <v>1175</v>
      </c>
      <c r="I295" s="87" t="s">
        <v>1534</v>
      </c>
      <c r="J295" s="84" t="s">
        <v>554</v>
      </c>
      <c r="K295" s="84" t="s">
        <v>555</v>
      </c>
    </row>
    <row r="296" spans="1:11" ht="15.75" x14ac:dyDescent="0.3">
      <c r="A296" s="86" t="s">
        <v>1535</v>
      </c>
      <c r="B296" s="86" t="s">
        <v>1522</v>
      </c>
      <c r="C296" s="86" t="s">
        <v>293</v>
      </c>
      <c r="D296" s="86" t="s">
        <v>980</v>
      </c>
      <c r="E296" s="86" t="s">
        <v>224</v>
      </c>
      <c r="F296" s="86" t="s">
        <v>226</v>
      </c>
      <c r="G296" s="86" t="s">
        <v>652</v>
      </c>
      <c r="H296" s="86" t="s">
        <v>981</v>
      </c>
      <c r="I296" s="87" t="s">
        <v>1525</v>
      </c>
      <c r="J296" s="84" t="s">
        <v>554</v>
      </c>
      <c r="K296" s="84" t="s">
        <v>555</v>
      </c>
    </row>
    <row r="297" spans="1:11" ht="15.75" x14ac:dyDescent="0.3">
      <c r="A297" s="86" t="s">
        <v>1536</v>
      </c>
      <c r="B297" s="86" t="s">
        <v>1522</v>
      </c>
      <c r="C297" s="86" t="s">
        <v>293</v>
      </c>
      <c r="D297" s="86" t="s">
        <v>1021</v>
      </c>
      <c r="E297" s="86" t="s">
        <v>263</v>
      </c>
      <c r="F297" s="86" t="s">
        <v>265</v>
      </c>
      <c r="G297" s="86" t="s">
        <v>584</v>
      </c>
      <c r="H297" s="86" t="s">
        <v>1179</v>
      </c>
      <c r="I297" s="87" t="s">
        <v>1525</v>
      </c>
      <c r="J297" s="84" t="s">
        <v>554</v>
      </c>
      <c r="K297" s="84" t="s">
        <v>555</v>
      </c>
    </row>
    <row r="298" spans="1:11" ht="15.75" x14ac:dyDescent="0.3">
      <c r="A298" s="86" t="s">
        <v>1537</v>
      </c>
      <c r="B298" s="86" t="s">
        <v>1522</v>
      </c>
      <c r="C298" s="86" t="s">
        <v>292</v>
      </c>
      <c r="D298" s="86" t="s">
        <v>583</v>
      </c>
      <c r="E298" s="86" t="s">
        <v>53</v>
      </c>
      <c r="F298" s="86" t="s">
        <v>55</v>
      </c>
      <c r="G298" s="86" t="s">
        <v>661</v>
      </c>
      <c r="H298" s="86" t="s">
        <v>670</v>
      </c>
      <c r="I298" s="87" t="s">
        <v>1525</v>
      </c>
      <c r="J298" s="84" t="s">
        <v>554</v>
      </c>
      <c r="K298" s="84" t="s">
        <v>555</v>
      </c>
    </row>
    <row r="299" spans="1:11" ht="15.75" x14ac:dyDescent="0.3">
      <c r="A299" s="86" t="s">
        <v>1538</v>
      </c>
      <c r="B299" s="86" t="s">
        <v>1522</v>
      </c>
      <c r="C299" s="86" t="s">
        <v>292</v>
      </c>
      <c r="D299" s="86" t="s">
        <v>687</v>
      </c>
      <c r="E299" s="86" t="s">
        <v>152</v>
      </c>
      <c r="F299" s="86" t="s">
        <v>154</v>
      </c>
      <c r="G299" s="86" t="s">
        <v>594</v>
      </c>
      <c r="H299" s="86" t="s">
        <v>1539</v>
      </c>
      <c r="I299" s="87" t="s">
        <v>1525</v>
      </c>
      <c r="J299" s="84" t="s">
        <v>554</v>
      </c>
      <c r="K299" s="84" t="s">
        <v>555</v>
      </c>
    </row>
    <row r="300" spans="1:11" ht="15.75" x14ac:dyDescent="0.3">
      <c r="A300" s="86" t="s">
        <v>1540</v>
      </c>
      <c r="B300" s="86" t="s">
        <v>1522</v>
      </c>
      <c r="C300" s="86" t="s">
        <v>294</v>
      </c>
      <c r="D300" s="86" t="s">
        <v>591</v>
      </c>
      <c r="E300" s="86" t="s">
        <v>592</v>
      </c>
      <c r="F300" s="86" t="s">
        <v>593</v>
      </c>
      <c r="G300" s="86" t="s">
        <v>594</v>
      </c>
      <c r="H300" s="86" t="s">
        <v>1464</v>
      </c>
      <c r="I300" s="87" t="s">
        <v>1525</v>
      </c>
      <c r="J300" s="84" t="s">
        <v>554</v>
      </c>
      <c r="K300" s="84" t="s">
        <v>555</v>
      </c>
    </row>
    <row r="301" spans="1:11" ht="15.75" x14ac:dyDescent="0.3">
      <c r="A301" s="86" t="s">
        <v>1541</v>
      </c>
      <c r="B301" s="86" t="s">
        <v>1522</v>
      </c>
      <c r="C301" s="86" t="s">
        <v>292</v>
      </c>
      <c r="D301" s="86" t="s">
        <v>1011</v>
      </c>
      <c r="E301" s="86" t="s">
        <v>1012</v>
      </c>
      <c r="F301" s="86" t="s">
        <v>1013</v>
      </c>
      <c r="G301" s="86" t="s">
        <v>745</v>
      </c>
      <c r="H301" s="86" t="s">
        <v>1014</v>
      </c>
      <c r="I301" s="87" t="s">
        <v>1525</v>
      </c>
      <c r="J301" s="84" t="s">
        <v>554</v>
      </c>
      <c r="K301" s="84" t="s">
        <v>555</v>
      </c>
    </row>
    <row r="302" spans="1:11" ht="15.75" x14ac:dyDescent="0.3">
      <c r="A302" s="86" t="s">
        <v>1542</v>
      </c>
      <c r="B302" s="86" t="s">
        <v>1522</v>
      </c>
      <c r="C302" s="86" t="s">
        <v>292</v>
      </c>
      <c r="D302" s="86" t="s">
        <v>1189</v>
      </c>
      <c r="E302" s="86" t="s">
        <v>156</v>
      </c>
      <c r="F302" s="86" t="s">
        <v>158</v>
      </c>
      <c r="G302" s="86" t="s">
        <v>745</v>
      </c>
      <c r="H302" s="86" t="s">
        <v>1190</v>
      </c>
      <c r="I302" s="87" t="s">
        <v>1525</v>
      </c>
      <c r="J302" s="84" t="s">
        <v>554</v>
      </c>
      <c r="K302" s="84" t="s">
        <v>555</v>
      </c>
    </row>
    <row r="303" spans="1:11" ht="15.75" x14ac:dyDescent="0.3">
      <c r="A303" s="86" t="s">
        <v>1543</v>
      </c>
      <c r="B303" s="86" t="s">
        <v>1522</v>
      </c>
      <c r="C303" s="86" t="s">
        <v>293</v>
      </c>
      <c r="D303" s="86" t="s">
        <v>1195</v>
      </c>
      <c r="E303" s="86" t="s">
        <v>272</v>
      </c>
      <c r="F303" s="86" t="s">
        <v>274</v>
      </c>
      <c r="G303" s="86" t="s">
        <v>675</v>
      </c>
      <c r="H303" s="86" t="s">
        <v>1196</v>
      </c>
      <c r="I303" s="87" t="s">
        <v>1544</v>
      </c>
      <c r="J303" s="84" t="s">
        <v>554</v>
      </c>
      <c r="K303" s="84" t="s">
        <v>555</v>
      </c>
    </row>
    <row r="304" spans="1:11" ht="15.75" x14ac:dyDescent="0.3">
      <c r="A304" s="86" t="s">
        <v>1545</v>
      </c>
      <c r="B304" s="86" t="s">
        <v>1522</v>
      </c>
      <c r="C304" s="86" t="s">
        <v>292</v>
      </c>
      <c r="D304" s="86" t="s">
        <v>880</v>
      </c>
      <c r="E304" s="86" t="s">
        <v>71</v>
      </c>
      <c r="F304" s="86" t="s">
        <v>73</v>
      </c>
      <c r="G304" s="86" t="s">
        <v>807</v>
      </c>
      <c r="H304" s="86" t="s">
        <v>1198</v>
      </c>
      <c r="I304" s="87" t="s">
        <v>1525</v>
      </c>
      <c r="J304" s="84" t="s">
        <v>554</v>
      </c>
      <c r="K304" s="84" t="s">
        <v>555</v>
      </c>
    </row>
    <row r="305" spans="1:11" ht="15.75" x14ac:dyDescent="0.3">
      <c r="A305" s="86" t="s">
        <v>1546</v>
      </c>
      <c r="B305" s="86" t="s">
        <v>1522</v>
      </c>
      <c r="C305" s="86" t="s">
        <v>293</v>
      </c>
      <c r="D305" s="86" t="s">
        <v>985</v>
      </c>
      <c r="E305" s="86" t="s">
        <v>106</v>
      </c>
      <c r="F305" s="86" t="s">
        <v>108</v>
      </c>
      <c r="G305" s="86" t="s">
        <v>807</v>
      </c>
      <c r="H305" s="86" t="s">
        <v>986</v>
      </c>
      <c r="I305" s="87" t="s">
        <v>1525</v>
      </c>
      <c r="J305" s="84" t="s">
        <v>554</v>
      </c>
      <c r="K305" s="84" t="s">
        <v>555</v>
      </c>
    </row>
    <row r="306" spans="1:11" ht="15.75" x14ac:dyDescent="0.3">
      <c r="A306" s="86" t="s">
        <v>1547</v>
      </c>
      <c r="B306" s="86" t="s">
        <v>1522</v>
      </c>
      <c r="C306" s="86" t="s">
        <v>292</v>
      </c>
      <c r="D306" s="86" t="s">
        <v>883</v>
      </c>
      <c r="E306" s="86" t="s">
        <v>75</v>
      </c>
      <c r="F306" s="86" t="s">
        <v>77</v>
      </c>
      <c r="G306" s="86" t="s">
        <v>807</v>
      </c>
      <c r="H306" s="86" t="s">
        <v>959</v>
      </c>
      <c r="I306" s="87" t="s">
        <v>1525</v>
      </c>
      <c r="J306" s="84" t="s">
        <v>554</v>
      </c>
      <c r="K306" s="84" t="s">
        <v>555</v>
      </c>
    </row>
    <row r="307" spans="1:11" ht="15.75" x14ac:dyDescent="0.3">
      <c r="A307" s="86" t="s">
        <v>1548</v>
      </c>
      <c r="B307" s="86" t="s">
        <v>1522</v>
      </c>
      <c r="C307" s="86" t="s">
        <v>292</v>
      </c>
      <c r="D307" s="86" t="s">
        <v>989</v>
      </c>
      <c r="E307" s="86" t="s">
        <v>252</v>
      </c>
      <c r="F307" s="86" t="s">
        <v>254</v>
      </c>
      <c r="G307" s="86" t="s">
        <v>990</v>
      </c>
      <c r="H307" s="86" t="s">
        <v>991</v>
      </c>
      <c r="I307" s="87" t="s">
        <v>1525</v>
      </c>
      <c r="J307" s="84" t="s">
        <v>554</v>
      </c>
      <c r="K307" s="84" t="s">
        <v>555</v>
      </c>
    </row>
    <row r="308" spans="1:11" ht="15.75" x14ac:dyDescent="0.3">
      <c r="A308" s="86" t="s">
        <v>1549</v>
      </c>
      <c r="B308" s="86" t="s">
        <v>1522</v>
      </c>
      <c r="C308" s="86" t="s">
        <v>294</v>
      </c>
      <c r="D308" s="86" t="s">
        <v>597</v>
      </c>
      <c r="E308" s="86" t="s">
        <v>598</v>
      </c>
      <c r="F308" s="86" t="s">
        <v>599</v>
      </c>
      <c r="G308" s="86" t="s">
        <v>551</v>
      </c>
      <c r="H308" s="86" t="s">
        <v>1550</v>
      </c>
      <c r="I308" s="87" t="s">
        <v>1525</v>
      </c>
      <c r="J308" s="84" t="s">
        <v>554</v>
      </c>
      <c r="K308" s="84" t="s">
        <v>555</v>
      </c>
    </row>
    <row r="309" spans="1:11" ht="15.75" x14ac:dyDescent="0.3">
      <c r="A309" s="86" t="s">
        <v>1551</v>
      </c>
      <c r="B309" s="86" t="s">
        <v>1522</v>
      </c>
      <c r="C309" s="86" t="s">
        <v>292</v>
      </c>
      <c r="D309" s="86" t="s">
        <v>1206</v>
      </c>
      <c r="E309" s="86" t="s">
        <v>244</v>
      </c>
      <c r="F309" s="86" t="s">
        <v>246</v>
      </c>
      <c r="G309" s="86" t="s">
        <v>551</v>
      </c>
      <c r="H309" s="86" t="s">
        <v>1207</v>
      </c>
      <c r="I309" s="87" t="s">
        <v>1525</v>
      </c>
      <c r="J309" s="84" t="s">
        <v>554</v>
      </c>
      <c r="K309" s="84" t="s">
        <v>555</v>
      </c>
    </row>
    <row r="310" spans="1:11" ht="15.75" x14ac:dyDescent="0.3">
      <c r="A310" s="86" t="s">
        <v>1552</v>
      </c>
      <c r="B310" s="86" t="s">
        <v>1553</v>
      </c>
      <c r="C310" s="86" t="s">
        <v>292</v>
      </c>
      <c r="D310" s="86" t="s">
        <v>639</v>
      </c>
      <c r="E310" s="86" t="s">
        <v>22</v>
      </c>
      <c r="F310" s="86" t="s">
        <v>24</v>
      </c>
      <c r="G310" s="86" t="s">
        <v>701</v>
      </c>
      <c r="H310" s="86" t="s">
        <v>977</v>
      </c>
      <c r="I310" s="87" t="s">
        <v>1554</v>
      </c>
      <c r="J310" s="84" t="s">
        <v>554</v>
      </c>
      <c r="K310" s="84" t="s">
        <v>555</v>
      </c>
    </row>
    <row r="311" spans="1:11" ht="15.75" x14ac:dyDescent="0.3">
      <c r="A311" s="86" t="s">
        <v>1555</v>
      </c>
      <c r="B311" s="86" t="s">
        <v>1553</v>
      </c>
      <c r="C311" s="86" t="s">
        <v>293</v>
      </c>
      <c r="D311" s="86" t="s">
        <v>821</v>
      </c>
      <c r="E311" s="86" t="s">
        <v>822</v>
      </c>
      <c r="F311" s="86" t="s">
        <v>823</v>
      </c>
      <c r="G311" s="86" t="s">
        <v>701</v>
      </c>
      <c r="H311" s="86" t="s">
        <v>1008</v>
      </c>
      <c r="I311" s="87" t="s">
        <v>1556</v>
      </c>
      <c r="J311" s="84" t="s">
        <v>554</v>
      </c>
      <c r="K311" s="84" t="s">
        <v>555</v>
      </c>
    </row>
    <row r="312" spans="1:11" ht="15.75" x14ac:dyDescent="0.3">
      <c r="A312" s="86" t="s">
        <v>1557</v>
      </c>
      <c r="B312" s="86" t="s">
        <v>1553</v>
      </c>
      <c r="C312" s="86" t="s">
        <v>292</v>
      </c>
      <c r="D312" s="86" t="s">
        <v>1146</v>
      </c>
      <c r="E312" s="86" t="s">
        <v>239</v>
      </c>
      <c r="F312" s="86" t="s">
        <v>241</v>
      </c>
      <c r="G312" s="86" t="s">
        <v>824</v>
      </c>
      <c r="H312" s="86" t="s">
        <v>1147</v>
      </c>
      <c r="I312" s="87" t="s">
        <v>1554</v>
      </c>
      <c r="J312" s="84" t="s">
        <v>554</v>
      </c>
      <c r="K312" s="84" t="s">
        <v>555</v>
      </c>
    </row>
    <row r="313" spans="1:11" ht="15.75" x14ac:dyDescent="0.3">
      <c r="A313" s="86" t="s">
        <v>1558</v>
      </c>
      <c r="B313" s="86" t="s">
        <v>1553</v>
      </c>
      <c r="C313" s="86" t="s">
        <v>293</v>
      </c>
      <c r="D313" s="86" t="s">
        <v>621</v>
      </c>
      <c r="E313" s="86" t="s">
        <v>112</v>
      </c>
      <c r="F313" s="86" t="s">
        <v>114</v>
      </c>
      <c r="G313" s="86" t="s">
        <v>622</v>
      </c>
      <c r="H313" s="86" t="s">
        <v>1151</v>
      </c>
      <c r="I313" s="87" t="s">
        <v>1554</v>
      </c>
      <c r="J313" s="84" t="s">
        <v>554</v>
      </c>
      <c r="K313" s="84" t="s">
        <v>555</v>
      </c>
    </row>
    <row r="314" spans="1:11" ht="15.75" x14ac:dyDescent="0.3">
      <c r="A314" s="86" t="s">
        <v>1559</v>
      </c>
      <c r="B314" s="86" t="s">
        <v>1553</v>
      </c>
      <c r="C314" s="86" t="s">
        <v>292</v>
      </c>
      <c r="D314" s="86" t="s">
        <v>905</v>
      </c>
      <c r="E314" s="86" t="s">
        <v>139</v>
      </c>
      <c r="F314" s="86" t="s">
        <v>141</v>
      </c>
      <c r="G314" s="86" t="s">
        <v>851</v>
      </c>
      <c r="H314" s="86" t="s">
        <v>1184</v>
      </c>
      <c r="I314" s="87" t="s">
        <v>1556</v>
      </c>
      <c r="J314" s="84" t="s">
        <v>554</v>
      </c>
      <c r="K314" s="84" t="s">
        <v>555</v>
      </c>
    </row>
    <row r="315" spans="1:11" ht="15.75" x14ac:dyDescent="0.3">
      <c r="A315" s="86" t="s">
        <v>1560</v>
      </c>
      <c r="B315" s="86" t="s">
        <v>1553</v>
      </c>
      <c r="C315" s="86" t="s">
        <v>293</v>
      </c>
      <c r="D315" s="86" t="s">
        <v>834</v>
      </c>
      <c r="E315" s="86" t="s">
        <v>929</v>
      </c>
      <c r="F315" s="86" t="s">
        <v>187</v>
      </c>
      <c r="G315" s="86" t="s">
        <v>588</v>
      </c>
      <c r="H315" s="86" t="s">
        <v>983</v>
      </c>
      <c r="I315" s="87" t="s">
        <v>1554</v>
      </c>
      <c r="J315" s="84" t="s">
        <v>554</v>
      </c>
      <c r="K315" s="84" t="s">
        <v>555</v>
      </c>
    </row>
    <row r="316" spans="1:11" ht="15.75" x14ac:dyDescent="0.3">
      <c r="A316" s="86" t="s">
        <v>1561</v>
      </c>
      <c r="B316" s="86" t="s">
        <v>1553</v>
      </c>
      <c r="C316" s="86" t="s">
        <v>293</v>
      </c>
      <c r="D316" s="86" t="s">
        <v>1192</v>
      </c>
      <c r="E316" s="86" t="s">
        <v>94</v>
      </c>
      <c r="F316" s="86" t="s">
        <v>96</v>
      </c>
      <c r="G316" s="86" t="s">
        <v>754</v>
      </c>
      <c r="H316" s="86" t="s">
        <v>1193</v>
      </c>
      <c r="I316" s="87" t="s">
        <v>1556</v>
      </c>
      <c r="J316" s="84" t="s">
        <v>554</v>
      </c>
      <c r="K316" s="84" t="s">
        <v>555</v>
      </c>
    </row>
    <row r="317" spans="1:11" ht="15.75" x14ac:dyDescent="0.3">
      <c r="A317" s="86" t="s">
        <v>1562</v>
      </c>
      <c r="B317" s="86" t="s">
        <v>1553</v>
      </c>
      <c r="C317" s="86" t="s">
        <v>292</v>
      </c>
      <c r="D317" s="86" t="s">
        <v>1025</v>
      </c>
      <c r="E317" s="86" t="s">
        <v>1202</v>
      </c>
      <c r="F317" s="86" t="s">
        <v>1027</v>
      </c>
      <c r="G317" s="86" t="s">
        <v>990</v>
      </c>
      <c r="H317" s="86" t="s">
        <v>1203</v>
      </c>
      <c r="I317" s="87" t="s">
        <v>731</v>
      </c>
      <c r="J317" s="84" t="s">
        <v>554</v>
      </c>
      <c r="K317" s="84" t="s">
        <v>555</v>
      </c>
    </row>
    <row r="318" spans="1:11" ht="15.75" x14ac:dyDescent="0.3">
      <c r="A318" s="86" t="s">
        <v>1563</v>
      </c>
      <c r="B318" s="86" t="s">
        <v>1553</v>
      </c>
      <c r="C318" s="86" t="s">
        <v>292</v>
      </c>
      <c r="D318" s="86" t="s">
        <v>1025</v>
      </c>
      <c r="E318" s="86" t="s">
        <v>1564</v>
      </c>
      <c r="F318" s="86" t="s">
        <v>1027</v>
      </c>
      <c r="G318" s="86" t="s">
        <v>551</v>
      </c>
      <c r="H318" s="86" t="s">
        <v>1565</v>
      </c>
      <c r="I318" s="87" t="s">
        <v>1554</v>
      </c>
      <c r="J318" s="84" t="s">
        <v>554</v>
      </c>
      <c r="K318" s="84" t="s">
        <v>555</v>
      </c>
    </row>
    <row r="319" spans="1:11" ht="15.75" x14ac:dyDescent="0.3">
      <c r="A319" s="86" t="s">
        <v>1566</v>
      </c>
      <c r="B319" s="86" t="s">
        <v>1567</v>
      </c>
      <c r="C319" s="86" t="s">
        <v>293</v>
      </c>
      <c r="D319" s="86" t="s">
        <v>576</v>
      </c>
      <c r="E319" s="86" t="s">
        <v>577</v>
      </c>
      <c r="F319" s="86" t="s">
        <v>578</v>
      </c>
      <c r="G319" s="86" t="s">
        <v>579</v>
      </c>
      <c r="H319" s="86" t="s">
        <v>1568</v>
      </c>
      <c r="I319" s="87" t="s">
        <v>1569</v>
      </c>
      <c r="J319" s="84" t="s">
        <v>554</v>
      </c>
      <c r="K319" s="84" t="s">
        <v>555</v>
      </c>
    </row>
    <row r="320" spans="1:11" ht="15.75" x14ac:dyDescent="0.3">
      <c r="A320" s="86" t="s">
        <v>1570</v>
      </c>
      <c r="B320" s="86" t="s">
        <v>1571</v>
      </c>
      <c r="C320" s="86" t="s">
        <v>292</v>
      </c>
      <c r="D320" s="86" t="s">
        <v>587</v>
      </c>
      <c r="E320" s="86" t="s">
        <v>135</v>
      </c>
      <c r="F320" s="86" t="s">
        <v>137</v>
      </c>
      <c r="G320" s="86" t="s">
        <v>851</v>
      </c>
      <c r="H320" s="86" t="s">
        <v>896</v>
      </c>
      <c r="I320" s="87" t="s">
        <v>1572</v>
      </c>
      <c r="J320" s="84" t="s">
        <v>554</v>
      </c>
      <c r="K320" s="84" t="s">
        <v>555</v>
      </c>
    </row>
    <row r="321" spans="1:11" ht="15.75" x14ac:dyDescent="0.3">
      <c r="A321" s="86" t="s">
        <v>1573</v>
      </c>
      <c r="B321" s="86" t="s">
        <v>1574</v>
      </c>
      <c r="C321" s="86" t="s">
        <v>292</v>
      </c>
      <c r="D321" s="86" t="s">
        <v>910</v>
      </c>
      <c r="E321" s="86" t="s">
        <v>911</v>
      </c>
      <c r="F321" s="86" t="s">
        <v>912</v>
      </c>
      <c r="G321" s="86" t="s">
        <v>745</v>
      </c>
      <c r="H321" s="86" t="s">
        <v>1575</v>
      </c>
      <c r="I321" s="87" t="s">
        <v>1576</v>
      </c>
      <c r="J321" s="84" t="s">
        <v>554</v>
      </c>
      <c r="K321" s="84" t="s">
        <v>555</v>
      </c>
    </row>
    <row r="322" spans="1:11" ht="15.75" x14ac:dyDescent="0.3">
      <c r="A322" s="86" t="s">
        <v>1577</v>
      </c>
      <c r="B322" s="86" t="s">
        <v>1578</v>
      </c>
      <c r="C322" s="86" t="s">
        <v>293</v>
      </c>
      <c r="D322" s="86" t="s">
        <v>1121</v>
      </c>
      <c r="E322" s="86" t="s">
        <v>1122</v>
      </c>
      <c r="F322" s="86" t="s">
        <v>1123</v>
      </c>
      <c r="G322" s="86" t="s">
        <v>675</v>
      </c>
      <c r="H322" s="86" t="s">
        <v>1349</v>
      </c>
      <c r="I322" s="87" t="s">
        <v>1579</v>
      </c>
      <c r="J322" s="84" t="s">
        <v>554</v>
      </c>
      <c r="K322" s="84" t="s">
        <v>555</v>
      </c>
    </row>
    <row r="323" spans="1:11" ht="15.75" x14ac:dyDescent="0.3">
      <c r="A323" s="86" t="s">
        <v>1580</v>
      </c>
      <c r="B323" s="86" t="s">
        <v>1581</v>
      </c>
      <c r="C323" s="86" t="s">
        <v>293</v>
      </c>
      <c r="D323" s="86" t="s">
        <v>576</v>
      </c>
      <c r="E323" s="86" t="s">
        <v>577</v>
      </c>
      <c r="F323" s="86" t="s">
        <v>578</v>
      </c>
      <c r="G323" s="86" t="s">
        <v>652</v>
      </c>
      <c r="H323" s="86" t="s">
        <v>726</v>
      </c>
      <c r="I323" s="87" t="s">
        <v>1329</v>
      </c>
      <c r="J323" s="84" t="s">
        <v>554</v>
      </c>
      <c r="K323" s="84" t="s">
        <v>555</v>
      </c>
    </row>
    <row r="324" spans="1:11" ht="15.75" x14ac:dyDescent="0.3">
      <c r="A324" s="86" t="s">
        <v>1582</v>
      </c>
      <c r="B324" s="86" t="s">
        <v>1583</v>
      </c>
      <c r="C324" s="86" t="s">
        <v>293</v>
      </c>
      <c r="D324" s="86" t="s">
        <v>576</v>
      </c>
      <c r="E324" s="86" t="s">
        <v>577</v>
      </c>
      <c r="F324" s="86" t="s">
        <v>578</v>
      </c>
      <c r="G324" s="86" t="s">
        <v>652</v>
      </c>
      <c r="H324" s="86" t="s">
        <v>726</v>
      </c>
      <c r="I324" s="87" t="s">
        <v>1584</v>
      </c>
      <c r="J324" s="84" t="s">
        <v>554</v>
      </c>
      <c r="K324" s="84" t="s">
        <v>555</v>
      </c>
    </row>
    <row r="325" spans="1:11" ht="15.75" x14ac:dyDescent="0.3">
      <c r="A325" s="86" t="s">
        <v>1585</v>
      </c>
      <c r="B325" s="86" t="s">
        <v>1583</v>
      </c>
      <c r="C325" s="86" t="s">
        <v>292</v>
      </c>
      <c r="D325" s="86" t="s">
        <v>576</v>
      </c>
      <c r="E325" s="86" t="s">
        <v>728</v>
      </c>
      <c r="F325" s="86" t="s">
        <v>578</v>
      </c>
      <c r="G325" s="86" t="s">
        <v>729</v>
      </c>
      <c r="H325" s="86" t="s">
        <v>730</v>
      </c>
      <c r="I325" s="87" t="s">
        <v>1584</v>
      </c>
      <c r="J325" s="84" t="s">
        <v>554</v>
      </c>
      <c r="K325" s="84" t="s">
        <v>555</v>
      </c>
    </row>
    <row r="326" spans="1:11" ht="15.75" x14ac:dyDescent="0.3">
      <c r="A326" s="86" t="s">
        <v>1586</v>
      </c>
      <c r="B326" s="86" t="s">
        <v>1587</v>
      </c>
      <c r="C326" s="86" t="s">
        <v>292</v>
      </c>
      <c r="D326" s="86" t="s">
        <v>1433</v>
      </c>
      <c r="E326" s="86" t="s">
        <v>1434</v>
      </c>
      <c r="F326" s="86" t="s">
        <v>1435</v>
      </c>
      <c r="G326" s="86" t="s">
        <v>640</v>
      </c>
      <c r="H326" s="86" t="s">
        <v>1436</v>
      </c>
      <c r="I326" s="87" t="s">
        <v>1588</v>
      </c>
      <c r="J326" s="84" t="s">
        <v>554</v>
      </c>
      <c r="K326" s="84" t="s">
        <v>555</v>
      </c>
    </row>
    <row r="327" spans="1:11" ht="15.75" x14ac:dyDescent="0.3">
      <c r="A327" s="86" t="s">
        <v>1589</v>
      </c>
      <c r="B327" s="86" t="s">
        <v>1590</v>
      </c>
      <c r="C327" s="86" t="s">
        <v>293</v>
      </c>
      <c r="D327" s="86" t="s">
        <v>1121</v>
      </c>
      <c r="E327" s="86" t="s">
        <v>1122</v>
      </c>
      <c r="F327" s="86" t="s">
        <v>1123</v>
      </c>
      <c r="G327" s="86" t="s">
        <v>675</v>
      </c>
      <c r="H327" s="86" t="s">
        <v>1349</v>
      </c>
      <c r="I327" s="87" t="s">
        <v>1591</v>
      </c>
      <c r="J327" s="84" t="s">
        <v>554</v>
      </c>
      <c r="K327" s="84" t="s">
        <v>555</v>
      </c>
    </row>
    <row r="328" spans="1:11" ht="15.75" x14ac:dyDescent="0.3">
      <c r="A328" s="86" t="s">
        <v>1592</v>
      </c>
      <c r="B328" s="86" t="s">
        <v>1593</v>
      </c>
      <c r="C328" s="86" t="s">
        <v>293</v>
      </c>
      <c r="D328" s="86" t="s">
        <v>621</v>
      </c>
      <c r="E328" s="86" t="s">
        <v>1594</v>
      </c>
      <c r="F328" s="86" t="s">
        <v>114</v>
      </c>
      <c r="G328" s="86" t="s">
        <v>683</v>
      </c>
      <c r="H328" s="86" t="s">
        <v>1595</v>
      </c>
      <c r="I328" s="87" t="s">
        <v>1584</v>
      </c>
      <c r="J328" s="84" t="s">
        <v>554</v>
      </c>
      <c r="K328" s="84" t="s">
        <v>1354</v>
      </c>
    </row>
    <row r="329" spans="1:11" ht="15.75" x14ac:dyDescent="0.3">
      <c r="A329" s="86" t="s">
        <v>1596</v>
      </c>
      <c r="B329" s="86" t="s">
        <v>1593</v>
      </c>
      <c r="C329" s="86" t="s">
        <v>293</v>
      </c>
      <c r="D329" s="86" t="s">
        <v>1169</v>
      </c>
      <c r="E329" s="86" t="s">
        <v>1170</v>
      </c>
      <c r="F329" s="86" t="s">
        <v>1171</v>
      </c>
      <c r="G329" s="86" t="s">
        <v>652</v>
      </c>
      <c r="H329" s="86" t="s">
        <v>1597</v>
      </c>
      <c r="I329" s="87" t="s">
        <v>1584</v>
      </c>
      <c r="J329" s="84" t="s">
        <v>554</v>
      </c>
      <c r="K329" s="84" t="s">
        <v>1354</v>
      </c>
    </row>
    <row r="330" spans="1:11" ht="15.75" x14ac:dyDescent="0.3">
      <c r="A330" s="86" t="s">
        <v>1598</v>
      </c>
      <c r="B330" s="86" t="s">
        <v>1593</v>
      </c>
      <c r="C330" s="86" t="s">
        <v>292</v>
      </c>
      <c r="D330" s="86" t="s">
        <v>989</v>
      </c>
      <c r="E330" s="86" t="s">
        <v>252</v>
      </c>
      <c r="F330" s="86" t="s">
        <v>254</v>
      </c>
      <c r="G330" s="86" t="s">
        <v>990</v>
      </c>
      <c r="H330" s="86" t="s">
        <v>1599</v>
      </c>
      <c r="I330" s="87" t="s">
        <v>1584</v>
      </c>
      <c r="J330" s="84" t="s">
        <v>554</v>
      </c>
      <c r="K330" s="84" t="s">
        <v>1354</v>
      </c>
    </row>
    <row r="331" spans="1:11" ht="15.75" x14ac:dyDescent="0.3">
      <c r="A331" s="86" t="s">
        <v>1600</v>
      </c>
      <c r="B331" s="86" t="s">
        <v>1601</v>
      </c>
      <c r="C331" s="86" t="s">
        <v>294</v>
      </c>
      <c r="D331" s="86" t="s">
        <v>1602</v>
      </c>
      <c r="E331" s="86" t="s">
        <v>1603</v>
      </c>
      <c r="F331" s="86" t="s">
        <v>1604</v>
      </c>
      <c r="G331" s="86" t="s">
        <v>824</v>
      </c>
      <c r="H331" s="86" t="s">
        <v>1605</v>
      </c>
      <c r="I331" s="87" t="s">
        <v>1606</v>
      </c>
      <c r="J331" s="84" t="s">
        <v>554</v>
      </c>
      <c r="K331" s="84" t="s">
        <v>555</v>
      </c>
    </row>
    <row r="332" spans="1:11" ht="15.75" x14ac:dyDescent="0.3">
      <c r="A332" s="86" t="s">
        <v>1607</v>
      </c>
      <c r="B332" s="86" t="s">
        <v>1601</v>
      </c>
      <c r="C332" s="86" t="s">
        <v>294</v>
      </c>
      <c r="D332" s="86" t="s">
        <v>1608</v>
      </c>
      <c r="E332" s="86" t="s">
        <v>1609</v>
      </c>
      <c r="F332" s="86" t="s">
        <v>1610</v>
      </c>
      <c r="G332" s="86" t="s">
        <v>622</v>
      </c>
      <c r="H332" s="86" t="s">
        <v>1611</v>
      </c>
      <c r="I332" s="87" t="s">
        <v>1606</v>
      </c>
      <c r="J332" s="84" t="s">
        <v>554</v>
      </c>
      <c r="K332" s="84" t="s">
        <v>555</v>
      </c>
    </row>
    <row r="333" spans="1:11" ht="15.75" x14ac:dyDescent="0.3">
      <c r="A333" s="86" t="s">
        <v>1612</v>
      </c>
      <c r="B333" s="86" t="s">
        <v>1601</v>
      </c>
      <c r="C333" s="86" t="s">
        <v>294</v>
      </c>
      <c r="D333" s="86" t="s">
        <v>796</v>
      </c>
      <c r="E333" s="86" t="s">
        <v>797</v>
      </c>
      <c r="F333" s="86" t="s">
        <v>798</v>
      </c>
      <c r="G333" s="86" t="s">
        <v>588</v>
      </c>
      <c r="H333" s="86" t="s">
        <v>799</v>
      </c>
      <c r="I333" s="87" t="s">
        <v>1606</v>
      </c>
      <c r="J333" s="84" t="s">
        <v>554</v>
      </c>
      <c r="K333" s="84" t="s">
        <v>555</v>
      </c>
    </row>
    <row r="334" spans="1:11" ht="15.75" x14ac:dyDescent="0.3">
      <c r="A334" s="86" t="s">
        <v>1613</v>
      </c>
      <c r="B334" s="86" t="s">
        <v>1601</v>
      </c>
      <c r="C334" s="86" t="s">
        <v>294</v>
      </c>
      <c r="D334" s="86" t="s">
        <v>732</v>
      </c>
      <c r="E334" s="86" t="s">
        <v>733</v>
      </c>
      <c r="F334" s="86" t="s">
        <v>734</v>
      </c>
      <c r="G334" s="86" t="s">
        <v>667</v>
      </c>
      <c r="H334" s="86" t="s">
        <v>1614</v>
      </c>
      <c r="I334" s="87" t="s">
        <v>1606</v>
      </c>
      <c r="J334" s="84" t="s">
        <v>554</v>
      </c>
      <c r="K334" s="84" t="s">
        <v>555</v>
      </c>
    </row>
    <row r="335" spans="1:11" ht="15.75" x14ac:dyDescent="0.3">
      <c r="A335" s="86" t="s">
        <v>1615</v>
      </c>
      <c r="B335" s="86" t="s">
        <v>1601</v>
      </c>
      <c r="C335" s="86" t="s">
        <v>294</v>
      </c>
      <c r="D335" s="86" t="s">
        <v>810</v>
      </c>
      <c r="E335" s="86" t="s">
        <v>811</v>
      </c>
      <c r="F335" s="86" t="s">
        <v>812</v>
      </c>
      <c r="G335" s="86" t="s">
        <v>807</v>
      </c>
      <c r="H335" s="86" t="s">
        <v>813</v>
      </c>
      <c r="I335" s="87" t="s">
        <v>1606</v>
      </c>
      <c r="J335" s="84" t="s">
        <v>554</v>
      </c>
      <c r="K335" s="84" t="s">
        <v>555</v>
      </c>
    </row>
    <row r="336" spans="1:11" ht="15.75" x14ac:dyDescent="0.3">
      <c r="A336" s="86" t="s">
        <v>1616</v>
      </c>
      <c r="B336" s="86" t="s">
        <v>1617</v>
      </c>
      <c r="C336" s="86" t="s">
        <v>292</v>
      </c>
      <c r="D336" s="86" t="s">
        <v>910</v>
      </c>
      <c r="E336" s="86" t="s">
        <v>911</v>
      </c>
      <c r="F336" s="86" t="s">
        <v>912</v>
      </c>
      <c r="G336" s="86" t="s">
        <v>745</v>
      </c>
      <c r="H336" s="86" t="s">
        <v>1575</v>
      </c>
      <c r="I336" s="87" t="s">
        <v>1618</v>
      </c>
      <c r="J336" s="84" t="s">
        <v>554</v>
      </c>
      <c r="K336" s="84" t="s">
        <v>555</v>
      </c>
    </row>
    <row r="337" spans="1:11" ht="15.75" x14ac:dyDescent="0.3">
      <c r="A337" s="86" t="s">
        <v>1619</v>
      </c>
      <c r="B337" s="86" t="s">
        <v>1620</v>
      </c>
      <c r="C337" s="86" t="s">
        <v>293</v>
      </c>
      <c r="D337" s="86" t="s">
        <v>1344</v>
      </c>
      <c r="E337" s="86" t="s">
        <v>1345</v>
      </c>
      <c r="F337" s="86" t="s">
        <v>1346</v>
      </c>
      <c r="G337" s="86" t="s">
        <v>740</v>
      </c>
      <c r="H337" s="86" t="s">
        <v>1621</v>
      </c>
      <c r="I337" s="87" t="s">
        <v>1333</v>
      </c>
      <c r="J337" s="84" t="s">
        <v>554</v>
      </c>
      <c r="K337" s="84" t="s">
        <v>555</v>
      </c>
    </row>
    <row r="338" spans="1:11" ht="15.75" x14ac:dyDescent="0.3">
      <c r="A338" s="86" t="s">
        <v>1622</v>
      </c>
      <c r="B338" s="86" t="s">
        <v>1620</v>
      </c>
      <c r="C338" s="86" t="s">
        <v>293</v>
      </c>
      <c r="D338" s="86" t="s">
        <v>1121</v>
      </c>
      <c r="E338" s="86" t="s">
        <v>1122</v>
      </c>
      <c r="F338" s="86" t="s">
        <v>1123</v>
      </c>
      <c r="G338" s="86" t="s">
        <v>675</v>
      </c>
      <c r="H338" s="86" t="s">
        <v>1349</v>
      </c>
      <c r="I338" s="87" t="s">
        <v>1333</v>
      </c>
      <c r="J338" s="84" t="s">
        <v>554</v>
      </c>
      <c r="K338" s="84" t="s">
        <v>555</v>
      </c>
    </row>
    <row r="339" spans="1:11" ht="15.75" x14ac:dyDescent="0.3">
      <c r="A339" s="86" t="s">
        <v>1623</v>
      </c>
      <c r="B339" s="86" t="s">
        <v>1624</v>
      </c>
      <c r="C339" s="86" t="s">
        <v>292</v>
      </c>
      <c r="D339" s="86" t="s">
        <v>1366</v>
      </c>
      <c r="E339" s="86" t="s">
        <v>231</v>
      </c>
      <c r="F339" s="86" t="s">
        <v>233</v>
      </c>
      <c r="G339" s="86" t="s">
        <v>1367</v>
      </c>
      <c r="H339" s="86" t="s">
        <v>1625</v>
      </c>
      <c r="I339" s="87" t="s">
        <v>1626</v>
      </c>
      <c r="J339" s="84" t="s">
        <v>554</v>
      </c>
      <c r="K339" s="84" t="s">
        <v>555</v>
      </c>
    </row>
    <row r="340" spans="1:11" ht="15.75" x14ac:dyDescent="0.3">
      <c r="A340" s="86" t="s">
        <v>1627</v>
      </c>
      <c r="B340" s="86" t="s">
        <v>1624</v>
      </c>
      <c r="C340" s="86" t="s">
        <v>292</v>
      </c>
      <c r="D340" s="86" t="s">
        <v>1628</v>
      </c>
      <c r="E340" s="86" t="s">
        <v>1629</v>
      </c>
      <c r="F340" s="86" t="s">
        <v>1630</v>
      </c>
      <c r="G340" s="86" t="s">
        <v>701</v>
      </c>
      <c r="H340" s="86" t="s">
        <v>1631</v>
      </c>
      <c r="I340" s="87" t="s">
        <v>1626</v>
      </c>
      <c r="J340" s="84" t="s">
        <v>554</v>
      </c>
      <c r="K340" s="84" t="s">
        <v>555</v>
      </c>
    </row>
    <row r="341" spans="1:11" ht="15.75" x14ac:dyDescent="0.3">
      <c r="A341" s="86" t="s">
        <v>1632</v>
      </c>
      <c r="B341" s="86" t="s">
        <v>1624</v>
      </c>
      <c r="C341" s="86" t="s">
        <v>292</v>
      </c>
      <c r="D341" s="86" t="s">
        <v>1633</v>
      </c>
      <c r="E341" s="86" t="s">
        <v>1634</v>
      </c>
      <c r="F341" s="86" t="s">
        <v>1635</v>
      </c>
      <c r="G341" s="86" t="s">
        <v>701</v>
      </c>
      <c r="H341" s="86" t="s">
        <v>1636</v>
      </c>
      <c r="I341" s="87" t="s">
        <v>1626</v>
      </c>
      <c r="J341" s="84" t="s">
        <v>554</v>
      </c>
      <c r="K341" s="84" t="s">
        <v>555</v>
      </c>
    </row>
    <row r="342" spans="1:11" ht="15.75" x14ac:dyDescent="0.3">
      <c r="A342" s="86" t="s">
        <v>1637</v>
      </c>
      <c r="B342" s="86" t="s">
        <v>1624</v>
      </c>
      <c r="C342" s="86" t="s">
        <v>293</v>
      </c>
      <c r="D342" s="86" t="s">
        <v>821</v>
      </c>
      <c r="E342" s="86" t="s">
        <v>822</v>
      </c>
      <c r="F342" s="86" t="s">
        <v>823</v>
      </c>
      <c r="G342" s="86" t="s">
        <v>701</v>
      </c>
      <c r="H342" s="86" t="s">
        <v>1008</v>
      </c>
      <c r="I342" s="87" t="s">
        <v>1638</v>
      </c>
      <c r="J342" s="84" t="s">
        <v>554</v>
      </c>
      <c r="K342" s="84" t="s">
        <v>555</v>
      </c>
    </row>
    <row r="343" spans="1:11" ht="15.75" x14ac:dyDescent="0.3">
      <c r="A343" s="86" t="s">
        <v>1639</v>
      </c>
      <c r="B343" s="86" t="s">
        <v>1624</v>
      </c>
      <c r="C343" s="86" t="s">
        <v>292</v>
      </c>
      <c r="D343" s="86" t="s">
        <v>1640</v>
      </c>
      <c r="E343" s="86" t="s">
        <v>1641</v>
      </c>
      <c r="F343" s="86" t="s">
        <v>1642</v>
      </c>
      <c r="G343" s="86" t="s">
        <v>640</v>
      </c>
      <c r="H343" s="86" t="s">
        <v>1643</v>
      </c>
      <c r="I343" s="87" t="s">
        <v>1626</v>
      </c>
      <c r="J343" s="84" t="s">
        <v>554</v>
      </c>
      <c r="K343" s="84" t="s">
        <v>555</v>
      </c>
    </row>
    <row r="344" spans="1:11" ht="15.75" x14ac:dyDescent="0.3">
      <c r="A344" s="86" t="s">
        <v>1644</v>
      </c>
      <c r="B344" s="86" t="s">
        <v>1624</v>
      </c>
      <c r="C344" s="86" t="s">
        <v>292</v>
      </c>
      <c r="D344" s="86" t="s">
        <v>1645</v>
      </c>
      <c r="E344" s="86" t="s">
        <v>1646</v>
      </c>
      <c r="F344" s="86" t="s">
        <v>1647</v>
      </c>
      <c r="G344" s="86" t="s">
        <v>640</v>
      </c>
      <c r="H344" s="86" t="s">
        <v>1648</v>
      </c>
      <c r="I344" s="87" t="s">
        <v>1626</v>
      </c>
      <c r="J344" s="84" t="s">
        <v>554</v>
      </c>
      <c r="K344" s="84" t="s">
        <v>555</v>
      </c>
    </row>
    <row r="345" spans="1:11" ht="15.75" x14ac:dyDescent="0.3">
      <c r="A345" s="86" t="s">
        <v>1649</v>
      </c>
      <c r="B345" s="86" t="s">
        <v>1624</v>
      </c>
      <c r="C345" s="86" t="s">
        <v>293</v>
      </c>
      <c r="D345" s="86" t="s">
        <v>1650</v>
      </c>
      <c r="E345" s="86" t="s">
        <v>1651</v>
      </c>
      <c r="F345" s="86" t="s">
        <v>1652</v>
      </c>
      <c r="G345" s="86" t="s">
        <v>640</v>
      </c>
      <c r="H345" s="86" t="s">
        <v>1653</v>
      </c>
      <c r="I345" s="87" t="s">
        <v>1626</v>
      </c>
      <c r="J345" s="84" t="s">
        <v>554</v>
      </c>
      <c r="K345" s="84" t="s">
        <v>555</v>
      </c>
    </row>
    <row r="346" spans="1:11" ht="15.75" x14ac:dyDescent="0.3">
      <c r="A346" s="86" t="s">
        <v>1654</v>
      </c>
      <c r="B346" s="86" t="s">
        <v>1624</v>
      </c>
      <c r="C346" s="86" t="s">
        <v>292</v>
      </c>
      <c r="D346" s="86" t="s">
        <v>1146</v>
      </c>
      <c r="E346" s="86" t="s">
        <v>239</v>
      </c>
      <c r="F346" s="86" t="s">
        <v>241</v>
      </c>
      <c r="G346" s="86" t="s">
        <v>824</v>
      </c>
      <c r="H346" s="86" t="s">
        <v>1147</v>
      </c>
      <c r="I346" s="87" t="s">
        <v>1626</v>
      </c>
      <c r="J346" s="84" t="s">
        <v>554</v>
      </c>
      <c r="K346" s="84" t="s">
        <v>555</v>
      </c>
    </row>
    <row r="347" spans="1:11" ht="15.75" x14ac:dyDescent="0.3">
      <c r="A347" s="86" t="s">
        <v>1655</v>
      </c>
      <c r="B347" s="86" t="s">
        <v>1624</v>
      </c>
      <c r="C347" s="86" t="s">
        <v>292</v>
      </c>
      <c r="D347" s="86" t="s">
        <v>1656</v>
      </c>
      <c r="E347" s="86" t="s">
        <v>1657</v>
      </c>
      <c r="F347" s="86" t="s">
        <v>1658</v>
      </c>
      <c r="G347" s="86" t="s">
        <v>824</v>
      </c>
      <c r="H347" s="86" t="s">
        <v>1659</v>
      </c>
      <c r="I347" s="87" t="s">
        <v>1626</v>
      </c>
      <c r="J347" s="84" t="s">
        <v>554</v>
      </c>
      <c r="K347" s="84" t="s">
        <v>555</v>
      </c>
    </row>
    <row r="348" spans="1:11" ht="15.75" x14ac:dyDescent="0.3">
      <c r="A348" s="86" t="s">
        <v>1660</v>
      </c>
      <c r="B348" s="86" t="s">
        <v>1624</v>
      </c>
      <c r="C348" s="86" t="s">
        <v>292</v>
      </c>
      <c r="D348" s="86" t="s">
        <v>587</v>
      </c>
      <c r="E348" s="86" t="s">
        <v>1661</v>
      </c>
      <c r="F348" s="86" t="s">
        <v>137</v>
      </c>
      <c r="G348" s="86" t="s">
        <v>824</v>
      </c>
      <c r="H348" s="86" t="s">
        <v>1662</v>
      </c>
      <c r="I348" s="87" t="s">
        <v>1626</v>
      </c>
      <c r="J348" s="84" t="s">
        <v>554</v>
      </c>
      <c r="K348" s="84" t="s">
        <v>555</v>
      </c>
    </row>
    <row r="349" spans="1:11" ht="15.75" x14ac:dyDescent="0.3">
      <c r="A349" s="86" t="s">
        <v>1663</v>
      </c>
      <c r="B349" s="86" t="s">
        <v>1624</v>
      </c>
      <c r="C349" s="86" t="s">
        <v>293</v>
      </c>
      <c r="D349" s="86" t="s">
        <v>1608</v>
      </c>
      <c r="E349" s="86" t="s">
        <v>1664</v>
      </c>
      <c r="F349" s="86" t="s">
        <v>1610</v>
      </c>
      <c r="G349" s="86" t="s">
        <v>708</v>
      </c>
      <c r="H349" s="86" t="s">
        <v>1665</v>
      </c>
      <c r="I349" s="87" t="s">
        <v>1626</v>
      </c>
      <c r="J349" s="84" t="s">
        <v>554</v>
      </c>
      <c r="K349" s="84" t="s">
        <v>555</v>
      </c>
    </row>
    <row r="350" spans="1:11" ht="15.75" x14ac:dyDescent="0.3">
      <c r="A350" s="86" t="s">
        <v>1666</v>
      </c>
      <c r="B350" s="86" t="s">
        <v>1624</v>
      </c>
      <c r="C350" s="86" t="s">
        <v>292</v>
      </c>
      <c r="D350" s="86" t="s">
        <v>970</v>
      </c>
      <c r="E350" s="86" t="s">
        <v>971</v>
      </c>
      <c r="F350" s="86" t="s">
        <v>972</v>
      </c>
      <c r="G350" s="86" t="s">
        <v>708</v>
      </c>
      <c r="H350" s="86" t="s">
        <v>1149</v>
      </c>
      <c r="I350" s="87" t="s">
        <v>1638</v>
      </c>
      <c r="J350" s="84" t="s">
        <v>554</v>
      </c>
      <c r="K350" s="84" t="s">
        <v>555</v>
      </c>
    </row>
    <row r="351" spans="1:11" ht="15.75" x14ac:dyDescent="0.3">
      <c r="A351" s="86" t="s">
        <v>1667</v>
      </c>
      <c r="B351" s="86" t="s">
        <v>1624</v>
      </c>
      <c r="C351" s="86" t="s">
        <v>293</v>
      </c>
      <c r="D351" s="86" t="s">
        <v>955</v>
      </c>
      <c r="E351" s="86" t="s">
        <v>38</v>
      </c>
      <c r="F351" s="86" t="s">
        <v>40</v>
      </c>
      <c r="G351" s="86" t="s">
        <v>622</v>
      </c>
      <c r="H351" s="86" t="s">
        <v>956</v>
      </c>
      <c r="I351" s="87" t="s">
        <v>1626</v>
      </c>
      <c r="J351" s="84" t="s">
        <v>554</v>
      </c>
      <c r="K351" s="84" t="s">
        <v>555</v>
      </c>
    </row>
    <row r="352" spans="1:11" ht="15.75" x14ac:dyDescent="0.3">
      <c r="A352" s="86" t="s">
        <v>1668</v>
      </c>
      <c r="B352" s="86" t="s">
        <v>1624</v>
      </c>
      <c r="C352" s="86" t="s">
        <v>293</v>
      </c>
      <c r="D352" s="86" t="s">
        <v>1669</v>
      </c>
      <c r="E352" s="86" t="s">
        <v>1670</v>
      </c>
      <c r="F352" s="86" t="s">
        <v>1671</v>
      </c>
      <c r="G352" s="86" t="s">
        <v>622</v>
      </c>
      <c r="H352" s="86" t="s">
        <v>1672</v>
      </c>
      <c r="I352" s="87" t="s">
        <v>1626</v>
      </c>
      <c r="J352" s="84" t="s">
        <v>554</v>
      </c>
      <c r="K352" s="84" t="s">
        <v>555</v>
      </c>
    </row>
    <row r="353" spans="1:11" ht="15.75" x14ac:dyDescent="0.3">
      <c r="A353" s="86" t="s">
        <v>1673</v>
      </c>
      <c r="B353" s="86" t="s">
        <v>1624</v>
      </c>
      <c r="C353" s="86" t="s">
        <v>293</v>
      </c>
      <c r="D353" s="86" t="s">
        <v>621</v>
      </c>
      <c r="E353" s="86" t="s">
        <v>112</v>
      </c>
      <c r="F353" s="86" t="s">
        <v>114</v>
      </c>
      <c r="G353" s="86" t="s">
        <v>622</v>
      </c>
      <c r="H353" s="86" t="s">
        <v>1151</v>
      </c>
      <c r="I353" s="87" t="s">
        <v>1638</v>
      </c>
      <c r="J353" s="84" t="s">
        <v>554</v>
      </c>
      <c r="K353" s="84" t="s">
        <v>555</v>
      </c>
    </row>
    <row r="354" spans="1:11" ht="15.75" x14ac:dyDescent="0.3">
      <c r="A354" s="86" t="s">
        <v>1674</v>
      </c>
      <c r="B354" s="86" t="s">
        <v>1624</v>
      </c>
      <c r="C354" s="86" t="s">
        <v>293</v>
      </c>
      <c r="D354" s="86" t="s">
        <v>1153</v>
      </c>
      <c r="E354" s="86" t="s">
        <v>207</v>
      </c>
      <c r="F354" s="86" t="s">
        <v>209</v>
      </c>
      <c r="G354" s="86" t="s">
        <v>683</v>
      </c>
      <c r="H354" s="86" t="s">
        <v>1154</v>
      </c>
      <c r="I354" s="87" t="s">
        <v>1626</v>
      </c>
      <c r="J354" s="84" t="s">
        <v>554</v>
      </c>
      <c r="K354" s="84" t="s">
        <v>555</v>
      </c>
    </row>
    <row r="355" spans="1:11" ht="15.75" x14ac:dyDescent="0.3">
      <c r="A355" s="86" t="s">
        <v>1675</v>
      </c>
      <c r="B355" s="86" t="s">
        <v>1624</v>
      </c>
      <c r="C355" s="86" t="s">
        <v>293</v>
      </c>
      <c r="D355" s="86" t="s">
        <v>1156</v>
      </c>
      <c r="E355" s="86" t="s">
        <v>117</v>
      </c>
      <c r="F355" s="86" t="s">
        <v>119</v>
      </c>
      <c r="G355" s="86" t="s">
        <v>683</v>
      </c>
      <c r="H355" s="86" t="s">
        <v>1157</v>
      </c>
      <c r="I355" s="87" t="s">
        <v>1626</v>
      </c>
      <c r="J355" s="84" t="s">
        <v>554</v>
      </c>
      <c r="K355" s="84" t="s">
        <v>555</v>
      </c>
    </row>
    <row r="356" spans="1:11" ht="15.75" x14ac:dyDescent="0.3">
      <c r="A356" s="86" t="s">
        <v>1676</v>
      </c>
      <c r="B356" s="86" t="s">
        <v>1624</v>
      </c>
      <c r="C356" s="86" t="s">
        <v>293</v>
      </c>
      <c r="D356" s="86" t="s">
        <v>1352</v>
      </c>
      <c r="E356" s="86" t="s">
        <v>43</v>
      </c>
      <c r="F356" s="86" t="s">
        <v>45</v>
      </c>
      <c r="G356" s="86" t="s">
        <v>683</v>
      </c>
      <c r="H356" s="86" t="s">
        <v>1353</v>
      </c>
      <c r="I356" s="87" t="s">
        <v>1626</v>
      </c>
      <c r="J356" s="84" t="s">
        <v>554</v>
      </c>
      <c r="K356" s="84" t="s">
        <v>555</v>
      </c>
    </row>
    <row r="357" spans="1:11" ht="15.75" x14ac:dyDescent="0.3">
      <c r="A357" s="86" t="s">
        <v>1677</v>
      </c>
      <c r="B357" s="86" t="s">
        <v>1624</v>
      </c>
      <c r="C357" s="86" t="s">
        <v>293</v>
      </c>
      <c r="D357" s="86" t="s">
        <v>1678</v>
      </c>
      <c r="E357" s="86" t="s">
        <v>1679</v>
      </c>
      <c r="F357" s="86" t="s">
        <v>1680</v>
      </c>
      <c r="G357" s="86" t="s">
        <v>965</v>
      </c>
      <c r="H357" s="86" t="s">
        <v>1681</v>
      </c>
      <c r="I357" s="87" t="s">
        <v>1626</v>
      </c>
      <c r="J357" s="84" t="s">
        <v>554</v>
      </c>
      <c r="K357" s="84" t="s">
        <v>555</v>
      </c>
    </row>
    <row r="358" spans="1:11" ht="15.75" x14ac:dyDescent="0.3">
      <c r="A358" s="86" t="s">
        <v>1682</v>
      </c>
      <c r="B358" s="86" t="s">
        <v>1624</v>
      </c>
      <c r="C358" s="86" t="s">
        <v>293</v>
      </c>
      <c r="D358" s="86" t="s">
        <v>962</v>
      </c>
      <c r="E358" s="86" t="s">
        <v>963</v>
      </c>
      <c r="F358" s="86" t="s">
        <v>964</v>
      </c>
      <c r="G358" s="86" t="s">
        <v>965</v>
      </c>
      <c r="H358" s="86" t="s">
        <v>966</v>
      </c>
      <c r="I358" s="87" t="s">
        <v>1626</v>
      </c>
      <c r="J358" s="84" t="s">
        <v>554</v>
      </c>
      <c r="K358" s="84" t="s">
        <v>555</v>
      </c>
    </row>
    <row r="359" spans="1:11" ht="15.75" x14ac:dyDescent="0.3">
      <c r="A359" s="86" t="s">
        <v>1683</v>
      </c>
      <c r="B359" s="86" t="s">
        <v>1624</v>
      </c>
      <c r="C359" s="86" t="s">
        <v>292</v>
      </c>
      <c r="D359" s="86" t="s">
        <v>1684</v>
      </c>
      <c r="E359" s="86" t="s">
        <v>1685</v>
      </c>
      <c r="F359" s="86" t="s">
        <v>1686</v>
      </c>
      <c r="G359" s="86" t="s">
        <v>645</v>
      </c>
      <c r="H359" s="86" t="s">
        <v>1687</v>
      </c>
      <c r="I359" s="87" t="s">
        <v>1626</v>
      </c>
      <c r="J359" s="84" t="s">
        <v>554</v>
      </c>
      <c r="K359" s="84" t="s">
        <v>555</v>
      </c>
    </row>
    <row r="360" spans="1:11" ht="15.75" x14ac:dyDescent="0.3">
      <c r="A360" s="86" t="s">
        <v>1688</v>
      </c>
      <c r="B360" s="86" t="s">
        <v>1624</v>
      </c>
      <c r="C360" s="86" t="s">
        <v>292</v>
      </c>
      <c r="D360" s="86" t="s">
        <v>1159</v>
      </c>
      <c r="E360" s="86" t="s">
        <v>121</v>
      </c>
      <c r="F360" s="86" t="s">
        <v>123</v>
      </c>
      <c r="G360" s="86" t="s">
        <v>645</v>
      </c>
      <c r="H360" s="86" t="s">
        <v>1160</v>
      </c>
      <c r="I360" s="87" t="s">
        <v>1626</v>
      </c>
      <c r="J360" s="84" t="s">
        <v>554</v>
      </c>
      <c r="K360" s="84" t="s">
        <v>555</v>
      </c>
    </row>
    <row r="361" spans="1:11" ht="15.75" x14ac:dyDescent="0.3">
      <c r="A361" s="86" t="s">
        <v>1689</v>
      </c>
      <c r="B361" s="86" t="s">
        <v>1624</v>
      </c>
      <c r="C361" s="86" t="s">
        <v>293</v>
      </c>
      <c r="D361" s="86" t="s">
        <v>644</v>
      </c>
      <c r="E361" s="86" t="s">
        <v>180</v>
      </c>
      <c r="F361" s="86" t="s">
        <v>182</v>
      </c>
      <c r="G361" s="86" t="s">
        <v>645</v>
      </c>
      <c r="H361" s="86" t="s">
        <v>1690</v>
      </c>
      <c r="I361" s="87" t="s">
        <v>1626</v>
      </c>
      <c r="J361" s="84" t="s">
        <v>554</v>
      </c>
      <c r="K361" s="84" t="s">
        <v>555</v>
      </c>
    </row>
    <row r="362" spans="1:11" ht="15.75" x14ac:dyDescent="0.3">
      <c r="A362" s="86" t="s">
        <v>1691</v>
      </c>
      <c r="B362" s="86" t="s">
        <v>1624</v>
      </c>
      <c r="C362" s="86" t="s">
        <v>293</v>
      </c>
      <c r="D362" s="86" t="s">
        <v>1359</v>
      </c>
      <c r="E362" s="86" t="s">
        <v>1360</v>
      </c>
      <c r="F362" s="86" t="s">
        <v>1361</v>
      </c>
      <c r="G362" s="86" t="s">
        <v>645</v>
      </c>
      <c r="H362" s="86" t="s">
        <v>1362</v>
      </c>
      <c r="I362" s="87" t="s">
        <v>1626</v>
      </c>
      <c r="J362" s="84" t="s">
        <v>554</v>
      </c>
      <c r="K362" s="84" t="s">
        <v>555</v>
      </c>
    </row>
    <row r="363" spans="1:11" ht="15.75" x14ac:dyDescent="0.3">
      <c r="A363" s="86" t="s">
        <v>1692</v>
      </c>
      <c r="B363" s="86" t="s">
        <v>1624</v>
      </c>
      <c r="C363" s="86" t="s">
        <v>293</v>
      </c>
      <c r="D363" s="86" t="s">
        <v>1162</v>
      </c>
      <c r="E363" s="86" t="s">
        <v>1163</v>
      </c>
      <c r="F363" s="86" t="s">
        <v>1164</v>
      </c>
      <c r="G363" s="86" t="s">
        <v>579</v>
      </c>
      <c r="H363" s="86" t="s">
        <v>1165</v>
      </c>
      <c r="I363" s="87" t="s">
        <v>1626</v>
      </c>
      <c r="J363" s="84" t="s">
        <v>554</v>
      </c>
      <c r="K363" s="84" t="s">
        <v>555</v>
      </c>
    </row>
    <row r="364" spans="1:11" ht="15.75" x14ac:dyDescent="0.3">
      <c r="A364" s="86" t="s">
        <v>1693</v>
      </c>
      <c r="B364" s="86" t="s">
        <v>1624</v>
      </c>
      <c r="C364" s="86" t="s">
        <v>293</v>
      </c>
      <c r="D364" s="86" t="s">
        <v>1017</v>
      </c>
      <c r="E364" s="86" t="s">
        <v>259</v>
      </c>
      <c r="F364" s="86" t="s">
        <v>261</v>
      </c>
      <c r="G364" s="86" t="s">
        <v>579</v>
      </c>
      <c r="H364" s="86" t="s">
        <v>1167</v>
      </c>
      <c r="I364" s="87" t="s">
        <v>1626</v>
      </c>
      <c r="J364" s="84" t="s">
        <v>554</v>
      </c>
      <c r="K364" s="84" t="s">
        <v>555</v>
      </c>
    </row>
    <row r="365" spans="1:11" ht="15.75" x14ac:dyDescent="0.3">
      <c r="A365" s="86" t="s">
        <v>1694</v>
      </c>
      <c r="B365" s="86" t="s">
        <v>1624</v>
      </c>
      <c r="C365" s="86" t="s">
        <v>293</v>
      </c>
      <c r="D365" s="86" t="s">
        <v>1169</v>
      </c>
      <c r="E365" s="86" t="s">
        <v>1170</v>
      </c>
      <c r="F365" s="86" t="s">
        <v>1171</v>
      </c>
      <c r="G365" s="86" t="s">
        <v>579</v>
      </c>
      <c r="H365" s="86" t="s">
        <v>1172</v>
      </c>
      <c r="I365" s="87" t="s">
        <v>1626</v>
      </c>
      <c r="J365" s="84" t="s">
        <v>554</v>
      </c>
      <c r="K365" s="84" t="s">
        <v>555</v>
      </c>
    </row>
    <row r="366" spans="1:11" ht="15.75" x14ac:dyDescent="0.3">
      <c r="A366" s="86" t="s">
        <v>1695</v>
      </c>
      <c r="B366" s="86" t="s">
        <v>1624</v>
      </c>
      <c r="C366" s="86" t="s">
        <v>293</v>
      </c>
      <c r="D366" s="86" t="s">
        <v>924</v>
      </c>
      <c r="E366" s="86" t="s">
        <v>126</v>
      </c>
      <c r="F366" s="86" t="s">
        <v>128</v>
      </c>
      <c r="G366" s="86" t="s">
        <v>579</v>
      </c>
      <c r="H366" s="86" t="s">
        <v>1696</v>
      </c>
      <c r="I366" s="87" t="s">
        <v>1626</v>
      </c>
      <c r="J366" s="84" t="s">
        <v>554</v>
      </c>
      <c r="K366" s="84" t="s">
        <v>555</v>
      </c>
    </row>
    <row r="367" spans="1:11" ht="15.75" x14ac:dyDescent="0.3">
      <c r="A367" s="86" t="s">
        <v>1697</v>
      </c>
      <c r="B367" s="86" t="s">
        <v>1624</v>
      </c>
      <c r="C367" s="86" t="s">
        <v>293</v>
      </c>
      <c r="D367" s="86" t="s">
        <v>980</v>
      </c>
      <c r="E367" s="86" t="s">
        <v>224</v>
      </c>
      <c r="F367" s="86" t="s">
        <v>226</v>
      </c>
      <c r="G367" s="86" t="s">
        <v>652</v>
      </c>
      <c r="H367" s="86" t="s">
        <v>981</v>
      </c>
      <c r="I367" s="87" t="s">
        <v>1626</v>
      </c>
      <c r="J367" s="84" t="s">
        <v>554</v>
      </c>
      <c r="K367" s="84" t="s">
        <v>555</v>
      </c>
    </row>
    <row r="368" spans="1:11" ht="15.75" x14ac:dyDescent="0.3">
      <c r="A368" s="86" t="s">
        <v>1698</v>
      </c>
      <c r="B368" s="86" t="s">
        <v>1624</v>
      </c>
      <c r="C368" s="86" t="s">
        <v>292</v>
      </c>
      <c r="D368" s="86" t="s">
        <v>865</v>
      </c>
      <c r="E368" s="86" t="s">
        <v>1699</v>
      </c>
      <c r="F368" s="86" t="s">
        <v>30</v>
      </c>
      <c r="G368" s="86" t="s">
        <v>615</v>
      </c>
      <c r="H368" s="86" t="s">
        <v>1700</v>
      </c>
      <c r="I368" s="87" t="s">
        <v>1626</v>
      </c>
      <c r="J368" s="84" t="s">
        <v>554</v>
      </c>
      <c r="K368" s="84" t="s">
        <v>555</v>
      </c>
    </row>
    <row r="369" spans="1:11" ht="15.75" x14ac:dyDescent="0.3">
      <c r="A369" s="86" t="s">
        <v>1701</v>
      </c>
      <c r="B369" s="86" t="s">
        <v>1624</v>
      </c>
      <c r="C369" s="86" t="s">
        <v>292</v>
      </c>
      <c r="D369" s="86" t="s">
        <v>612</v>
      </c>
      <c r="E369" s="86" t="s">
        <v>613</v>
      </c>
      <c r="F369" s="86" t="s">
        <v>614</v>
      </c>
      <c r="G369" s="86" t="s">
        <v>615</v>
      </c>
      <c r="H369" s="86" t="s">
        <v>1702</v>
      </c>
      <c r="I369" s="87" t="s">
        <v>1626</v>
      </c>
      <c r="J369" s="84" t="s">
        <v>554</v>
      </c>
      <c r="K369" s="84" t="s">
        <v>555</v>
      </c>
    </row>
    <row r="370" spans="1:11" ht="15.75" x14ac:dyDescent="0.3">
      <c r="A370" s="86" t="s">
        <v>1703</v>
      </c>
      <c r="B370" s="86" t="s">
        <v>1624</v>
      </c>
      <c r="C370" s="86" t="s">
        <v>293</v>
      </c>
      <c r="D370" s="86" t="s">
        <v>1021</v>
      </c>
      <c r="E370" s="86" t="s">
        <v>263</v>
      </c>
      <c r="F370" s="86" t="s">
        <v>265</v>
      </c>
      <c r="G370" s="86" t="s">
        <v>584</v>
      </c>
      <c r="H370" s="86" t="s">
        <v>1179</v>
      </c>
      <c r="I370" s="87" t="s">
        <v>1626</v>
      </c>
      <c r="J370" s="84" t="s">
        <v>554</v>
      </c>
      <c r="K370" s="84" t="s">
        <v>555</v>
      </c>
    </row>
    <row r="371" spans="1:11" ht="15.75" x14ac:dyDescent="0.3">
      <c r="A371" s="86" t="s">
        <v>1704</v>
      </c>
      <c r="B371" s="86" t="s">
        <v>1624</v>
      </c>
      <c r="C371" s="86" t="s">
        <v>292</v>
      </c>
      <c r="D371" s="86" t="s">
        <v>869</v>
      </c>
      <c r="E371" s="86" t="s">
        <v>57</v>
      </c>
      <c r="F371" s="86" t="s">
        <v>59</v>
      </c>
      <c r="G371" s="86" t="s">
        <v>584</v>
      </c>
      <c r="H371" s="86" t="s">
        <v>1705</v>
      </c>
      <c r="I371" s="87" t="s">
        <v>1626</v>
      </c>
      <c r="J371" s="84" t="s">
        <v>554</v>
      </c>
      <c r="K371" s="84" t="s">
        <v>555</v>
      </c>
    </row>
    <row r="372" spans="1:11" ht="15.75" x14ac:dyDescent="0.3">
      <c r="A372" s="86" t="s">
        <v>1706</v>
      </c>
      <c r="B372" s="86" t="s">
        <v>1624</v>
      </c>
      <c r="C372" s="86" t="s">
        <v>292</v>
      </c>
      <c r="D372" s="86" t="s">
        <v>583</v>
      </c>
      <c r="E372" s="86" t="s">
        <v>53</v>
      </c>
      <c r="F372" s="86" t="s">
        <v>55</v>
      </c>
      <c r="G372" s="86" t="s">
        <v>661</v>
      </c>
      <c r="H372" s="86" t="s">
        <v>662</v>
      </c>
      <c r="I372" s="87" t="s">
        <v>1626</v>
      </c>
      <c r="J372" s="84" t="s">
        <v>554</v>
      </c>
      <c r="K372" s="84" t="s">
        <v>555</v>
      </c>
    </row>
    <row r="373" spans="1:11" ht="15.75" x14ac:dyDescent="0.3">
      <c r="A373" s="86" t="s">
        <v>1707</v>
      </c>
      <c r="B373" s="86" t="s">
        <v>1624</v>
      </c>
      <c r="C373" s="86" t="s">
        <v>292</v>
      </c>
      <c r="D373" s="86" t="s">
        <v>872</v>
      </c>
      <c r="E373" s="86" t="s">
        <v>196</v>
      </c>
      <c r="F373" s="86" t="s">
        <v>198</v>
      </c>
      <c r="G373" s="86" t="s">
        <v>661</v>
      </c>
      <c r="H373" s="86" t="s">
        <v>1708</v>
      </c>
      <c r="I373" s="87" t="s">
        <v>1626</v>
      </c>
      <c r="J373" s="84" t="s">
        <v>554</v>
      </c>
      <c r="K373" s="84" t="s">
        <v>555</v>
      </c>
    </row>
    <row r="374" spans="1:11" ht="15.75" x14ac:dyDescent="0.3">
      <c r="A374" s="86" t="s">
        <v>1709</v>
      </c>
      <c r="B374" s="86" t="s">
        <v>1624</v>
      </c>
      <c r="C374" s="86" t="s">
        <v>292</v>
      </c>
      <c r="D374" s="86" t="s">
        <v>947</v>
      </c>
      <c r="E374" s="86" t="s">
        <v>131</v>
      </c>
      <c r="F374" s="86" t="s">
        <v>133</v>
      </c>
      <c r="G374" s="86" t="s">
        <v>740</v>
      </c>
      <c r="H374" s="86" t="s">
        <v>1710</v>
      </c>
      <c r="I374" s="87" t="s">
        <v>1626</v>
      </c>
      <c r="J374" s="84" t="s">
        <v>554</v>
      </c>
      <c r="K374" s="84" t="s">
        <v>555</v>
      </c>
    </row>
    <row r="375" spans="1:11" ht="15.75" x14ac:dyDescent="0.3">
      <c r="A375" s="86" t="s">
        <v>1711</v>
      </c>
      <c r="B375" s="86" t="s">
        <v>1624</v>
      </c>
      <c r="C375" s="86" t="s">
        <v>292</v>
      </c>
      <c r="D375" s="86" t="s">
        <v>1712</v>
      </c>
      <c r="E375" s="86" t="s">
        <v>1713</v>
      </c>
      <c r="F375" s="86" t="s">
        <v>1714</v>
      </c>
      <c r="G375" s="86" t="s">
        <v>740</v>
      </c>
      <c r="H375" s="86" t="s">
        <v>1715</v>
      </c>
      <c r="I375" s="87" t="s">
        <v>1626</v>
      </c>
      <c r="J375" s="84" t="s">
        <v>554</v>
      </c>
      <c r="K375" s="84" t="s">
        <v>555</v>
      </c>
    </row>
    <row r="376" spans="1:11" ht="15.75" x14ac:dyDescent="0.3">
      <c r="A376" s="86" t="s">
        <v>1716</v>
      </c>
      <c r="B376" s="86" t="s">
        <v>1624</v>
      </c>
      <c r="C376" s="86" t="s">
        <v>293</v>
      </c>
      <c r="D376" s="86" t="s">
        <v>1717</v>
      </c>
      <c r="E376" s="86" t="s">
        <v>67</v>
      </c>
      <c r="F376" s="86" t="s">
        <v>69</v>
      </c>
      <c r="G376" s="86" t="s">
        <v>691</v>
      </c>
      <c r="H376" s="86" t="s">
        <v>1718</v>
      </c>
      <c r="I376" s="87" t="s">
        <v>1626</v>
      </c>
      <c r="J376" s="84" t="s">
        <v>554</v>
      </c>
      <c r="K376" s="84" t="s">
        <v>555</v>
      </c>
    </row>
    <row r="377" spans="1:11" ht="15.75" x14ac:dyDescent="0.3">
      <c r="A377" s="86" t="s">
        <v>1719</v>
      </c>
      <c r="B377" s="86" t="s">
        <v>1624</v>
      </c>
      <c r="C377" s="86" t="s">
        <v>293</v>
      </c>
      <c r="D377" s="86" t="s">
        <v>1720</v>
      </c>
      <c r="E377" s="86" t="s">
        <v>1721</v>
      </c>
      <c r="F377" s="86" t="s">
        <v>1722</v>
      </c>
      <c r="G377" s="86" t="s">
        <v>851</v>
      </c>
      <c r="H377" s="86" t="s">
        <v>1723</v>
      </c>
      <c r="I377" s="87" t="s">
        <v>1626</v>
      </c>
      <c r="J377" s="84" t="s">
        <v>554</v>
      </c>
      <c r="K377" s="84" t="s">
        <v>555</v>
      </c>
    </row>
    <row r="378" spans="1:11" ht="15.75" x14ac:dyDescent="0.3">
      <c r="A378" s="86" t="s">
        <v>1724</v>
      </c>
      <c r="B378" s="86" t="s">
        <v>1624</v>
      </c>
      <c r="C378" s="86" t="s">
        <v>293</v>
      </c>
      <c r="D378" s="86" t="s">
        <v>838</v>
      </c>
      <c r="E378" s="86" t="s">
        <v>1382</v>
      </c>
      <c r="F378" s="86" t="s">
        <v>840</v>
      </c>
      <c r="G378" s="86" t="s">
        <v>851</v>
      </c>
      <c r="H378" s="86" t="s">
        <v>1725</v>
      </c>
      <c r="I378" s="87" t="s">
        <v>1626</v>
      </c>
      <c r="J378" s="84" t="s">
        <v>554</v>
      </c>
      <c r="K378" s="84" t="s">
        <v>555</v>
      </c>
    </row>
    <row r="379" spans="1:11" ht="15.75" x14ac:dyDescent="0.3">
      <c r="A379" s="86" t="s">
        <v>1726</v>
      </c>
      <c r="B379" s="86" t="s">
        <v>1624</v>
      </c>
      <c r="C379" s="86" t="s">
        <v>292</v>
      </c>
      <c r="D379" s="86" t="s">
        <v>905</v>
      </c>
      <c r="E379" s="86" t="s">
        <v>139</v>
      </c>
      <c r="F379" s="86" t="s">
        <v>141</v>
      </c>
      <c r="G379" s="86" t="s">
        <v>851</v>
      </c>
      <c r="H379" s="86" t="s">
        <v>1184</v>
      </c>
      <c r="I379" s="87" t="s">
        <v>1638</v>
      </c>
      <c r="J379" s="84" t="s">
        <v>554</v>
      </c>
      <c r="K379" s="84" t="s">
        <v>555</v>
      </c>
    </row>
    <row r="380" spans="1:11" ht="15.75" x14ac:dyDescent="0.3">
      <c r="A380" s="86" t="s">
        <v>1727</v>
      </c>
      <c r="B380" s="86" t="s">
        <v>1624</v>
      </c>
      <c r="C380" s="86" t="s">
        <v>293</v>
      </c>
      <c r="D380" s="86" t="s">
        <v>834</v>
      </c>
      <c r="E380" s="86" t="s">
        <v>929</v>
      </c>
      <c r="F380" s="86" t="s">
        <v>187</v>
      </c>
      <c r="G380" s="86" t="s">
        <v>588</v>
      </c>
      <c r="H380" s="86" t="s">
        <v>930</v>
      </c>
      <c r="I380" s="87" t="s">
        <v>1626</v>
      </c>
      <c r="J380" s="84" t="s">
        <v>554</v>
      </c>
      <c r="K380" s="84" t="s">
        <v>555</v>
      </c>
    </row>
    <row r="381" spans="1:11" ht="15.75" x14ac:dyDescent="0.3">
      <c r="A381" s="86" t="s">
        <v>1728</v>
      </c>
      <c r="B381" s="86" t="s">
        <v>1624</v>
      </c>
      <c r="C381" s="86" t="s">
        <v>292</v>
      </c>
      <c r="D381" s="86" t="s">
        <v>1729</v>
      </c>
      <c r="E381" s="86" t="s">
        <v>144</v>
      </c>
      <c r="F381" s="86" t="s">
        <v>146</v>
      </c>
      <c r="G381" s="86" t="s">
        <v>588</v>
      </c>
      <c r="H381" s="86" t="s">
        <v>1730</v>
      </c>
      <c r="I381" s="87" t="s">
        <v>1626</v>
      </c>
      <c r="J381" s="84" t="s">
        <v>554</v>
      </c>
      <c r="K381" s="84" t="s">
        <v>555</v>
      </c>
    </row>
    <row r="382" spans="1:11" ht="15.75" x14ac:dyDescent="0.3">
      <c r="A382" s="86" t="s">
        <v>1731</v>
      </c>
      <c r="B382" s="86" t="s">
        <v>1624</v>
      </c>
      <c r="C382" s="86" t="s">
        <v>293</v>
      </c>
      <c r="D382" s="86" t="s">
        <v>1732</v>
      </c>
      <c r="E382" s="86" t="s">
        <v>1733</v>
      </c>
      <c r="F382" s="86" t="s">
        <v>1734</v>
      </c>
      <c r="G382" s="86" t="s">
        <v>594</v>
      </c>
      <c r="H382" s="86" t="s">
        <v>1735</v>
      </c>
      <c r="I382" s="87" t="s">
        <v>1626</v>
      </c>
      <c r="J382" s="84" t="s">
        <v>554</v>
      </c>
      <c r="K382" s="84" t="s">
        <v>555</v>
      </c>
    </row>
    <row r="383" spans="1:11" ht="15.75" x14ac:dyDescent="0.3">
      <c r="A383" s="86" t="s">
        <v>1736</v>
      </c>
      <c r="B383" s="86" t="s">
        <v>1624</v>
      </c>
      <c r="C383" s="86" t="s">
        <v>292</v>
      </c>
      <c r="D383" s="86" t="s">
        <v>695</v>
      </c>
      <c r="E383" s="86" t="s">
        <v>696</v>
      </c>
      <c r="F383" s="86" t="s">
        <v>697</v>
      </c>
      <c r="G383" s="86" t="s">
        <v>594</v>
      </c>
      <c r="H383" s="86" t="s">
        <v>1737</v>
      </c>
      <c r="I383" s="87" t="s">
        <v>1626</v>
      </c>
      <c r="J383" s="84" t="s">
        <v>554</v>
      </c>
      <c r="K383" s="84" t="s">
        <v>555</v>
      </c>
    </row>
    <row r="384" spans="1:11" ht="15.75" x14ac:dyDescent="0.3">
      <c r="A384" s="86" t="s">
        <v>1738</v>
      </c>
      <c r="B384" s="86" t="s">
        <v>1624</v>
      </c>
      <c r="C384" s="86" t="s">
        <v>293</v>
      </c>
      <c r="D384" s="86" t="s">
        <v>1739</v>
      </c>
      <c r="E384" s="86" t="s">
        <v>148</v>
      </c>
      <c r="F384" s="86" t="s">
        <v>150</v>
      </c>
      <c r="G384" s="86" t="s">
        <v>594</v>
      </c>
      <c r="H384" s="86" t="s">
        <v>1740</v>
      </c>
      <c r="I384" s="87" t="s">
        <v>1638</v>
      </c>
      <c r="J384" s="84" t="s">
        <v>554</v>
      </c>
      <c r="K384" s="84" t="s">
        <v>555</v>
      </c>
    </row>
    <row r="385" spans="1:11" ht="15.75" x14ac:dyDescent="0.3">
      <c r="A385" s="86" t="s">
        <v>1741</v>
      </c>
      <c r="B385" s="86" t="s">
        <v>1624</v>
      </c>
      <c r="C385" s="86" t="s">
        <v>292</v>
      </c>
      <c r="D385" s="86" t="s">
        <v>687</v>
      </c>
      <c r="E385" s="86" t="s">
        <v>152</v>
      </c>
      <c r="F385" s="86" t="s">
        <v>154</v>
      </c>
      <c r="G385" s="86" t="s">
        <v>594</v>
      </c>
      <c r="H385" s="86" t="s">
        <v>688</v>
      </c>
      <c r="I385" s="87" t="s">
        <v>1626</v>
      </c>
      <c r="J385" s="84" t="s">
        <v>554</v>
      </c>
      <c r="K385" s="84" t="s">
        <v>555</v>
      </c>
    </row>
    <row r="386" spans="1:11" ht="15.75" x14ac:dyDescent="0.3">
      <c r="A386" s="86" t="s">
        <v>1742</v>
      </c>
      <c r="B386" s="86" t="s">
        <v>1624</v>
      </c>
      <c r="C386" s="86" t="s">
        <v>293</v>
      </c>
      <c r="D386" s="86" t="s">
        <v>1743</v>
      </c>
      <c r="E386" s="86" t="s">
        <v>1744</v>
      </c>
      <c r="F386" s="86" t="s">
        <v>1745</v>
      </c>
      <c r="G386" s="86" t="s">
        <v>1746</v>
      </c>
      <c r="H386" s="86" t="s">
        <v>1747</v>
      </c>
      <c r="I386" s="87" t="s">
        <v>1626</v>
      </c>
      <c r="J386" s="84" t="s">
        <v>554</v>
      </c>
      <c r="K386" s="84" t="s">
        <v>555</v>
      </c>
    </row>
    <row r="387" spans="1:11" ht="15.75" x14ac:dyDescent="0.3">
      <c r="A387" s="86" t="s">
        <v>1748</v>
      </c>
      <c r="B387" s="86" t="s">
        <v>1624</v>
      </c>
      <c r="C387" s="86" t="s">
        <v>293</v>
      </c>
      <c r="D387" s="86" t="s">
        <v>1385</v>
      </c>
      <c r="E387" s="86" t="s">
        <v>89</v>
      </c>
      <c r="F387" s="86" t="s">
        <v>91</v>
      </c>
      <c r="G387" s="86" t="s">
        <v>667</v>
      </c>
      <c r="H387" s="86" t="s">
        <v>1386</v>
      </c>
      <c r="I387" s="87" t="s">
        <v>1626</v>
      </c>
      <c r="J387" s="84" t="s">
        <v>554</v>
      </c>
      <c r="K387" s="84" t="s">
        <v>555</v>
      </c>
    </row>
    <row r="388" spans="1:11" ht="15.75" x14ac:dyDescent="0.3">
      <c r="A388" s="86" t="s">
        <v>1749</v>
      </c>
      <c r="B388" s="86" t="s">
        <v>1624</v>
      </c>
      <c r="C388" s="86" t="s">
        <v>292</v>
      </c>
      <c r="D388" s="86" t="s">
        <v>875</v>
      </c>
      <c r="E388" s="86" t="s">
        <v>200</v>
      </c>
      <c r="F388" s="86" t="s">
        <v>202</v>
      </c>
      <c r="G388" s="86" t="s">
        <v>630</v>
      </c>
      <c r="H388" s="86" t="s">
        <v>1750</v>
      </c>
      <c r="I388" s="87" t="s">
        <v>1626</v>
      </c>
      <c r="J388" s="84" t="s">
        <v>554</v>
      </c>
      <c r="K388" s="84" t="s">
        <v>555</v>
      </c>
    </row>
    <row r="389" spans="1:11" ht="15.75" x14ac:dyDescent="0.3">
      <c r="A389" s="86" t="s">
        <v>1751</v>
      </c>
      <c r="B389" s="86" t="s">
        <v>1624</v>
      </c>
      <c r="C389" s="86" t="s">
        <v>292</v>
      </c>
      <c r="D389" s="86" t="s">
        <v>1011</v>
      </c>
      <c r="E389" s="86" t="s">
        <v>1012</v>
      </c>
      <c r="F389" s="86" t="s">
        <v>1013</v>
      </c>
      <c r="G389" s="86" t="s">
        <v>745</v>
      </c>
      <c r="H389" s="86" t="s">
        <v>1014</v>
      </c>
      <c r="I389" s="87" t="s">
        <v>1638</v>
      </c>
      <c r="J389" s="84" t="s">
        <v>554</v>
      </c>
      <c r="K389" s="84" t="s">
        <v>555</v>
      </c>
    </row>
    <row r="390" spans="1:11" ht="15.75" x14ac:dyDescent="0.3">
      <c r="A390" s="86" t="s">
        <v>1752</v>
      </c>
      <c r="B390" s="86" t="s">
        <v>1624</v>
      </c>
      <c r="C390" s="86" t="s">
        <v>293</v>
      </c>
      <c r="D390" s="86" t="s">
        <v>951</v>
      </c>
      <c r="E390" s="86" t="s">
        <v>267</v>
      </c>
      <c r="F390" s="86" t="s">
        <v>269</v>
      </c>
      <c r="G390" s="86" t="s">
        <v>745</v>
      </c>
      <c r="H390" s="86" t="s">
        <v>952</v>
      </c>
      <c r="I390" s="87" t="s">
        <v>1638</v>
      </c>
      <c r="J390" s="84" t="s">
        <v>554</v>
      </c>
      <c r="K390" s="84" t="s">
        <v>555</v>
      </c>
    </row>
    <row r="391" spans="1:11" ht="15.75" x14ac:dyDescent="0.3">
      <c r="A391" s="86" t="s">
        <v>1753</v>
      </c>
      <c r="B391" s="86" t="s">
        <v>1624</v>
      </c>
      <c r="C391" s="86" t="s">
        <v>292</v>
      </c>
      <c r="D391" s="86" t="s">
        <v>1189</v>
      </c>
      <c r="E391" s="86" t="s">
        <v>156</v>
      </c>
      <c r="F391" s="86" t="s">
        <v>158</v>
      </c>
      <c r="G391" s="86" t="s">
        <v>745</v>
      </c>
      <c r="H391" s="86" t="s">
        <v>1190</v>
      </c>
      <c r="I391" s="87" t="s">
        <v>1638</v>
      </c>
      <c r="J391" s="84" t="s">
        <v>554</v>
      </c>
      <c r="K391" s="84" t="s">
        <v>555</v>
      </c>
    </row>
    <row r="392" spans="1:11" ht="15.75" x14ac:dyDescent="0.3">
      <c r="A392" s="86" t="s">
        <v>1754</v>
      </c>
      <c r="B392" s="86" t="s">
        <v>1624</v>
      </c>
      <c r="C392" s="86" t="s">
        <v>293</v>
      </c>
      <c r="D392" s="86" t="s">
        <v>1755</v>
      </c>
      <c r="E392" s="86" t="s">
        <v>1756</v>
      </c>
      <c r="F392" s="86" t="s">
        <v>1757</v>
      </c>
      <c r="G392" s="86" t="s">
        <v>754</v>
      </c>
      <c r="H392" s="86" t="s">
        <v>1758</v>
      </c>
      <c r="I392" s="87" t="s">
        <v>1626</v>
      </c>
      <c r="J392" s="84" t="s">
        <v>554</v>
      </c>
      <c r="K392" s="84" t="s">
        <v>555</v>
      </c>
    </row>
    <row r="393" spans="1:11" ht="15.75" x14ac:dyDescent="0.3">
      <c r="A393" s="86" t="s">
        <v>1759</v>
      </c>
      <c r="B393" s="86" t="s">
        <v>1624</v>
      </c>
      <c r="C393" s="86" t="s">
        <v>293</v>
      </c>
      <c r="D393" s="86" t="s">
        <v>672</v>
      </c>
      <c r="E393" s="86" t="s">
        <v>673</v>
      </c>
      <c r="F393" s="86" t="s">
        <v>674</v>
      </c>
      <c r="G393" s="86" t="s">
        <v>675</v>
      </c>
      <c r="H393" s="86" t="s">
        <v>1228</v>
      </c>
      <c r="I393" s="87" t="s">
        <v>1626</v>
      </c>
      <c r="J393" s="84" t="s">
        <v>554</v>
      </c>
      <c r="K393" s="84" t="s">
        <v>555</v>
      </c>
    </row>
    <row r="394" spans="1:11" ht="15.75" x14ac:dyDescent="0.3">
      <c r="A394" s="86" t="s">
        <v>1760</v>
      </c>
      <c r="B394" s="86" t="s">
        <v>1624</v>
      </c>
      <c r="C394" s="86" t="s">
        <v>292</v>
      </c>
      <c r="D394" s="86" t="s">
        <v>940</v>
      </c>
      <c r="E394" s="86" t="s">
        <v>161</v>
      </c>
      <c r="F394" s="86" t="s">
        <v>163</v>
      </c>
      <c r="G394" s="86" t="s">
        <v>675</v>
      </c>
      <c r="H394" s="86" t="s">
        <v>941</v>
      </c>
      <c r="I394" s="87" t="s">
        <v>1638</v>
      </c>
      <c r="J394" s="84" t="s">
        <v>554</v>
      </c>
      <c r="K394" s="84" t="s">
        <v>555</v>
      </c>
    </row>
    <row r="395" spans="1:11" ht="15.75" x14ac:dyDescent="0.3">
      <c r="A395" s="86" t="s">
        <v>1761</v>
      </c>
      <c r="B395" s="86" t="s">
        <v>1624</v>
      </c>
      <c r="C395" s="86" t="s">
        <v>293</v>
      </c>
      <c r="D395" s="86" t="s">
        <v>1195</v>
      </c>
      <c r="E395" s="86" t="s">
        <v>272</v>
      </c>
      <c r="F395" s="86" t="s">
        <v>274</v>
      </c>
      <c r="G395" s="86" t="s">
        <v>675</v>
      </c>
      <c r="H395" s="86" t="s">
        <v>1196</v>
      </c>
      <c r="I395" s="87" t="s">
        <v>1626</v>
      </c>
      <c r="J395" s="84" t="s">
        <v>554</v>
      </c>
      <c r="K395" s="84" t="s">
        <v>555</v>
      </c>
    </row>
    <row r="396" spans="1:11" ht="15.75" x14ac:dyDescent="0.3">
      <c r="A396" s="86" t="s">
        <v>1762</v>
      </c>
      <c r="B396" s="86" t="s">
        <v>1624</v>
      </c>
      <c r="C396" s="86" t="s">
        <v>292</v>
      </c>
      <c r="D396" s="86" t="s">
        <v>1040</v>
      </c>
      <c r="E396" s="86" t="s">
        <v>248</v>
      </c>
      <c r="F396" s="86" t="s">
        <v>250</v>
      </c>
      <c r="G396" s="86" t="s">
        <v>807</v>
      </c>
      <c r="H396" s="86" t="s">
        <v>1763</v>
      </c>
      <c r="I396" s="87" t="s">
        <v>1626</v>
      </c>
      <c r="J396" s="84" t="s">
        <v>554</v>
      </c>
      <c r="K396" s="84" t="s">
        <v>555</v>
      </c>
    </row>
    <row r="397" spans="1:11" ht="15.75" x14ac:dyDescent="0.3">
      <c r="A397" s="86" t="s">
        <v>1764</v>
      </c>
      <c r="B397" s="86" t="s">
        <v>1624</v>
      </c>
      <c r="C397" s="86" t="s">
        <v>293</v>
      </c>
      <c r="D397" s="86" t="s">
        <v>985</v>
      </c>
      <c r="E397" s="86" t="s">
        <v>106</v>
      </c>
      <c r="F397" s="86" t="s">
        <v>108</v>
      </c>
      <c r="G397" s="86" t="s">
        <v>807</v>
      </c>
      <c r="H397" s="86" t="s">
        <v>986</v>
      </c>
      <c r="I397" s="87" t="s">
        <v>1626</v>
      </c>
      <c r="J397" s="84" t="s">
        <v>554</v>
      </c>
      <c r="K397" s="84" t="s">
        <v>555</v>
      </c>
    </row>
    <row r="398" spans="1:11" ht="15.75" x14ac:dyDescent="0.3">
      <c r="A398" s="86" t="s">
        <v>1765</v>
      </c>
      <c r="B398" s="86" t="s">
        <v>1624</v>
      </c>
      <c r="C398" s="86" t="s">
        <v>293</v>
      </c>
      <c r="D398" s="86" t="s">
        <v>1388</v>
      </c>
      <c r="E398" s="86" t="s">
        <v>101</v>
      </c>
      <c r="F398" s="86" t="s">
        <v>103</v>
      </c>
      <c r="G398" s="86" t="s">
        <v>807</v>
      </c>
      <c r="H398" s="86" t="s">
        <v>1766</v>
      </c>
      <c r="I398" s="87" t="s">
        <v>731</v>
      </c>
      <c r="J398" s="84" t="s">
        <v>554</v>
      </c>
      <c r="K398" s="84" t="s">
        <v>555</v>
      </c>
    </row>
    <row r="399" spans="1:11" ht="15.75" x14ac:dyDescent="0.3">
      <c r="A399" s="86" t="s">
        <v>1767</v>
      </c>
      <c r="B399" s="86" t="s">
        <v>1624</v>
      </c>
      <c r="C399" s="86" t="s">
        <v>292</v>
      </c>
      <c r="D399" s="86" t="s">
        <v>883</v>
      </c>
      <c r="E399" s="86" t="s">
        <v>75</v>
      </c>
      <c r="F399" s="86" t="s">
        <v>77</v>
      </c>
      <c r="G399" s="86" t="s">
        <v>807</v>
      </c>
      <c r="H399" s="86" t="s">
        <v>959</v>
      </c>
      <c r="I399" s="87" t="s">
        <v>1638</v>
      </c>
      <c r="J399" s="84" t="s">
        <v>554</v>
      </c>
      <c r="K399" s="84" t="s">
        <v>555</v>
      </c>
    </row>
    <row r="400" spans="1:11" ht="15.75" x14ac:dyDescent="0.3">
      <c r="A400" s="86" t="s">
        <v>1768</v>
      </c>
      <c r="B400" s="86" t="s">
        <v>1624</v>
      </c>
      <c r="C400" s="86" t="s">
        <v>293</v>
      </c>
      <c r="D400" s="86" t="s">
        <v>768</v>
      </c>
      <c r="E400" s="86" t="s">
        <v>769</v>
      </c>
      <c r="F400" s="86" t="s">
        <v>770</v>
      </c>
      <c r="G400" s="86" t="s">
        <v>990</v>
      </c>
      <c r="H400" s="86" t="s">
        <v>1769</v>
      </c>
      <c r="I400" s="87" t="s">
        <v>1638</v>
      </c>
      <c r="J400" s="84" t="s">
        <v>554</v>
      </c>
      <c r="K400" s="84" t="s">
        <v>555</v>
      </c>
    </row>
    <row r="401" spans="1:11" ht="15.75" x14ac:dyDescent="0.3">
      <c r="A401" s="86" t="s">
        <v>1770</v>
      </c>
      <c r="B401" s="86" t="s">
        <v>1624</v>
      </c>
      <c r="C401" s="86" t="s">
        <v>292</v>
      </c>
      <c r="D401" s="86" t="s">
        <v>989</v>
      </c>
      <c r="E401" s="86" t="s">
        <v>252</v>
      </c>
      <c r="F401" s="86" t="s">
        <v>254</v>
      </c>
      <c r="G401" s="86" t="s">
        <v>990</v>
      </c>
      <c r="H401" s="86" t="s">
        <v>991</v>
      </c>
      <c r="I401" s="87" t="s">
        <v>1638</v>
      </c>
      <c r="J401" s="84" t="s">
        <v>554</v>
      </c>
      <c r="K401" s="84" t="s">
        <v>555</v>
      </c>
    </row>
    <row r="402" spans="1:11" ht="15.75" x14ac:dyDescent="0.3">
      <c r="A402" s="86" t="s">
        <v>1771</v>
      </c>
      <c r="B402" s="86" t="s">
        <v>1624</v>
      </c>
      <c r="C402" s="86" t="s">
        <v>292</v>
      </c>
      <c r="D402" s="86" t="s">
        <v>1772</v>
      </c>
      <c r="E402" s="86" t="s">
        <v>1773</v>
      </c>
      <c r="F402" s="86" t="s">
        <v>1774</v>
      </c>
      <c r="G402" s="86" t="s">
        <v>551</v>
      </c>
      <c r="H402" s="86" t="s">
        <v>1775</v>
      </c>
      <c r="I402" s="87" t="s">
        <v>731</v>
      </c>
      <c r="J402" s="84" t="s">
        <v>554</v>
      </c>
      <c r="K402" s="84" t="s">
        <v>555</v>
      </c>
    </row>
    <row r="403" spans="1:11" ht="15.75" x14ac:dyDescent="0.3">
      <c r="A403" s="86" t="s">
        <v>1776</v>
      </c>
      <c r="B403" s="86" t="s">
        <v>1624</v>
      </c>
      <c r="C403" s="86" t="s">
        <v>292</v>
      </c>
      <c r="D403" s="86" t="s">
        <v>1772</v>
      </c>
      <c r="E403" s="86" t="s">
        <v>1773</v>
      </c>
      <c r="F403" s="86" t="s">
        <v>1774</v>
      </c>
      <c r="G403" s="86" t="s">
        <v>551</v>
      </c>
      <c r="H403" s="86" t="s">
        <v>1777</v>
      </c>
      <c r="I403" s="87" t="s">
        <v>1626</v>
      </c>
      <c r="J403" s="84" t="s">
        <v>554</v>
      </c>
      <c r="K403" s="84" t="s">
        <v>555</v>
      </c>
    </row>
    <row r="404" spans="1:11" ht="15.75" x14ac:dyDescent="0.3">
      <c r="A404" s="86" t="s">
        <v>1778</v>
      </c>
      <c r="B404" s="86" t="s">
        <v>1624</v>
      </c>
      <c r="C404" s="86" t="s">
        <v>293</v>
      </c>
      <c r="D404" s="86" t="s">
        <v>1779</v>
      </c>
      <c r="E404" s="86" t="s">
        <v>1780</v>
      </c>
      <c r="F404" s="86" t="s">
        <v>1781</v>
      </c>
      <c r="G404" s="86" t="s">
        <v>551</v>
      </c>
      <c r="H404" s="86" t="s">
        <v>1782</v>
      </c>
      <c r="I404" s="87" t="s">
        <v>1626</v>
      </c>
      <c r="J404" s="84" t="s">
        <v>554</v>
      </c>
      <c r="K404" s="84" t="s">
        <v>555</v>
      </c>
    </row>
    <row r="405" spans="1:11" ht="15.75" x14ac:dyDescent="0.3">
      <c r="A405" s="86" t="s">
        <v>1783</v>
      </c>
      <c r="B405" s="86" t="s">
        <v>620</v>
      </c>
      <c r="C405" s="86" t="s">
        <v>294</v>
      </c>
      <c r="D405" s="86" t="s">
        <v>1608</v>
      </c>
      <c r="E405" s="86" t="s">
        <v>1609</v>
      </c>
      <c r="F405" s="86" t="s">
        <v>1610</v>
      </c>
      <c r="G405" s="86" t="s">
        <v>622</v>
      </c>
      <c r="H405" s="86" t="s">
        <v>1611</v>
      </c>
      <c r="I405" s="87" t="s">
        <v>624</v>
      </c>
      <c r="J405" s="84" t="s">
        <v>554</v>
      </c>
      <c r="K405" s="84" t="s">
        <v>618</v>
      </c>
    </row>
    <row r="406" spans="1:11" ht="15.75" x14ac:dyDescent="0.3">
      <c r="A406" s="86" t="s">
        <v>1784</v>
      </c>
      <c r="B406" s="86" t="s">
        <v>620</v>
      </c>
      <c r="C406" s="86" t="s">
        <v>294</v>
      </c>
      <c r="D406" s="86" t="s">
        <v>1785</v>
      </c>
      <c r="E406" s="86" t="s">
        <v>1786</v>
      </c>
      <c r="F406" s="86" t="s">
        <v>1787</v>
      </c>
      <c r="G406" s="86" t="s">
        <v>754</v>
      </c>
      <c r="H406" s="86" t="s">
        <v>1788</v>
      </c>
      <c r="I406" s="87" t="s">
        <v>624</v>
      </c>
      <c r="J406" s="84" t="s">
        <v>554</v>
      </c>
      <c r="K406" s="84" t="s">
        <v>618</v>
      </c>
    </row>
    <row r="407" spans="1:11" ht="15.75" x14ac:dyDescent="0.3">
      <c r="A407" s="86" t="s">
        <v>1789</v>
      </c>
      <c r="B407" s="86" t="s">
        <v>620</v>
      </c>
      <c r="C407" s="86" t="s">
        <v>294</v>
      </c>
      <c r="D407" s="86" t="s">
        <v>834</v>
      </c>
      <c r="E407" s="86" t="s">
        <v>185</v>
      </c>
      <c r="F407" s="86" t="s">
        <v>187</v>
      </c>
      <c r="G407" s="86" t="s">
        <v>675</v>
      </c>
      <c r="H407" s="86" t="s">
        <v>1091</v>
      </c>
      <c r="I407" s="87" t="s">
        <v>624</v>
      </c>
      <c r="J407" s="84" t="s">
        <v>554</v>
      </c>
      <c r="K407" s="84" t="s">
        <v>618</v>
      </c>
    </row>
    <row r="408" spans="1:11" ht="15.75" x14ac:dyDescent="0.3">
      <c r="A408" s="86" t="s">
        <v>1790</v>
      </c>
      <c r="B408" s="86" t="s">
        <v>620</v>
      </c>
      <c r="C408" s="86" t="s">
        <v>294</v>
      </c>
      <c r="D408" s="86" t="s">
        <v>810</v>
      </c>
      <c r="E408" s="86" t="s">
        <v>811</v>
      </c>
      <c r="F408" s="86" t="s">
        <v>812</v>
      </c>
      <c r="G408" s="86" t="s">
        <v>807</v>
      </c>
      <c r="H408" s="86" t="s">
        <v>1791</v>
      </c>
      <c r="I408" s="87" t="s">
        <v>624</v>
      </c>
      <c r="J408" s="84" t="s">
        <v>554</v>
      </c>
      <c r="K408" s="84" t="s">
        <v>618</v>
      </c>
    </row>
    <row r="409" spans="1:11" ht="15.75" x14ac:dyDescent="0.3">
      <c r="A409" s="86" t="s">
        <v>1792</v>
      </c>
      <c r="B409" s="86" t="s">
        <v>620</v>
      </c>
      <c r="C409" s="86" t="s">
        <v>294</v>
      </c>
      <c r="D409" s="86" t="s">
        <v>597</v>
      </c>
      <c r="E409" s="86" t="s">
        <v>598</v>
      </c>
      <c r="F409" s="86" t="s">
        <v>599</v>
      </c>
      <c r="G409" s="86" t="s">
        <v>551</v>
      </c>
      <c r="H409" s="86" t="s">
        <v>1507</v>
      </c>
      <c r="I409" s="87" t="s">
        <v>624</v>
      </c>
      <c r="J409" s="84" t="s">
        <v>554</v>
      </c>
      <c r="K409" s="84" t="s">
        <v>618</v>
      </c>
    </row>
    <row r="410" spans="1:11" ht="15.75" x14ac:dyDescent="0.3">
      <c r="A410" s="86" t="s">
        <v>1793</v>
      </c>
      <c r="B410" s="86" t="s">
        <v>1794</v>
      </c>
      <c r="C410" s="86" t="s">
        <v>293</v>
      </c>
      <c r="D410" s="86" t="s">
        <v>1401</v>
      </c>
      <c r="E410" s="86" t="s">
        <v>1402</v>
      </c>
      <c r="F410" s="86" t="s">
        <v>64</v>
      </c>
      <c r="G410" s="86" t="s">
        <v>584</v>
      </c>
      <c r="H410" s="86" t="s">
        <v>1403</v>
      </c>
      <c r="I410" s="87" t="s">
        <v>1795</v>
      </c>
      <c r="J410" s="84" t="s">
        <v>554</v>
      </c>
      <c r="K410" s="84" t="s">
        <v>555</v>
      </c>
    </row>
    <row r="411" spans="1:11" ht="15.75" x14ac:dyDescent="0.3">
      <c r="A411" s="86" t="s">
        <v>1796</v>
      </c>
      <c r="B411" s="86" t="s">
        <v>1797</v>
      </c>
      <c r="C411" s="86" t="s">
        <v>292</v>
      </c>
      <c r="D411" s="86" t="s">
        <v>869</v>
      </c>
      <c r="E411" s="86" t="s">
        <v>57</v>
      </c>
      <c r="F411" s="86" t="s">
        <v>59</v>
      </c>
      <c r="G411" s="86" t="s">
        <v>584</v>
      </c>
      <c r="H411" s="86" t="s">
        <v>1798</v>
      </c>
      <c r="I411" s="87" t="s">
        <v>1799</v>
      </c>
      <c r="J411" s="84" t="s">
        <v>554</v>
      </c>
      <c r="K411" s="84" t="s">
        <v>555</v>
      </c>
    </row>
    <row r="412" spans="1:11" ht="15.75" x14ac:dyDescent="0.3">
      <c r="A412" s="86" t="s">
        <v>1800</v>
      </c>
      <c r="B412" s="86" t="s">
        <v>1797</v>
      </c>
      <c r="C412" s="86" t="s">
        <v>292</v>
      </c>
      <c r="D412" s="86" t="s">
        <v>869</v>
      </c>
      <c r="E412" s="86" t="s">
        <v>57</v>
      </c>
      <c r="F412" s="86" t="s">
        <v>59</v>
      </c>
      <c r="G412" s="86" t="s">
        <v>584</v>
      </c>
      <c r="H412" s="86" t="s">
        <v>1705</v>
      </c>
      <c r="I412" s="87" t="s">
        <v>1801</v>
      </c>
      <c r="J412" s="84" t="s">
        <v>554</v>
      </c>
      <c r="K412" s="84" t="s">
        <v>555</v>
      </c>
    </row>
    <row r="413" spans="1:11" ht="15.75" x14ac:dyDescent="0.3">
      <c r="A413" s="86" t="s">
        <v>1802</v>
      </c>
      <c r="B413" s="86" t="s">
        <v>1803</v>
      </c>
      <c r="C413" s="86" t="s">
        <v>292</v>
      </c>
      <c r="D413" s="86" t="s">
        <v>1366</v>
      </c>
      <c r="E413" s="86" t="s">
        <v>231</v>
      </c>
      <c r="F413" s="86" t="s">
        <v>233</v>
      </c>
      <c r="G413" s="86" t="s">
        <v>1367</v>
      </c>
      <c r="H413" s="86" t="s">
        <v>1625</v>
      </c>
      <c r="I413" s="87" t="s">
        <v>1804</v>
      </c>
      <c r="J413" s="84" t="s">
        <v>554</v>
      </c>
      <c r="K413" s="84" t="s">
        <v>555</v>
      </c>
    </row>
    <row r="414" spans="1:11" ht="15.75" x14ac:dyDescent="0.3">
      <c r="A414" s="86" t="s">
        <v>1805</v>
      </c>
      <c r="B414" s="86" t="s">
        <v>1803</v>
      </c>
      <c r="C414" s="86" t="s">
        <v>292</v>
      </c>
      <c r="D414" s="86" t="s">
        <v>1628</v>
      </c>
      <c r="E414" s="86" t="s">
        <v>1629</v>
      </c>
      <c r="F414" s="86" t="s">
        <v>1630</v>
      </c>
      <c r="G414" s="86" t="s">
        <v>701</v>
      </c>
      <c r="H414" s="86" t="s">
        <v>1631</v>
      </c>
      <c r="I414" s="87" t="s">
        <v>1806</v>
      </c>
      <c r="J414" s="84" t="s">
        <v>554</v>
      </c>
      <c r="K414" s="84" t="s">
        <v>555</v>
      </c>
    </row>
    <row r="415" spans="1:11" ht="15.75" x14ac:dyDescent="0.3">
      <c r="A415" s="86" t="s">
        <v>1807</v>
      </c>
      <c r="B415" s="86" t="s">
        <v>1803</v>
      </c>
      <c r="C415" s="86" t="s">
        <v>292</v>
      </c>
      <c r="D415" s="86" t="s">
        <v>639</v>
      </c>
      <c r="E415" s="86" t="s">
        <v>22</v>
      </c>
      <c r="F415" s="86" t="s">
        <v>24</v>
      </c>
      <c r="G415" s="86" t="s">
        <v>701</v>
      </c>
      <c r="H415" s="86" t="s">
        <v>977</v>
      </c>
      <c r="I415" s="87" t="s">
        <v>1808</v>
      </c>
      <c r="J415" s="84" t="s">
        <v>554</v>
      </c>
      <c r="K415" s="84" t="s">
        <v>555</v>
      </c>
    </row>
    <row r="416" spans="1:11" ht="15.75" x14ac:dyDescent="0.3">
      <c r="A416" s="86" t="s">
        <v>1809</v>
      </c>
      <c r="B416" s="86" t="s">
        <v>1803</v>
      </c>
      <c r="C416" s="86" t="s">
        <v>292</v>
      </c>
      <c r="D416" s="86" t="s">
        <v>1336</v>
      </c>
      <c r="E416" s="86" t="s">
        <v>235</v>
      </c>
      <c r="F416" s="86" t="s">
        <v>237</v>
      </c>
      <c r="G416" s="86" t="s">
        <v>701</v>
      </c>
      <c r="H416" s="86" t="s">
        <v>1810</v>
      </c>
      <c r="I416" s="87" t="s">
        <v>1804</v>
      </c>
      <c r="J416" s="84" t="s">
        <v>554</v>
      </c>
      <c r="K416" s="84" t="s">
        <v>555</v>
      </c>
    </row>
    <row r="417" spans="1:11" ht="15.75" x14ac:dyDescent="0.3">
      <c r="A417" s="86" t="s">
        <v>1811</v>
      </c>
      <c r="B417" s="86" t="s">
        <v>1803</v>
      </c>
      <c r="C417" s="86" t="s">
        <v>292</v>
      </c>
      <c r="D417" s="86" t="s">
        <v>1146</v>
      </c>
      <c r="E417" s="86" t="s">
        <v>239</v>
      </c>
      <c r="F417" s="86" t="s">
        <v>241</v>
      </c>
      <c r="G417" s="86" t="s">
        <v>824</v>
      </c>
      <c r="H417" s="86" t="s">
        <v>1147</v>
      </c>
      <c r="I417" s="87" t="s">
        <v>1806</v>
      </c>
      <c r="J417" s="84" t="s">
        <v>554</v>
      </c>
      <c r="K417" s="84" t="s">
        <v>555</v>
      </c>
    </row>
    <row r="418" spans="1:11" ht="15.75" x14ac:dyDescent="0.3">
      <c r="A418" s="86" t="s">
        <v>1812</v>
      </c>
      <c r="B418" s="86" t="s">
        <v>1803</v>
      </c>
      <c r="C418" s="86" t="s">
        <v>292</v>
      </c>
      <c r="D418" s="86" t="s">
        <v>1656</v>
      </c>
      <c r="E418" s="86" t="s">
        <v>1657</v>
      </c>
      <c r="F418" s="86" t="s">
        <v>1658</v>
      </c>
      <c r="G418" s="86" t="s">
        <v>824</v>
      </c>
      <c r="H418" s="86" t="s">
        <v>1659</v>
      </c>
      <c r="I418" s="87" t="s">
        <v>1808</v>
      </c>
      <c r="J418" s="84" t="s">
        <v>554</v>
      </c>
      <c r="K418" s="84" t="s">
        <v>555</v>
      </c>
    </row>
    <row r="419" spans="1:11" ht="15.75" x14ac:dyDescent="0.3">
      <c r="A419" s="86" t="s">
        <v>1813</v>
      </c>
      <c r="B419" s="86" t="s">
        <v>1803</v>
      </c>
      <c r="C419" s="86" t="s">
        <v>293</v>
      </c>
      <c r="D419" s="86" t="s">
        <v>621</v>
      </c>
      <c r="E419" s="86" t="s">
        <v>112</v>
      </c>
      <c r="F419" s="86" t="s">
        <v>114</v>
      </c>
      <c r="G419" s="86" t="s">
        <v>622</v>
      </c>
      <c r="H419" s="86" t="s">
        <v>1151</v>
      </c>
      <c r="I419" s="87" t="s">
        <v>1814</v>
      </c>
      <c r="J419" s="84" t="s">
        <v>554</v>
      </c>
      <c r="K419" s="84" t="s">
        <v>555</v>
      </c>
    </row>
    <row r="420" spans="1:11" ht="15.75" x14ac:dyDescent="0.3">
      <c r="A420" s="86" t="s">
        <v>1815</v>
      </c>
      <c r="B420" s="86" t="s">
        <v>1803</v>
      </c>
      <c r="C420" s="86" t="s">
        <v>293</v>
      </c>
      <c r="D420" s="86" t="s">
        <v>1156</v>
      </c>
      <c r="E420" s="86" t="s">
        <v>117</v>
      </c>
      <c r="F420" s="86" t="s">
        <v>119</v>
      </c>
      <c r="G420" s="86" t="s">
        <v>683</v>
      </c>
      <c r="H420" s="86" t="s">
        <v>1157</v>
      </c>
      <c r="I420" s="87" t="s">
        <v>1816</v>
      </c>
      <c r="J420" s="84" t="s">
        <v>554</v>
      </c>
      <c r="K420" s="84" t="s">
        <v>555</v>
      </c>
    </row>
    <row r="421" spans="1:11" ht="15.75" x14ac:dyDescent="0.3">
      <c r="A421" s="86" t="s">
        <v>1817</v>
      </c>
      <c r="B421" s="86" t="s">
        <v>1803</v>
      </c>
      <c r="C421" s="86" t="s">
        <v>292</v>
      </c>
      <c r="D421" s="86" t="s">
        <v>1159</v>
      </c>
      <c r="E421" s="86" t="s">
        <v>121</v>
      </c>
      <c r="F421" s="86" t="s">
        <v>123</v>
      </c>
      <c r="G421" s="86" t="s">
        <v>645</v>
      </c>
      <c r="H421" s="86" t="s">
        <v>1160</v>
      </c>
      <c r="I421" s="87" t="s">
        <v>1806</v>
      </c>
      <c r="J421" s="84" t="s">
        <v>554</v>
      </c>
      <c r="K421" s="84" t="s">
        <v>555</v>
      </c>
    </row>
    <row r="422" spans="1:11" ht="15.75" x14ac:dyDescent="0.3">
      <c r="A422" s="86" t="s">
        <v>1818</v>
      </c>
      <c r="B422" s="86" t="s">
        <v>1803</v>
      </c>
      <c r="C422" s="86" t="s">
        <v>293</v>
      </c>
      <c r="D422" s="86" t="s">
        <v>1359</v>
      </c>
      <c r="E422" s="86" t="s">
        <v>1360</v>
      </c>
      <c r="F422" s="86" t="s">
        <v>1361</v>
      </c>
      <c r="G422" s="86" t="s">
        <v>645</v>
      </c>
      <c r="H422" s="86" t="s">
        <v>1362</v>
      </c>
      <c r="I422" s="87" t="s">
        <v>1819</v>
      </c>
      <c r="J422" s="84" t="s">
        <v>554</v>
      </c>
      <c r="K422" s="84" t="s">
        <v>555</v>
      </c>
    </row>
    <row r="423" spans="1:11" ht="15.75" x14ac:dyDescent="0.3">
      <c r="A423" s="86" t="s">
        <v>1820</v>
      </c>
      <c r="B423" s="86" t="s">
        <v>1803</v>
      </c>
      <c r="C423" s="86" t="s">
        <v>293</v>
      </c>
      <c r="D423" s="86" t="s">
        <v>1174</v>
      </c>
      <c r="E423" s="86" t="s">
        <v>284</v>
      </c>
      <c r="F423" s="86" t="s">
        <v>192</v>
      </c>
      <c r="G423" s="86" t="s">
        <v>652</v>
      </c>
      <c r="H423" s="86" t="s">
        <v>1175</v>
      </c>
      <c r="I423" s="87" t="s">
        <v>1821</v>
      </c>
      <c r="J423" s="84" t="s">
        <v>554</v>
      </c>
      <c r="K423" s="84" t="s">
        <v>555</v>
      </c>
    </row>
    <row r="424" spans="1:11" ht="15.75" x14ac:dyDescent="0.3">
      <c r="A424" s="86" t="s">
        <v>1822</v>
      </c>
      <c r="B424" s="86" t="s">
        <v>1803</v>
      </c>
      <c r="C424" s="86" t="s">
        <v>293</v>
      </c>
      <c r="D424" s="86" t="s">
        <v>1235</v>
      </c>
      <c r="E424" s="86" t="s">
        <v>1236</v>
      </c>
      <c r="F424" s="86" t="s">
        <v>1237</v>
      </c>
      <c r="G424" s="86" t="s">
        <v>652</v>
      </c>
      <c r="H424" s="86" t="s">
        <v>1238</v>
      </c>
      <c r="I424" s="87" t="s">
        <v>1823</v>
      </c>
      <c r="J424" s="84" t="s">
        <v>554</v>
      </c>
      <c r="K424" s="84" t="s">
        <v>555</v>
      </c>
    </row>
    <row r="425" spans="1:11" ht="15.75" x14ac:dyDescent="0.3">
      <c r="A425" s="86" t="s">
        <v>1824</v>
      </c>
      <c r="B425" s="86" t="s">
        <v>1803</v>
      </c>
      <c r="C425" s="86" t="s">
        <v>293</v>
      </c>
      <c r="D425" s="86" t="s">
        <v>1021</v>
      </c>
      <c r="E425" s="86" t="s">
        <v>263</v>
      </c>
      <c r="F425" s="86" t="s">
        <v>265</v>
      </c>
      <c r="G425" s="86" t="s">
        <v>584</v>
      </c>
      <c r="H425" s="86" t="s">
        <v>1179</v>
      </c>
      <c r="I425" s="87" t="s">
        <v>1808</v>
      </c>
      <c r="J425" s="84" t="s">
        <v>554</v>
      </c>
      <c r="K425" s="84" t="s">
        <v>555</v>
      </c>
    </row>
    <row r="426" spans="1:11" ht="15.75" x14ac:dyDescent="0.3">
      <c r="A426" s="86" t="s">
        <v>1825</v>
      </c>
      <c r="B426" s="86" t="s">
        <v>1803</v>
      </c>
      <c r="C426" s="86" t="s">
        <v>292</v>
      </c>
      <c r="D426" s="86" t="s">
        <v>1826</v>
      </c>
      <c r="E426" s="86" t="s">
        <v>1827</v>
      </c>
      <c r="F426" s="86" t="s">
        <v>1828</v>
      </c>
      <c r="G426" s="86" t="s">
        <v>740</v>
      </c>
      <c r="H426" s="86" t="s">
        <v>1829</v>
      </c>
      <c r="I426" s="87" t="s">
        <v>1806</v>
      </c>
      <c r="J426" s="84" t="s">
        <v>554</v>
      </c>
      <c r="K426" s="84" t="s">
        <v>555</v>
      </c>
    </row>
    <row r="427" spans="1:11" ht="15.75" x14ac:dyDescent="0.3">
      <c r="A427" s="86" t="s">
        <v>1830</v>
      </c>
      <c r="B427" s="86" t="s">
        <v>1803</v>
      </c>
      <c r="C427" s="86" t="s">
        <v>292</v>
      </c>
      <c r="D427" s="86" t="s">
        <v>1729</v>
      </c>
      <c r="E427" s="86" t="s">
        <v>144</v>
      </c>
      <c r="F427" s="86" t="s">
        <v>146</v>
      </c>
      <c r="G427" s="86" t="s">
        <v>588</v>
      </c>
      <c r="H427" s="86" t="s">
        <v>1730</v>
      </c>
      <c r="I427" s="87" t="s">
        <v>1816</v>
      </c>
      <c r="J427" s="84" t="s">
        <v>554</v>
      </c>
      <c r="K427" s="84" t="s">
        <v>555</v>
      </c>
    </row>
    <row r="428" spans="1:11" ht="15.75" x14ac:dyDescent="0.3">
      <c r="A428" s="86" t="s">
        <v>1831</v>
      </c>
      <c r="B428" s="86" t="s">
        <v>1803</v>
      </c>
      <c r="C428" s="86" t="s">
        <v>292</v>
      </c>
      <c r="D428" s="86" t="s">
        <v>687</v>
      </c>
      <c r="E428" s="86" t="s">
        <v>152</v>
      </c>
      <c r="F428" s="86" t="s">
        <v>154</v>
      </c>
      <c r="G428" s="86" t="s">
        <v>594</v>
      </c>
      <c r="H428" s="86" t="s">
        <v>688</v>
      </c>
      <c r="I428" s="87" t="s">
        <v>1808</v>
      </c>
      <c r="J428" s="84" t="s">
        <v>554</v>
      </c>
      <c r="K428" s="84" t="s">
        <v>555</v>
      </c>
    </row>
    <row r="429" spans="1:11" ht="15.75" x14ac:dyDescent="0.3">
      <c r="A429" s="86" t="s">
        <v>1832</v>
      </c>
      <c r="B429" s="86" t="s">
        <v>1803</v>
      </c>
      <c r="C429" s="86" t="s">
        <v>292</v>
      </c>
      <c r="D429" s="86" t="s">
        <v>1189</v>
      </c>
      <c r="E429" s="86" t="s">
        <v>156</v>
      </c>
      <c r="F429" s="86" t="s">
        <v>158</v>
      </c>
      <c r="G429" s="86" t="s">
        <v>745</v>
      </c>
      <c r="H429" s="86" t="s">
        <v>1190</v>
      </c>
      <c r="I429" s="87" t="s">
        <v>1806</v>
      </c>
      <c r="J429" s="84" t="s">
        <v>554</v>
      </c>
      <c r="K429" s="84" t="s">
        <v>555</v>
      </c>
    </row>
    <row r="430" spans="1:11" ht="15.75" x14ac:dyDescent="0.3">
      <c r="A430" s="86" t="s">
        <v>1833</v>
      </c>
      <c r="B430" s="86" t="s">
        <v>1803</v>
      </c>
      <c r="C430" s="86" t="s">
        <v>293</v>
      </c>
      <c r="D430" s="86" t="s">
        <v>810</v>
      </c>
      <c r="E430" s="86" t="s">
        <v>1834</v>
      </c>
      <c r="F430" s="86" t="s">
        <v>812</v>
      </c>
      <c r="G430" s="86" t="s">
        <v>750</v>
      </c>
      <c r="H430" s="86" t="s">
        <v>1835</v>
      </c>
      <c r="I430" s="87" t="s">
        <v>1814</v>
      </c>
      <c r="J430" s="84" t="s">
        <v>554</v>
      </c>
      <c r="K430" s="84" t="s">
        <v>555</v>
      </c>
    </row>
    <row r="431" spans="1:11" ht="15.75" x14ac:dyDescent="0.3">
      <c r="A431" s="86" t="s">
        <v>1836</v>
      </c>
      <c r="B431" s="86" t="s">
        <v>1803</v>
      </c>
      <c r="C431" s="86" t="s">
        <v>292</v>
      </c>
      <c r="D431" s="86" t="s">
        <v>940</v>
      </c>
      <c r="E431" s="86" t="s">
        <v>161</v>
      </c>
      <c r="F431" s="86" t="s">
        <v>163</v>
      </c>
      <c r="G431" s="86" t="s">
        <v>675</v>
      </c>
      <c r="H431" s="86" t="s">
        <v>941</v>
      </c>
      <c r="I431" s="87" t="s">
        <v>1808</v>
      </c>
      <c r="J431" s="84" t="s">
        <v>554</v>
      </c>
      <c r="K431" s="84" t="s">
        <v>555</v>
      </c>
    </row>
    <row r="432" spans="1:11" ht="15.75" x14ac:dyDescent="0.3">
      <c r="A432" s="86" t="s">
        <v>1837</v>
      </c>
      <c r="B432" s="86" t="s">
        <v>1803</v>
      </c>
      <c r="C432" s="86" t="s">
        <v>293</v>
      </c>
      <c r="D432" s="86" t="s">
        <v>1195</v>
      </c>
      <c r="E432" s="86" t="s">
        <v>272</v>
      </c>
      <c r="F432" s="86" t="s">
        <v>274</v>
      </c>
      <c r="G432" s="86" t="s">
        <v>675</v>
      </c>
      <c r="H432" s="86" t="s">
        <v>1196</v>
      </c>
      <c r="I432" s="87" t="s">
        <v>1804</v>
      </c>
      <c r="J432" s="84" t="s">
        <v>554</v>
      </c>
      <c r="K432" s="84" t="s">
        <v>555</v>
      </c>
    </row>
    <row r="433" spans="1:11" ht="15.75" x14ac:dyDescent="0.3">
      <c r="A433" s="86" t="s">
        <v>1838</v>
      </c>
      <c r="B433" s="86" t="s">
        <v>1803</v>
      </c>
      <c r="C433" s="86" t="s">
        <v>292</v>
      </c>
      <c r="D433" s="86" t="s">
        <v>1025</v>
      </c>
      <c r="E433" s="86" t="s">
        <v>1202</v>
      </c>
      <c r="F433" s="86" t="s">
        <v>1027</v>
      </c>
      <c r="G433" s="86" t="s">
        <v>990</v>
      </c>
      <c r="H433" s="86" t="s">
        <v>1203</v>
      </c>
      <c r="I433" s="87" t="s">
        <v>731</v>
      </c>
      <c r="J433" s="84" t="s">
        <v>554</v>
      </c>
      <c r="K433" s="84" t="s">
        <v>555</v>
      </c>
    </row>
    <row r="434" spans="1:11" ht="15.75" x14ac:dyDescent="0.3">
      <c r="A434" s="86" t="s">
        <v>1839</v>
      </c>
      <c r="B434" s="86" t="s">
        <v>1803</v>
      </c>
      <c r="C434" s="86" t="s">
        <v>292</v>
      </c>
      <c r="D434" s="86" t="s">
        <v>1025</v>
      </c>
      <c r="E434" s="86" t="s">
        <v>1564</v>
      </c>
      <c r="F434" s="86" t="s">
        <v>1027</v>
      </c>
      <c r="G434" s="86" t="s">
        <v>551</v>
      </c>
      <c r="H434" s="86" t="s">
        <v>1565</v>
      </c>
      <c r="I434" s="87" t="s">
        <v>1840</v>
      </c>
      <c r="J434" s="84" t="s">
        <v>554</v>
      </c>
      <c r="K434" s="84" t="s">
        <v>555</v>
      </c>
    </row>
    <row r="435" spans="1:11" ht="15.75" x14ac:dyDescent="0.3">
      <c r="A435" s="86" t="s">
        <v>1841</v>
      </c>
      <c r="B435" s="86" t="s">
        <v>1803</v>
      </c>
      <c r="C435" s="86" t="s">
        <v>293</v>
      </c>
      <c r="D435" s="86" t="s">
        <v>1842</v>
      </c>
      <c r="E435" s="86" t="s">
        <v>1843</v>
      </c>
      <c r="F435" s="86" t="s">
        <v>1844</v>
      </c>
      <c r="G435" s="86" t="s">
        <v>551</v>
      </c>
      <c r="H435" s="86" t="s">
        <v>1845</v>
      </c>
      <c r="I435" s="87" t="s">
        <v>1061</v>
      </c>
      <c r="J435" s="84" t="s">
        <v>554</v>
      </c>
      <c r="K435" s="84" t="s">
        <v>555</v>
      </c>
    </row>
    <row r="436" spans="1:11" ht="15.75" x14ac:dyDescent="0.3">
      <c r="A436" s="86" t="s">
        <v>1846</v>
      </c>
      <c r="B436" s="86" t="s">
        <v>1803</v>
      </c>
      <c r="C436" s="86" t="s">
        <v>293</v>
      </c>
      <c r="D436" s="86" t="s">
        <v>1842</v>
      </c>
      <c r="E436" s="86" t="s">
        <v>1843</v>
      </c>
      <c r="F436" s="86" t="s">
        <v>1844</v>
      </c>
      <c r="G436" s="86" t="s">
        <v>551</v>
      </c>
      <c r="H436" s="86" t="s">
        <v>1847</v>
      </c>
      <c r="I436" s="87" t="s">
        <v>1848</v>
      </c>
      <c r="J436" s="84" t="s">
        <v>554</v>
      </c>
      <c r="K436" s="84" t="s">
        <v>555</v>
      </c>
    </row>
    <row r="437" spans="1:11" ht="15.75" x14ac:dyDescent="0.3">
      <c r="A437" s="86" t="s">
        <v>1849</v>
      </c>
      <c r="B437" s="86" t="s">
        <v>1803</v>
      </c>
      <c r="C437" s="86" t="s">
        <v>293</v>
      </c>
      <c r="D437" s="86" t="s">
        <v>1850</v>
      </c>
      <c r="E437" s="86" t="s">
        <v>1851</v>
      </c>
      <c r="F437" s="86" t="s">
        <v>1852</v>
      </c>
      <c r="G437" s="86" t="s">
        <v>551</v>
      </c>
      <c r="H437" s="86" t="s">
        <v>1853</v>
      </c>
      <c r="I437" s="87" t="s">
        <v>1840</v>
      </c>
      <c r="J437" s="84" t="s">
        <v>554</v>
      </c>
      <c r="K437" s="84" t="s">
        <v>555</v>
      </c>
    </row>
    <row r="438" spans="1:11" ht="15.75" x14ac:dyDescent="0.3">
      <c r="A438" s="86" t="s">
        <v>1854</v>
      </c>
      <c r="B438" s="86" t="s">
        <v>1803</v>
      </c>
      <c r="C438" s="86" t="s">
        <v>292</v>
      </c>
      <c r="D438" s="86" t="s">
        <v>1206</v>
      </c>
      <c r="E438" s="86" t="s">
        <v>244</v>
      </c>
      <c r="F438" s="86" t="s">
        <v>246</v>
      </c>
      <c r="G438" s="86" t="s">
        <v>551</v>
      </c>
      <c r="H438" s="86" t="s">
        <v>1855</v>
      </c>
      <c r="I438" s="87" t="s">
        <v>1823</v>
      </c>
      <c r="J438" s="84" t="s">
        <v>554</v>
      </c>
      <c r="K438" s="84" t="s">
        <v>555</v>
      </c>
    </row>
    <row r="439" spans="1:11" ht="15.75" x14ac:dyDescent="0.3">
      <c r="A439" s="86" t="s">
        <v>1856</v>
      </c>
      <c r="B439" s="86" t="s">
        <v>1857</v>
      </c>
      <c r="C439" s="86" t="s">
        <v>293</v>
      </c>
      <c r="D439" s="86" t="s">
        <v>821</v>
      </c>
      <c r="E439" s="86" t="s">
        <v>822</v>
      </c>
      <c r="F439" s="86" t="s">
        <v>823</v>
      </c>
      <c r="G439" s="86" t="s">
        <v>701</v>
      </c>
      <c r="H439" s="86" t="s">
        <v>1008</v>
      </c>
      <c r="I439" s="87" t="s">
        <v>1858</v>
      </c>
      <c r="J439" s="84" t="s">
        <v>554</v>
      </c>
      <c r="K439" s="84" t="s">
        <v>555</v>
      </c>
    </row>
    <row r="440" spans="1:11" ht="15.75" x14ac:dyDescent="0.3">
      <c r="A440" s="86" t="s">
        <v>1859</v>
      </c>
      <c r="B440" s="86" t="s">
        <v>1857</v>
      </c>
      <c r="C440" s="86" t="s">
        <v>293</v>
      </c>
      <c r="D440" s="86" t="s">
        <v>1860</v>
      </c>
      <c r="E440" s="86" t="s">
        <v>1861</v>
      </c>
      <c r="F440" s="86" t="s">
        <v>1862</v>
      </c>
      <c r="G440" s="86" t="s">
        <v>708</v>
      </c>
      <c r="H440" s="86" t="s">
        <v>1863</v>
      </c>
      <c r="I440" s="87" t="s">
        <v>1858</v>
      </c>
      <c r="J440" s="84" t="s">
        <v>554</v>
      </c>
      <c r="K440" s="84" t="s">
        <v>555</v>
      </c>
    </row>
    <row r="441" spans="1:11" ht="15.75" x14ac:dyDescent="0.3">
      <c r="A441" s="86" t="s">
        <v>1864</v>
      </c>
      <c r="B441" s="86" t="s">
        <v>1857</v>
      </c>
      <c r="C441" s="86" t="s">
        <v>293</v>
      </c>
      <c r="D441" s="86" t="s">
        <v>1344</v>
      </c>
      <c r="E441" s="86" t="s">
        <v>1345</v>
      </c>
      <c r="F441" s="86" t="s">
        <v>1346</v>
      </c>
      <c r="G441" s="86" t="s">
        <v>740</v>
      </c>
      <c r="H441" s="86" t="s">
        <v>1429</v>
      </c>
      <c r="I441" s="87" t="s">
        <v>1858</v>
      </c>
      <c r="J441" s="84" t="s">
        <v>554</v>
      </c>
      <c r="K441" s="84" t="s">
        <v>555</v>
      </c>
    </row>
    <row r="442" spans="1:11" ht="15.75" x14ac:dyDescent="0.3">
      <c r="A442" s="86" t="s">
        <v>1865</v>
      </c>
      <c r="B442" s="86" t="s">
        <v>1857</v>
      </c>
      <c r="C442" s="86" t="s">
        <v>292</v>
      </c>
      <c r="D442" s="86" t="s">
        <v>905</v>
      </c>
      <c r="E442" s="86" t="s">
        <v>139</v>
      </c>
      <c r="F442" s="86" t="s">
        <v>141</v>
      </c>
      <c r="G442" s="86" t="s">
        <v>851</v>
      </c>
      <c r="H442" s="86" t="s">
        <v>1184</v>
      </c>
      <c r="I442" s="87" t="s">
        <v>1858</v>
      </c>
      <c r="J442" s="84" t="s">
        <v>554</v>
      </c>
      <c r="K442" s="84" t="s">
        <v>555</v>
      </c>
    </row>
    <row r="443" spans="1:11" ht="15.75" x14ac:dyDescent="0.3">
      <c r="A443" s="86" t="s">
        <v>1866</v>
      </c>
      <c r="B443" s="86" t="s">
        <v>1857</v>
      </c>
      <c r="C443" s="86" t="s">
        <v>292</v>
      </c>
      <c r="D443" s="86" t="s">
        <v>695</v>
      </c>
      <c r="E443" s="86" t="s">
        <v>696</v>
      </c>
      <c r="F443" s="86" t="s">
        <v>697</v>
      </c>
      <c r="G443" s="86" t="s">
        <v>594</v>
      </c>
      <c r="H443" s="86" t="s">
        <v>1737</v>
      </c>
      <c r="I443" s="87" t="s">
        <v>1858</v>
      </c>
      <c r="J443" s="84" t="s">
        <v>554</v>
      </c>
      <c r="K443" s="84" t="s">
        <v>555</v>
      </c>
    </row>
    <row r="444" spans="1:11" ht="15.75" x14ac:dyDescent="0.3">
      <c r="A444" s="86" t="s">
        <v>1867</v>
      </c>
      <c r="B444" s="86" t="s">
        <v>1857</v>
      </c>
      <c r="C444" s="86" t="s">
        <v>293</v>
      </c>
      <c r="D444" s="86" t="s">
        <v>1192</v>
      </c>
      <c r="E444" s="86" t="s">
        <v>94</v>
      </c>
      <c r="F444" s="86" t="s">
        <v>96</v>
      </c>
      <c r="G444" s="86" t="s">
        <v>754</v>
      </c>
      <c r="H444" s="86" t="s">
        <v>1193</v>
      </c>
      <c r="I444" s="87" t="s">
        <v>1858</v>
      </c>
      <c r="J444" s="84" t="s">
        <v>554</v>
      </c>
      <c r="K444" s="84" t="s">
        <v>555</v>
      </c>
    </row>
    <row r="445" spans="1:11" ht="15.75" x14ac:dyDescent="0.3">
      <c r="A445" s="86" t="s">
        <v>1868</v>
      </c>
      <c r="B445" s="86" t="s">
        <v>1857</v>
      </c>
      <c r="C445" s="86" t="s">
        <v>293</v>
      </c>
      <c r="D445" s="86" t="s">
        <v>672</v>
      </c>
      <c r="E445" s="86" t="s">
        <v>673</v>
      </c>
      <c r="F445" s="86" t="s">
        <v>674</v>
      </c>
      <c r="G445" s="86" t="s">
        <v>675</v>
      </c>
      <c r="H445" s="86" t="s">
        <v>1228</v>
      </c>
      <c r="I445" s="87" t="s">
        <v>1858</v>
      </c>
      <c r="J445" s="84" t="s">
        <v>554</v>
      </c>
      <c r="K445" s="84" t="s">
        <v>555</v>
      </c>
    </row>
    <row r="446" spans="1:11" ht="15.75" x14ac:dyDescent="0.3">
      <c r="A446" s="86" t="s">
        <v>1869</v>
      </c>
      <c r="B446" s="86" t="s">
        <v>1857</v>
      </c>
      <c r="C446" s="86" t="s">
        <v>293</v>
      </c>
      <c r="D446" s="86" t="s">
        <v>1121</v>
      </c>
      <c r="E446" s="86" t="s">
        <v>1122</v>
      </c>
      <c r="F446" s="86" t="s">
        <v>1123</v>
      </c>
      <c r="G446" s="86" t="s">
        <v>675</v>
      </c>
      <c r="H446" s="86" t="s">
        <v>1124</v>
      </c>
      <c r="I446" s="87" t="s">
        <v>1858</v>
      </c>
      <c r="J446" s="84" t="s">
        <v>554</v>
      </c>
      <c r="K446" s="84" t="s">
        <v>555</v>
      </c>
    </row>
    <row r="447" spans="1:11" ht="15.75" x14ac:dyDescent="0.3">
      <c r="A447" s="86" t="s">
        <v>1870</v>
      </c>
      <c r="B447" s="86" t="s">
        <v>1857</v>
      </c>
      <c r="C447" s="86" t="s">
        <v>293</v>
      </c>
      <c r="D447" s="86" t="s">
        <v>768</v>
      </c>
      <c r="E447" s="86" t="s">
        <v>769</v>
      </c>
      <c r="F447" s="86" t="s">
        <v>770</v>
      </c>
      <c r="G447" s="86" t="s">
        <v>990</v>
      </c>
      <c r="H447" s="86" t="s">
        <v>1769</v>
      </c>
      <c r="I447" s="87" t="s">
        <v>1858</v>
      </c>
      <c r="J447" s="84" t="s">
        <v>554</v>
      </c>
      <c r="K447" s="84" t="s">
        <v>555</v>
      </c>
    </row>
    <row r="448" spans="1:11" ht="15.75" x14ac:dyDescent="0.3">
      <c r="A448" s="86" t="s">
        <v>1871</v>
      </c>
      <c r="B448" s="86" t="s">
        <v>1872</v>
      </c>
      <c r="C448" s="86" t="s">
        <v>293</v>
      </c>
      <c r="D448" s="86" t="s">
        <v>1192</v>
      </c>
      <c r="E448" s="86" t="s">
        <v>94</v>
      </c>
      <c r="F448" s="86" t="s">
        <v>96</v>
      </c>
      <c r="G448" s="86" t="s">
        <v>754</v>
      </c>
      <c r="H448" s="86" t="s">
        <v>1193</v>
      </c>
      <c r="I448" s="87" t="s">
        <v>1488</v>
      </c>
      <c r="J448" s="84" t="s">
        <v>554</v>
      </c>
      <c r="K448" s="84" t="s">
        <v>555</v>
      </c>
    </row>
    <row r="449" spans="1:11" ht="15.75" x14ac:dyDescent="0.3">
      <c r="A449" s="86" t="s">
        <v>1873</v>
      </c>
      <c r="B449" s="86" t="s">
        <v>1874</v>
      </c>
      <c r="C449" s="86" t="s">
        <v>293</v>
      </c>
      <c r="D449" s="86" t="s">
        <v>1156</v>
      </c>
      <c r="E449" s="86" t="s">
        <v>117</v>
      </c>
      <c r="F449" s="86" t="s">
        <v>119</v>
      </c>
      <c r="G449" s="86" t="s">
        <v>683</v>
      </c>
      <c r="H449" s="86" t="s">
        <v>1157</v>
      </c>
      <c r="I449" s="87" t="s">
        <v>1875</v>
      </c>
      <c r="J449" s="84" t="s">
        <v>554</v>
      </c>
      <c r="K449" s="84" t="s">
        <v>555</v>
      </c>
    </row>
    <row r="450" spans="1:11" ht="15.75" x14ac:dyDescent="0.3">
      <c r="A450" s="86" t="s">
        <v>1876</v>
      </c>
      <c r="B450" s="86" t="s">
        <v>1874</v>
      </c>
      <c r="C450" s="86" t="s">
        <v>293</v>
      </c>
      <c r="D450" s="86" t="s">
        <v>1174</v>
      </c>
      <c r="E450" s="86" t="s">
        <v>284</v>
      </c>
      <c r="F450" s="86" t="s">
        <v>192</v>
      </c>
      <c r="G450" s="86" t="s">
        <v>652</v>
      </c>
      <c r="H450" s="86" t="s">
        <v>1175</v>
      </c>
      <c r="I450" s="87" t="s">
        <v>1877</v>
      </c>
      <c r="J450" s="84" t="s">
        <v>554</v>
      </c>
      <c r="K450" s="84" t="s">
        <v>555</v>
      </c>
    </row>
    <row r="451" spans="1:11" ht="15.75" x14ac:dyDescent="0.3">
      <c r="A451" s="86" t="s">
        <v>1878</v>
      </c>
      <c r="B451" s="86" t="s">
        <v>1874</v>
      </c>
      <c r="C451" s="86" t="s">
        <v>293</v>
      </c>
      <c r="D451" s="86" t="s">
        <v>1021</v>
      </c>
      <c r="E451" s="86" t="s">
        <v>263</v>
      </c>
      <c r="F451" s="86" t="s">
        <v>265</v>
      </c>
      <c r="G451" s="86" t="s">
        <v>584</v>
      </c>
      <c r="H451" s="86" t="s">
        <v>1179</v>
      </c>
      <c r="I451" s="87" t="s">
        <v>1875</v>
      </c>
      <c r="J451" s="84" t="s">
        <v>554</v>
      </c>
      <c r="K451" s="84" t="s">
        <v>555</v>
      </c>
    </row>
    <row r="452" spans="1:11" ht="15.75" x14ac:dyDescent="0.3">
      <c r="A452" s="86" t="s">
        <v>1879</v>
      </c>
      <c r="B452" s="86" t="s">
        <v>1874</v>
      </c>
      <c r="C452" s="86" t="s">
        <v>292</v>
      </c>
      <c r="D452" s="86" t="s">
        <v>583</v>
      </c>
      <c r="E452" s="86" t="s">
        <v>53</v>
      </c>
      <c r="F452" s="86" t="s">
        <v>55</v>
      </c>
      <c r="G452" s="86" t="s">
        <v>661</v>
      </c>
      <c r="H452" s="86" t="s">
        <v>670</v>
      </c>
      <c r="I452" s="87" t="s">
        <v>1875</v>
      </c>
      <c r="J452" s="84" t="s">
        <v>554</v>
      </c>
      <c r="K452" s="84" t="s">
        <v>555</v>
      </c>
    </row>
    <row r="453" spans="1:11" ht="15.75" x14ac:dyDescent="0.3">
      <c r="A453" s="86" t="s">
        <v>1880</v>
      </c>
      <c r="B453" s="86" t="s">
        <v>1874</v>
      </c>
      <c r="C453" s="86" t="s">
        <v>293</v>
      </c>
      <c r="D453" s="86" t="s">
        <v>985</v>
      </c>
      <c r="E453" s="86" t="s">
        <v>106</v>
      </c>
      <c r="F453" s="86" t="s">
        <v>108</v>
      </c>
      <c r="G453" s="86" t="s">
        <v>807</v>
      </c>
      <c r="H453" s="86" t="s">
        <v>986</v>
      </c>
      <c r="I453" s="87" t="s">
        <v>1875</v>
      </c>
      <c r="J453" s="84" t="s">
        <v>554</v>
      </c>
      <c r="K453" s="84" t="s">
        <v>555</v>
      </c>
    </row>
    <row r="454" spans="1:11" ht="15.75" x14ac:dyDescent="0.3">
      <c r="A454" s="86" t="s">
        <v>1881</v>
      </c>
      <c r="B454" s="86" t="s">
        <v>1874</v>
      </c>
      <c r="C454" s="86" t="s">
        <v>292</v>
      </c>
      <c r="D454" s="86" t="s">
        <v>883</v>
      </c>
      <c r="E454" s="86" t="s">
        <v>75</v>
      </c>
      <c r="F454" s="86" t="s">
        <v>77</v>
      </c>
      <c r="G454" s="86" t="s">
        <v>807</v>
      </c>
      <c r="H454" s="86" t="s">
        <v>959</v>
      </c>
      <c r="I454" s="87" t="s">
        <v>1875</v>
      </c>
      <c r="J454" s="84" t="s">
        <v>554</v>
      </c>
      <c r="K454" s="84" t="s">
        <v>555</v>
      </c>
    </row>
    <row r="455" spans="1:11" ht="15.75" x14ac:dyDescent="0.3">
      <c r="A455" s="86" t="s">
        <v>1882</v>
      </c>
      <c r="B455" s="86" t="s">
        <v>1883</v>
      </c>
      <c r="C455" s="86" t="s">
        <v>293</v>
      </c>
      <c r="D455" s="86" t="s">
        <v>980</v>
      </c>
      <c r="E455" s="86" t="s">
        <v>224</v>
      </c>
      <c r="F455" s="86" t="s">
        <v>226</v>
      </c>
      <c r="G455" s="86" t="s">
        <v>652</v>
      </c>
      <c r="H455" s="86" t="s">
        <v>981</v>
      </c>
      <c r="I455" s="87" t="s">
        <v>1875</v>
      </c>
      <c r="J455" s="84" t="s">
        <v>554</v>
      </c>
      <c r="K455" s="84" t="s">
        <v>555</v>
      </c>
    </row>
    <row r="456" spans="1:11" ht="15.75" x14ac:dyDescent="0.3">
      <c r="A456" s="86" t="s">
        <v>1884</v>
      </c>
      <c r="B456" s="86" t="s">
        <v>1885</v>
      </c>
      <c r="C456" s="86" t="s">
        <v>292</v>
      </c>
      <c r="D456" s="86" t="s">
        <v>880</v>
      </c>
      <c r="E456" s="86" t="s">
        <v>71</v>
      </c>
      <c r="F456" s="86" t="s">
        <v>73</v>
      </c>
      <c r="G456" s="86" t="s">
        <v>807</v>
      </c>
      <c r="H456" s="86" t="s">
        <v>1198</v>
      </c>
      <c r="I456" s="87" t="s">
        <v>1886</v>
      </c>
      <c r="J456" s="84" t="s">
        <v>554</v>
      </c>
      <c r="K456" s="84" t="s">
        <v>555</v>
      </c>
    </row>
    <row r="457" spans="1:11" ht="15.75" x14ac:dyDescent="0.3">
      <c r="A457" s="86" t="s">
        <v>1887</v>
      </c>
      <c r="B457" s="86" t="s">
        <v>1888</v>
      </c>
      <c r="C457" s="86" t="s">
        <v>292</v>
      </c>
      <c r="D457" s="86" t="s">
        <v>1025</v>
      </c>
      <c r="E457" s="86" t="s">
        <v>1202</v>
      </c>
      <c r="F457" s="86" t="s">
        <v>1027</v>
      </c>
      <c r="G457" s="86" t="s">
        <v>990</v>
      </c>
      <c r="H457" s="86" t="s">
        <v>1203</v>
      </c>
      <c r="I457" s="87" t="s">
        <v>731</v>
      </c>
      <c r="J457" s="84" t="s">
        <v>554</v>
      </c>
      <c r="K457" s="84" t="s">
        <v>555</v>
      </c>
    </row>
    <row r="458" spans="1:11" ht="15.75" x14ac:dyDescent="0.3">
      <c r="A458" s="86" t="s">
        <v>1889</v>
      </c>
      <c r="B458" s="86" t="s">
        <v>1890</v>
      </c>
      <c r="C458" s="86" t="s">
        <v>292</v>
      </c>
      <c r="D458" s="86" t="s">
        <v>639</v>
      </c>
      <c r="E458" s="86" t="s">
        <v>22</v>
      </c>
      <c r="F458" s="86" t="s">
        <v>24</v>
      </c>
      <c r="G458" s="86" t="s">
        <v>701</v>
      </c>
      <c r="H458" s="86" t="s">
        <v>977</v>
      </c>
      <c r="I458" s="87" t="s">
        <v>1891</v>
      </c>
      <c r="J458" s="84" t="s">
        <v>554</v>
      </c>
      <c r="K458" s="84" t="s">
        <v>555</v>
      </c>
    </row>
    <row r="459" spans="1:11" ht="15.75" x14ac:dyDescent="0.3">
      <c r="A459" s="86" t="s">
        <v>1892</v>
      </c>
      <c r="B459" s="86" t="s">
        <v>1890</v>
      </c>
      <c r="C459" s="86" t="s">
        <v>292</v>
      </c>
      <c r="D459" s="86" t="s">
        <v>970</v>
      </c>
      <c r="E459" s="86" t="s">
        <v>971</v>
      </c>
      <c r="F459" s="86" t="s">
        <v>972</v>
      </c>
      <c r="G459" s="86" t="s">
        <v>708</v>
      </c>
      <c r="H459" s="86" t="s">
        <v>973</v>
      </c>
      <c r="I459" s="87" t="s">
        <v>1891</v>
      </c>
      <c r="J459" s="84" t="s">
        <v>554</v>
      </c>
      <c r="K459" s="84" t="s">
        <v>555</v>
      </c>
    </row>
    <row r="460" spans="1:11" ht="15.75" x14ac:dyDescent="0.3">
      <c r="A460" s="86" t="s">
        <v>1893</v>
      </c>
      <c r="B460" s="86" t="s">
        <v>1890</v>
      </c>
      <c r="C460" s="86" t="s">
        <v>293</v>
      </c>
      <c r="D460" s="86" t="s">
        <v>621</v>
      </c>
      <c r="E460" s="86" t="s">
        <v>112</v>
      </c>
      <c r="F460" s="86" t="s">
        <v>114</v>
      </c>
      <c r="G460" s="86" t="s">
        <v>622</v>
      </c>
      <c r="H460" s="86" t="s">
        <v>1151</v>
      </c>
      <c r="I460" s="87" t="s">
        <v>1891</v>
      </c>
      <c r="J460" s="84" t="s">
        <v>554</v>
      </c>
      <c r="K460" s="84" t="s">
        <v>555</v>
      </c>
    </row>
    <row r="461" spans="1:11" ht="15.75" x14ac:dyDescent="0.3">
      <c r="A461" s="86" t="s">
        <v>1894</v>
      </c>
      <c r="B461" s="86" t="s">
        <v>1890</v>
      </c>
      <c r="C461" s="86" t="s">
        <v>292</v>
      </c>
      <c r="D461" s="86" t="s">
        <v>1189</v>
      </c>
      <c r="E461" s="86" t="s">
        <v>156</v>
      </c>
      <c r="F461" s="86" t="s">
        <v>158</v>
      </c>
      <c r="G461" s="86" t="s">
        <v>745</v>
      </c>
      <c r="H461" s="86" t="s">
        <v>1190</v>
      </c>
      <c r="I461" s="87" t="s">
        <v>1891</v>
      </c>
      <c r="J461" s="84" t="s">
        <v>554</v>
      </c>
      <c r="K461" s="84" t="s">
        <v>555</v>
      </c>
    </row>
    <row r="462" spans="1:11" ht="15.75" x14ac:dyDescent="0.3">
      <c r="A462" s="86" t="s">
        <v>1895</v>
      </c>
      <c r="B462" s="86" t="s">
        <v>1896</v>
      </c>
      <c r="C462" s="86" t="s">
        <v>293</v>
      </c>
      <c r="D462" s="86" t="s">
        <v>834</v>
      </c>
      <c r="E462" s="86" t="s">
        <v>929</v>
      </c>
      <c r="F462" s="86" t="s">
        <v>187</v>
      </c>
      <c r="G462" s="86" t="s">
        <v>588</v>
      </c>
      <c r="H462" s="86" t="s">
        <v>983</v>
      </c>
      <c r="I462" s="87" t="s">
        <v>689</v>
      </c>
      <c r="J462" s="84" t="s">
        <v>554</v>
      </c>
      <c r="K462" s="84" t="s">
        <v>555</v>
      </c>
    </row>
    <row r="463" spans="1:11" ht="15.75" x14ac:dyDescent="0.3">
      <c r="A463" s="86" t="s">
        <v>1897</v>
      </c>
      <c r="B463" s="86" t="s">
        <v>1896</v>
      </c>
      <c r="C463" s="86" t="s">
        <v>292</v>
      </c>
      <c r="D463" s="86" t="s">
        <v>1011</v>
      </c>
      <c r="E463" s="86" t="s">
        <v>1012</v>
      </c>
      <c r="F463" s="86" t="s">
        <v>1013</v>
      </c>
      <c r="G463" s="86" t="s">
        <v>745</v>
      </c>
      <c r="H463" s="86" t="s">
        <v>1014</v>
      </c>
      <c r="I463" s="87" t="s">
        <v>689</v>
      </c>
      <c r="J463" s="84" t="s">
        <v>554</v>
      </c>
      <c r="K463" s="84" t="s">
        <v>555</v>
      </c>
    </row>
    <row r="464" spans="1:11" ht="15.75" x14ac:dyDescent="0.3">
      <c r="A464" s="86" t="s">
        <v>1898</v>
      </c>
      <c r="B464" s="86" t="s">
        <v>1899</v>
      </c>
      <c r="C464" s="86" t="s">
        <v>293</v>
      </c>
      <c r="D464" s="86" t="s">
        <v>1359</v>
      </c>
      <c r="E464" s="86" t="s">
        <v>1360</v>
      </c>
      <c r="F464" s="86" t="s">
        <v>1361</v>
      </c>
      <c r="G464" s="86" t="s">
        <v>645</v>
      </c>
      <c r="H464" s="86" t="s">
        <v>1362</v>
      </c>
      <c r="I464" s="87" t="s">
        <v>1488</v>
      </c>
      <c r="J464" s="84" t="s">
        <v>554</v>
      </c>
      <c r="K464" s="84" t="s">
        <v>555</v>
      </c>
    </row>
    <row r="465" spans="1:11" ht="15.75" x14ac:dyDescent="0.3">
      <c r="A465" s="86" t="s">
        <v>1900</v>
      </c>
      <c r="B465" s="86" t="s">
        <v>1901</v>
      </c>
      <c r="C465" s="86" t="s">
        <v>292</v>
      </c>
      <c r="D465" s="86" t="s">
        <v>905</v>
      </c>
      <c r="E465" s="86" t="s">
        <v>139</v>
      </c>
      <c r="F465" s="86" t="s">
        <v>141</v>
      </c>
      <c r="G465" s="86" t="s">
        <v>851</v>
      </c>
      <c r="H465" s="86" t="s">
        <v>1184</v>
      </c>
      <c r="I465" s="87" t="s">
        <v>1143</v>
      </c>
      <c r="J465" s="84" t="s">
        <v>554</v>
      </c>
      <c r="K465" s="84" t="s">
        <v>555</v>
      </c>
    </row>
    <row r="466" spans="1:11" ht="15.75" x14ac:dyDescent="0.3">
      <c r="A466" s="86" t="s">
        <v>1902</v>
      </c>
      <c r="B466" s="86" t="s">
        <v>1903</v>
      </c>
      <c r="C466" s="86" t="s">
        <v>293</v>
      </c>
      <c r="D466" s="86" t="s">
        <v>821</v>
      </c>
      <c r="E466" s="86" t="s">
        <v>822</v>
      </c>
      <c r="F466" s="86" t="s">
        <v>823</v>
      </c>
      <c r="G466" s="86" t="s">
        <v>701</v>
      </c>
      <c r="H466" s="86" t="s">
        <v>1008</v>
      </c>
      <c r="I466" s="87" t="s">
        <v>1904</v>
      </c>
      <c r="J466" s="84" t="s">
        <v>554</v>
      </c>
      <c r="K466" s="84" t="s">
        <v>555</v>
      </c>
    </row>
    <row r="467" spans="1:11" ht="15.75" x14ac:dyDescent="0.3">
      <c r="A467" s="86" t="s">
        <v>1905</v>
      </c>
      <c r="B467" s="86" t="s">
        <v>1906</v>
      </c>
      <c r="C467" s="86" t="s">
        <v>293</v>
      </c>
      <c r="D467" s="86" t="s">
        <v>821</v>
      </c>
      <c r="E467" s="86" t="s">
        <v>822</v>
      </c>
      <c r="F467" s="86" t="s">
        <v>823</v>
      </c>
      <c r="G467" s="86" t="s">
        <v>701</v>
      </c>
      <c r="H467" s="86" t="s">
        <v>1008</v>
      </c>
      <c r="I467" s="87" t="s">
        <v>1907</v>
      </c>
      <c r="J467" s="84" t="s">
        <v>554</v>
      </c>
      <c r="K467" s="84" t="s">
        <v>555</v>
      </c>
    </row>
    <row r="468" spans="1:11" ht="15.75" x14ac:dyDescent="0.3">
      <c r="A468" s="86" t="s">
        <v>1908</v>
      </c>
      <c r="B468" s="86" t="s">
        <v>1909</v>
      </c>
      <c r="C468" s="86" t="s">
        <v>292</v>
      </c>
      <c r="D468" s="86" t="s">
        <v>905</v>
      </c>
      <c r="E468" s="86" t="s">
        <v>139</v>
      </c>
      <c r="F468" s="86" t="s">
        <v>141</v>
      </c>
      <c r="G468" s="86" t="s">
        <v>851</v>
      </c>
      <c r="H468" s="86" t="s">
        <v>1184</v>
      </c>
      <c r="I468" s="87" t="s">
        <v>1910</v>
      </c>
      <c r="J468" s="84" t="s">
        <v>554</v>
      </c>
      <c r="K468" s="84" t="s">
        <v>555</v>
      </c>
    </row>
    <row r="469" spans="1:11" ht="15.75" x14ac:dyDescent="0.3">
      <c r="A469" s="86" t="s">
        <v>1911</v>
      </c>
      <c r="B469" s="86" t="s">
        <v>1909</v>
      </c>
      <c r="C469" s="86" t="s">
        <v>293</v>
      </c>
      <c r="D469" s="86" t="s">
        <v>1192</v>
      </c>
      <c r="E469" s="86" t="s">
        <v>94</v>
      </c>
      <c r="F469" s="86" t="s">
        <v>96</v>
      </c>
      <c r="G469" s="86" t="s">
        <v>754</v>
      </c>
      <c r="H469" s="86" t="s">
        <v>1193</v>
      </c>
      <c r="I469" s="87" t="s">
        <v>1910</v>
      </c>
      <c r="J469" s="84" t="s">
        <v>554</v>
      </c>
      <c r="K469" s="84" t="s">
        <v>555</v>
      </c>
    </row>
    <row r="470" spans="1:11" ht="15.75" x14ac:dyDescent="0.3">
      <c r="A470" s="86" t="s">
        <v>1912</v>
      </c>
      <c r="B470" s="86" t="s">
        <v>1913</v>
      </c>
      <c r="C470" s="86" t="s">
        <v>294</v>
      </c>
      <c r="D470" s="86" t="s">
        <v>1322</v>
      </c>
      <c r="E470" s="86" t="s">
        <v>1323</v>
      </c>
      <c r="F470" s="86" t="s">
        <v>1324</v>
      </c>
      <c r="G470" s="86" t="s">
        <v>652</v>
      </c>
      <c r="H470" s="86" t="s">
        <v>1325</v>
      </c>
      <c r="I470" s="87" t="s">
        <v>1914</v>
      </c>
      <c r="J470" s="84" t="s">
        <v>554</v>
      </c>
      <c r="K470" s="84" t="s">
        <v>555</v>
      </c>
    </row>
    <row r="471" spans="1:11" ht="15.75" x14ac:dyDescent="0.3">
      <c r="A471" s="86" t="s">
        <v>1915</v>
      </c>
      <c r="B471" s="86" t="s">
        <v>1916</v>
      </c>
      <c r="C471" s="86" t="s">
        <v>294</v>
      </c>
      <c r="D471" s="86" t="s">
        <v>1322</v>
      </c>
      <c r="E471" s="86" t="s">
        <v>1323</v>
      </c>
      <c r="F471" s="86" t="s">
        <v>1324</v>
      </c>
      <c r="G471" s="86" t="s">
        <v>652</v>
      </c>
      <c r="H471" s="86" t="s">
        <v>1325</v>
      </c>
      <c r="I471" s="87" t="s">
        <v>1917</v>
      </c>
      <c r="J471" s="84" t="s">
        <v>554</v>
      </c>
      <c r="K471" s="84" t="s">
        <v>555</v>
      </c>
    </row>
    <row r="472" spans="1:11" ht="15.75" x14ac:dyDescent="0.3">
      <c r="A472" s="86" t="s">
        <v>1918</v>
      </c>
      <c r="B472" s="86" t="s">
        <v>1919</v>
      </c>
      <c r="C472" s="86" t="s">
        <v>294</v>
      </c>
      <c r="D472" s="86" t="s">
        <v>1322</v>
      </c>
      <c r="E472" s="86" t="s">
        <v>1323</v>
      </c>
      <c r="F472" s="86" t="s">
        <v>1324</v>
      </c>
      <c r="G472" s="86" t="s">
        <v>652</v>
      </c>
      <c r="H472" s="86" t="s">
        <v>1325</v>
      </c>
      <c r="I472" s="87" t="s">
        <v>1920</v>
      </c>
      <c r="J472" s="84" t="s">
        <v>554</v>
      </c>
      <c r="K472" s="84" t="s">
        <v>555</v>
      </c>
    </row>
    <row r="473" spans="1:11" ht="15.75" x14ac:dyDescent="0.3">
      <c r="A473" s="86" t="s">
        <v>1921</v>
      </c>
      <c r="B473" s="86" t="s">
        <v>1919</v>
      </c>
      <c r="C473" s="86" t="s">
        <v>294</v>
      </c>
      <c r="D473" s="86" t="s">
        <v>591</v>
      </c>
      <c r="E473" s="86" t="s">
        <v>592</v>
      </c>
      <c r="F473" s="86" t="s">
        <v>593</v>
      </c>
      <c r="G473" s="86" t="s">
        <v>594</v>
      </c>
      <c r="H473" s="86" t="s">
        <v>1464</v>
      </c>
      <c r="I473" s="87" t="s">
        <v>1920</v>
      </c>
      <c r="J473" s="84" t="s">
        <v>554</v>
      </c>
      <c r="K473" s="84" t="s">
        <v>555</v>
      </c>
    </row>
    <row r="474" spans="1:11" ht="15.75" x14ac:dyDescent="0.3">
      <c r="A474" s="86" t="s">
        <v>1922</v>
      </c>
      <c r="B474" s="86" t="s">
        <v>1923</v>
      </c>
      <c r="C474" s="86" t="s">
        <v>294</v>
      </c>
      <c r="D474" s="86" t="s">
        <v>1322</v>
      </c>
      <c r="E474" s="86" t="s">
        <v>1323</v>
      </c>
      <c r="F474" s="86" t="s">
        <v>1324</v>
      </c>
      <c r="G474" s="86" t="s">
        <v>652</v>
      </c>
      <c r="H474" s="86" t="s">
        <v>1325</v>
      </c>
      <c r="I474" s="87" t="s">
        <v>1924</v>
      </c>
      <c r="J474" s="84" t="s">
        <v>554</v>
      </c>
      <c r="K474" s="84" t="s">
        <v>555</v>
      </c>
    </row>
    <row r="475" spans="1:11" ht="15.75" x14ac:dyDescent="0.3">
      <c r="A475" s="86" t="s">
        <v>1925</v>
      </c>
      <c r="B475" s="86" t="s">
        <v>1926</v>
      </c>
      <c r="C475" s="86" t="s">
        <v>292</v>
      </c>
      <c r="D475" s="86" t="s">
        <v>752</v>
      </c>
      <c r="E475" s="86" t="s">
        <v>215</v>
      </c>
      <c r="F475" s="86" t="s">
        <v>217</v>
      </c>
      <c r="G475" s="86" t="s">
        <v>691</v>
      </c>
      <c r="H475" s="86" t="s">
        <v>1927</v>
      </c>
      <c r="I475" s="87" t="s">
        <v>1928</v>
      </c>
      <c r="J475" s="84" t="s">
        <v>554</v>
      </c>
      <c r="K475" s="84" t="s">
        <v>555</v>
      </c>
    </row>
    <row r="476" spans="1:11" ht="15.75" x14ac:dyDescent="0.3">
      <c r="A476" s="86" t="s">
        <v>1929</v>
      </c>
      <c r="B476" s="86" t="s">
        <v>1930</v>
      </c>
      <c r="C476" s="86" t="s">
        <v>292</v>
      </c>
      <c r="D476" s="86" t="s">
        <v>905</v>
      </c>
      <c r="E476" s="86" t="s">
        <v>139</v>
      </c>
      <c r="F476" s="86" t="s">
        <v>141</v>
      </c>
      <c r="G476" s="86" t="s">
        <v>588</v>
      </c>
      <c r="H476" s="86" t="s">
        <v>906</v>
      </c>
      <c r="I476" s="87" t="s">
        <v>1931</v>
      </c>
      <c r="J476" s="84" t="s">
        <v>554</v>
      </c>
      <c r="K476" s="84" t="s">
        <v>555</v>
      </c>
    </row>
    <row r="477" spans="1:11" ht="15.75" x14ac:dyDescent="0.3">
      <c r="A477" s="86" t="s">
        <v>1932</v>
      </c>
      <c r="B477" s="86" t="s">
        <v>1933</v>
      </c>
      <c r="C477" s="86" t="s">
        <v>294</v>
      </c>
      <c r="D477" s="86" t="s">
        <v>597</v>
      </c>
      <c r="E477" s="86" t="s">
        <v>598</v>
      </c>
      <c r="F477" s="86" t="s">
        <v>599</v>
      </c>
      <c r="G477" s="86" t="s">
        <v>551</v>
      </c>
      <c r="H477" s="86" t="s">
        <v>1507</v>
      </c>
      <c r="I477" s="87" t="s">
        <v>1934</v>
      </c>
      <c r="J477" s="84" t="s">
        <v>554</v>
      </c>
      <c r="K477" s="84" t="s">
        <v>555</v>
      </c>
    </row>
    <row r="478" spans="1:11" ht="15.75" x14ac:dyDescent="0.3">
      <c r="A478" s="86" t="s">
        <v>1935</v>
      </c>
      <c r="B478" s="86" t="s">
        <v>1936</v>
      </c>
      <c r="C478" s="86" t="s">
        <v>293</v>
      </c>
      <c r="D478" s="86" t="s">
        <v>1279</v>
      </c>
      <c r="E478" s="86" t="s">
        <v>1937</v>
      </c>
      <c r="F478" s="86" t="s">
        <v>1281</v>
      </c>
      <c r="G478" s="86" t="s">
        <v>701</v>
      </c>
      <c r="H478" s="86" t="s">
        <v>1938</v>
      </c>
      <c r="I478" s="87" t="s">
        <v>1939</v>
      </c>
      <c r="J478" s="84" t="s">
        <v>554</v>
      </c>
      <c r="K478" s="84" t="s">
        <v>555</v>
      </c>
    </row>
    <row r="479" spans="1:11" ht="15.75" x14ac:dyDescent="0.3">
      <c r="A479" s="86" t="s">
        <v>1940</v>
      </c>
      <c r="B479" s="86" t="s">
        <v>1936</v>
      </c>
      <c r="C479" s="86" t="s">
        <v>292</v>
      </c>
      <c r="D479" s="86" t="s">
        <v>1941</v>
      </c>
      <c r="E479" s="86" t="s">
        <v>1942</v>
      </c>
      <c r="F479" s="86" t="s">
        <v>1943</v>
      </c>
      <c r="G479" s="86" t="s">
        <v>579</v>
      </c>
      <c r="H479" s="86" t="s">
        <v>1944</v>
      </c>
      <c r="I479" s="87" t="s">
        <v>1939</v>
      </c>
      <c r="J479" s="84" t="s">
        <v>554</v>
      </c>
      <c r="K479" s="84" t="s">
        <v>555</v>
      </c>
    </row>
    <row r="480" spans="1:11" ht="15.75" x14ac:dyDescent="0.3">
      <c r="A480" s="86" t="s">
        <v>1945</v>
      </c>
      <c r="B480" s="86" t="s">
        <v>1946</v>
      </c>
      <c r="C480" s="86" t="s">
        <v>292</v>
      </c>
      <c r="D480" s="86" t="s">
        <v>1336</v>
      </c>
      <c r="E480" s="86" t="s">
        <v>235</v>
      </c>
      <c r="F480" s="86" t="s">
        <v>237</v>
      </c>
      <c r="G480" s="86" t="s">
        <v>701</v>
      </c>
      <c r="H480" s="86" t="s">
        <v>1810</v>
      </c>
      <c r="I480" s="87" t="s">
        <v>1947</v>
      </c>
      <c r="J480" s="84" t="s">
        <v>554</v>
      </c>
      <c r="K480" s="84" t="s">
        <v>555</v>
      </c>
    </row>
    <row r="481" spans="1:11" ht="15.75" x14ac:dyDescent="0.3">
      <c r="A481" s="86" t="s">
        <v>1948</v>
      </c>
      <c r="B481" s="86" t="s">
        <v>1946</v>
      </c>
      <c r="C481" s="86" t="s">
        <v>293</v>
      </c>
      <c r="D481" s="86" t="s">
        <v>955</v>
      </c>
      <c r="E481" s="86" t="s">
        <v>38</v>
      </c>
      <c r="F481" s="86" t="s">
        <v>40</v>
      </c>
      <c r="G481" s="86" t="s">
        <v>622</v>
      </c>
      <c r="H481" s="86" t="s">
        <v>956</v>
      </c>
      <c r="I481" s="87" t="s">
        <v>1947</v>
      </c>
      <c r="J481" s="84" t="s">
        <v>554</v>
      </c>
      <c r="K481" s="84" t="s">
        <v>555</v>
      </c>
    </row>
    <row r="482" spans="1:11" ht="15.75" x14ac:dyDescent="0.3">
      <c r="A482" s="86" t="s">
        <v>1949</v>
      </c>
      <c r="B482" s="86" t="s">
        <v>1946</v>
      </c>
      <c r="C482" s="86" t="s">
        <v>293</v>
      </c>
      <c r="D482" s="86" t="s">
        <v>621</v>
      </c>
      <c r="E482" s="86" t="s">
        <v>112</v>
      </c>
      <c r="F482" s="86" t="s">
        <v>114</v>
      </c>
      <c r="G482" s="86" t="s">
        <v>622</v>
      </c>
      <c r="H482" s="86" t="s">
        <v>1151</v>
      </c>
      <c r="I482" s="87" t="s">
        <v>1947</v>
      </c>
      <c r="J482" s="84" t="s">
        <v>554</v>
      </c>
      <c r="K482" s="84" t="s">
        <v>555</v>
      </c>
    </row>
    <row r="483" spans="1:11" ht="15.75" x14ac:dyDescent="0.3">
      <c r="A483" s="86" t="s">
        <v>1950</v>
      </c>
      <c r="B483" s="86" t="s">
        <v>1946</v>
      </c>
      <c r="C483" s="86" t="s">
        <v>293</v>
      </c>
      <c r="D483" s="86" t="s">
        <v>1678</v>
      </c>
      <c r="E483" s="86" t="s">
        <v>1679</v>
      </c>
      <c r="F483" s="86" t="s">
        <v>1680</v>
      </c>
      <c r="G483" s="86" t="s">
        <v>965</v>
      </c>
      <c r="H483" s="86" t="s">
        <v>1681</v>
      </c>
      <c r="I483" s="87" t="s">
        <v>1947</v>
      </c>
      <c r="J483" s="84" t="s">
        <v>554</v>
      </c>
      <c r="K483" s="84" t="s">
        <v>555</v>
      </c>
    </row>
    <row r="484" spans="1:11" ht="15.75" x14ac:dyDescent="0.3">
      <c r="A484" s="86" t="s">
        <v>1951</v>
      </c>
      <c r="B484" s="86" t="s">
        <v>1946</v>
      </c>
      <c r="C484" s="86" t="s">
        <v>292</v>
      </c>
      <c r="D484" s="86" t="s">
        <v>1826</v>
      </c>
      <c r="E484" s="86" t="s">
        <v>1827</v>
      </c>
      <c r="F484" s="86" t="s">
        <v>1828</v>
      </c>
      <c r="G484" s="86" t="s">
        <v>740</v>
      </c>
      <c r="H484" s="86" t="s">
        <v>1829</v>
      </c>
      <c r="I484" s="87" t="s">
        <v>1947</v>
      </c>
      <c r="J484" s="84" t="s">
        <v>554</v>
      </c>
      <c r="K484" s="84" t="s">
        <v>555</v>
      </c>
    </row>
    <row r="485" spans="1:11" ht="15.75" x14ac:dyDescent="0.3">
      <c r="A485" s="86" t="s">
        <v>1952</v>
      </c>
      <c r="B485" s="86" t="s">
        <v>1946</v>
      </c>
      <c r="C485" s="86" t="s">
        <v>293</v>
      </c>
      <c r="D485" s="86" t="s">
        <v>1717</v>
      </c>
      <c r="E485" s="86" t="s">
        <v>67</v>
      </c>
      <c r="F485" s="86" t="s">
        <v>69</v>
      </c>
      <c r="G485" s="86" t="s">
        <v>691</v>
      </c>
      <c r="H485" s="86" t="s">
        <v>1718</v>
      </c>
      <c r="I485" s="87" t="s">
        <v>1947</v>
      </c>
      <c r="J485" s="84" t="s">
        <v>554</v>
      </c>
      <c r="K485" s="84" t="s">
        <v>555</v>
      </c>
    </row>
    <row r="486" spans="1:11" ht="15.75" x14ac:dyDescent="0.3">
      <c r="A486" s="86" t="s">
        <v>1953</v>
      </c>
      <c r="B486" s="86" t="s">
        <v>1946</v>
      </c>
      <c r="C486" s="86" t="s">
        <v>293</v>
      </c>
      <c r="D486" s="86" t="s">
        <v>1954</v>
      </c>
      <c r="E486" s="86" t="s">
        <v>1955</v>
      </c>
      <c r="F486" s="86" t="s">
        <v>1956</v>
      </c>
      <c r="G486" s="86" t="s">
        <v>851</v>
      </c>
      <c r="H486" s="86" t="s">
        <v>1957</v>
      </c>
      <c r="I486" s="87" t="s">
        <v>1947</v>
      </c>
      <c r="J486" s="84" t="s">
        <v>554</v>
      </c>
      <c r="K486" s="84" t="s">
        <v>555</v>
      </c>
    </row>
    <row r="487" spans="1:11" ht="15.75" x14ac:dyDescent="0.3">
      <c r="A487" s="86" t="s">
        <v>1958</v>
      </c>
      <c r="B487" s="86" t="s">
        <v>1946</v>
      </c>
      <c r="C487" s="86" t="s">
        <v>292</v>
      </c>
      <c r="D487" s="86" t="s">
        <v>752</v>
      </c>
      <c r="E487" s="86" t="s">
        <v>215</v>
      </c>
      <c r="F487" s="86" t="s">
        <v>217</v>
      </c>
      <c r="G487" s="86" t="s">
        <v>851</v>
      </c>
      <c r="H487" s="86" t="s">
        <v>1959</v>
      </c>
      <c r="I487" s="87" t="s">
        <v>1947</v>
      </c>
      <c r="J487" s="84" t="s">
        <v>554</v>
      </c>
      <c r="K487" s="84" t="s">
        <v>555</v>
      </c>
    </row>
    <row r="488" spans="1:11" ht="15.75" x14ac:dyDescent="0.3">
      <c r="A488" s="86" t="s">
        <v>1960</v>
      </c>
      <c r="B488" s="86" t="s">
        <v>1946</v>
      </c>
      <c r="C488" s="86" t="s">
        <v>292</v>
      </c>
      <c r="D488" s="86" t="s">
        <v>1729</v>
      </c>
      <c r="E488" s="86" t="s">
        <v>144</v>
      </c>
      <c r="F488" s="86" t="s">
        <v>146</v>
      </c>
      <c r="G488" s="86" t="s">
        <v>588</v>
      </c>
      <c r="H488" s="86" t="s">
        <v>1730</v>
      </c>
      <c r="I488" s="87" t="s">
        <v>1947</v>
      </c>
      <c r="J488" s="84" t="s">
        <v>554</v>
      </c>
      <c r="K488" s="84" t="s">
        <v>555</v>
      </c>
    </row>
    <row r="489" spans="1:11" ht="15.75" x14ac:dyDescent="0.3">
      <c r="A489" s="86" t="s">
        <v>1961</v>
      </c>
      <c r="B489" s="86" t="s">
        <v>1946</v>
      </c>
      <c r="C489" s="86" t="s">
        <v>293</v>
      </c>
      <c r="D489" s="86" t="s">
        <v>1732</v>
      </c>
      <c r="E489" s="86" t="s">
        <v>1733</v>
      </c>
      <c r="F489" s="86" t="s">
        <v>1734</v>
      </c>
      <c r="G489" s="86" t="s">
        <v>594</v>
      </c>
      <c r="H489" s="86" t="s">
        <v>1735</v>
      </c>
      <c r="I489" s="87" t="s">
        <v>1947</v>
      </c>
      <c r="J489" s="84" t="s">
        <v>554</v>
      </c>
      <c r="K489" s="84" t="s">
        <v>555</v>
      </c>
    </row>
    <row r="490" spans="1:11" ht="15.75" x14ac:dyDescent="0.3">
      <c r="A490" s="86" t="s">
        <v>1962</v>
      </c>
      <c r="B490" s="86" t="s">
        <v>1946</v>
      </c>
      <c r="C490" s="86" t="s">
        <v>293</v>
      </c>
      <c r="D490" s="86" t="s">
        <v>1385</v>
      </c>
      <c r="E490" s="86" t="s">
        <v>89</v>
      </c>
      <c r="F490" s="86" t="s">
        <v>91</v>
      </c>
      <c r="G490" s="86" t="s">
        <v>667</v>
      </c>
      <c r="H490" s="86" t="s">
        <v>1386</v>
      </c>
      <c r="I490" s="87" t="s">
        <v>1947</v>
      </c>
      <c r="J490" s="84" t="s">
        <v>554</v>
      </c>
      <c r="K490" s="84" t="s">
        <v>555</v>
      </c>
    </row>
    <row r="491" spans="1:11" ht="15.75" x14ac:dyDescent="0.3">
      <c r="A491" s="86" t="s">
        <v>1963</v>
      </c>
      <c r="B491" s="86" t="s">
        <v>1946</v>
      </c>
      <c r="C491" s="86" t="s">
        <v>292</v>
      </c>
      <c r="D491" s="86" t="s">
        <v>1011</v>
      </c>
      <c r="E491" s="86" t="s">
        <v>1012</v>
      </c>
      <c r="F491" s="86" t="s">
        <v>1013</v>
      </c>
      <c r="G491" s="86" t="s">
        <v>745</v>
      </c>
      <c r="H491" s="86" t="s">
        <v>1014</v>
      </c>
      <c r="I491" s="87" t="s">
        <v>1947</v>
      </c>
      <c r="J491" s="84" t="s">
        <v>554</v>
      </c>
      <c r="K491" s="84" t="s">
        <v>555</v>
      </c>
    </row>
    <row r="492" spans="1:11" ht="15.75" x14ac:dyDescent="0.3">
      <c r="A492" s="86" t="s">
        <v>1964</v>
      </c>
      <c r="B492" s="86" t="s">
        <v>1946</v>
      </c>
      <c r="C492" s="86" t="s">
        <v>293</v>
      </c>
      <c r="D492" s="86" t="s">
        <v>951</v>
      </c>
      <c r="E492" s="86" t="s">
        <v>267</v>
      </c>
      <c r="F492" s="86" t="s">
        <v>269</v>
      </c>
      <c r="G492" s="86" t="s">
        <v>745</v>
      </c>
      <c r="H492" s="86" t="s">
        <v>952</v>
      </c>
      <c r="I492" s="87" t="s">
        <v>1947</v>
      </c>
      <c r="J492" s="84" t="s">
        <v>554</v>
      </c>
      <c r="K492" s="84" t="s">
        <v>555</v>
      </c>
    </row>
    <row r="493" spans="1:11" ht="15.75" x14ac:dyDescent="0.3">
      <c r="A493" s="86" t="s">
        <v>1965</v>
      </c>
      <c r="B493" s="86" t="s">
        <v>1946</v>
      </c>
      <c r="C493" s="86" t="s">
        <v>292</v>
      </c>
      <c r="D493" s="86" t="s">
        <v>1189</v>
      </c>
      <c r="E493" s="86" t="s">
        <v>156</v>
      </c>
      <c r="F493" s="86" t="s">
        <v>158</v>
      </c>
      <c r="G493" s="86" t="s">
        <v>745</v>
      </c>
      <c r="H493" s="86" t="s">
        <v>1190</v>
      </c>
      <c r="I493" s="87" t="s">
        <v>1947</v>
      </c>
      <c r="J493" s="84" t="s">
        <v>554</v>
      </c>
      <c r="K493" s="84" t="s">
        <v>555</v>
      </c>
    </row>
    <row r="494" spans="1:11" ht="15.75" x14ac:dyDescent="0.3">
      <c r="A494" s="86" t="s">
        <v>1966</v>
      </c>
      <c r="B494" s="86" t="s">
        <v>1967</v>
      </c>
      <c r="C494" s="86" t="s">
        <v>292</v>
      </c>
      <c r="D494" s="86" t="s">
        <v>1366</v>
      </c>
      <c r="E494" s="86" t="s">
        <v>231</v>
      </c>
      <c r="F494" s="86" t="s">
        <v>233</v>
      </c>
      <c r="G494" s="86" t="s">
        <v>1367</v>
      </c>
      <c r="H494" s="86" t="s">
        <v>1625</v>
      </c>
      <c r="I494" s="87" t="s">
        <v>1947</v>
      </c>
      <c r="J494" s="84" t="s">
        <v>554</v>
      </c>
      <c r="K494" s="84" t="s">
        <v>555</v>
      </c>
    </row>
    <row r="495" spans="1:11" ht="15.75" x14ac:dyDescent="0.3">
      <c r="A495" s="86" t="s">
        <v>1968</v>
      </c>
      <c r="B495" s="86" t="s">
        <v>1967</v>
      </c>
      <c r="C495" s="86" t="s">
        <v>293</v>
      </c>
      <c r="D495" s="86" t="s">
        <v>1650</v>
      </c>
      <c r="E495" s="86" t="s">
        <v>1651</v>
      </c>
      <c r="F495" s="86" t="s">
        <v>1652</v>
      </c>
      <c r="G495" s="86" t="s">
        <v>640</v>
      </c>
      <c r="H495" s="86" t="s">
        <v>1653</v>
      </c>
      <c r="I495" s="87" t="s">
        <v>1947</v>
      </c>
      <c r="J495" s="84" t="s">
        <v>554</v>
      </c>
      <c r="K495" s="84" t="s">
        <v>555</v>
      </c>
    </row>
    <row r="496" spans="1:11" ht="15.75" x14ac:dyDescent="0.3">
      <c r="A496" s="86" t="s">
        <v>1969</v>
      </c>
      <c r="B496" s="86" t="s">
        <v>1967</v>
      </c>
      <c r="C496" s="86" t="s">
        <v>292</v>
      </c>
      <c r="D496" s="86" t="s">
        <v>1146</v>
      </c>
      <c r="E496" s="86" t="s">
        <v>239</v>
      </c>
      <c r="F496" s="86" t="s">
        <v>241</v>
      </c>
      <c r="G496" s="86" t="s">
        <v>824</v>
      </c>
      <c r="H496" s="86" t="s">
        <v>1147</v>
      </c>
      <c r="I496" s="87" t="s">
        <v>1947</v>
      </c>
      <c r="J496" s="84" t="s">
        <v>554</v>
      </c>
      <c r="K496" s="84" t="s">
        <v>555</v>
      </c>
    </row>
    <row r="497" spans="1:11" ht="15.75" x14ac:dyDescent="0.3">
      <c r="A497" s="86" t="s">
        <v>1970</v>
      </c>
      <c r="B497" s="86" t="s">
        <v>1967</v>
      </c>
      <c r="C497" s="86" t="s">
        <v>292</v>
      </c>
      <c r="D497" s="86" t="s">
        <v>1656</v>
      </c>
      <c r="E497" s="86" t="s">
        <v>1657</v>
      </c>
      <c r="F497" s="86" t="s">
        <v>1658</v>
      </c>
      <c r="G497" s="86" t="s">
        <v>824</v>
      </c>
      <c r="H497" s="86" t="s">
        <v>1659</v>
      </c>
      <c r="I497" s="87" t="s">
        <v>1947</v>
      </c>
      <c r="J497" s="84" t="s">
        <v>554</v>
      </c>
      <c r="K497" s="84" t="s">
        <v>555</v>
      </c>
    </row>
    <row r="498" spans="1:11" ht="15.75" x14ac:dyDescent="0.3">
      <c r="A498" s="86" t="s">
        <v>1971</v>
      </c>
      <c r="B498" s="86" t="s">
        <v>1967</v>
      </c>
      <c r="C498" s="86" t="s">
        <v>292</v>
      </c>
      <c r="D498" s="86" t="s">
        <v>587</v>
      </c>
      <c r="E498" s="86" t="s">
        <v>1661</v>
      </c>
      <c r="F498" s="86" t="s">
        <v>137</v>
      </c>
      <c r="G498" s="86" t="s">
        <v>824</v>
      </c>
      <c r="H498" s="86" t="s">
        <v>1662</v>
      </c>
      <c r="I498" s="87" t="s">
        <v>1947</v>
      </c>
      <c r="J498" s="84" t="s">
        <v>554</v>
      </c>
      <c r="K498" s="84" t="s">
        <v>555</v>
      </c>
    </row>
    <row r="499" spans="1:11" ht="15.75" x14ac:dyDescent="0.3">
      <c r="A499" s="86" t="s">
        <v>1972</v>
      </c>
      <c r="B499" s="86" t="s">
        <v>1967</v>
      </c>
      <c r="C499" s="86" t="s">
        <v>293</v>
      </c>
      <c r="D499" s="86" t="s">
        <v>1608</v>
      </c>
      <c r="E499" s="86" t="s">
        <v>1664</v>
      </c>
      <c r="F499" s="86" t="s">
        <v>1610</v>
      </c>
      <c r="G499" s="86" t="s">
        <v>708</v>
      </c>
      <c r="H499" s="86" t="s">
        <v>1665</v>
      </c>
      <c r="I499" s="87" t="s">
        <v>1947</v>
      </c>
      <c r="J499" s="84" t="s">
        <v>554</v>
      </c>
      <c r="K499" s="84" t="s">
        <v>555</v>
      </c>
    </row>
    <row r="500" spans="1:11" ht="15.75" x14ac:dyDescent="0.3">
      <c r="A500" s="86" t="s">
        <v>1973</v>
      </c>
      <c r="B500" s="86" t="s">
        <v>1967</v>
      </c>
      <c r="C500" s="86" t="s">
        <v>292</v>
      </c>
      <c r="D500" s="86" t="s">
        <v>970</v>
      </c>
      <c r="E500" s="86" t="s">
        <v>971</v>
      </c>
      <c r="F500" s="86" t="s">
        <v>972</v>
      </c>
      <c r="G500" s="86" t="s">
        <v>708</v>
      </c>
      <c r="H500" s="86" t="s">
        <v>973</v>
      </c>
      <c r="I500" s="87" t="s">
        <v>1947</v>
      </c>
      <c r="J500" s="84" t="s">
        <v>554</v>
      </c>
      <c r="K500" s="84" t="s">
        <v>555</v>
      </c>
    </row>
    <row r="501" spans="1:11" ht="15.75" x14ac:dyDescent="0.3">
      <c r="A501" s="86" t="s">
        <v>1974</v>
      </c>
      <c r="B501" s="86" t="s">
        <v>1967</v>
      </c>
      <c r="C501" s="86" t="s">
        <v>293</v>
      </c>
      <c r="D501" s="86" t="s">
        <v>962</v>
      </c>
      <c r="E501" s="86" t="s">
        <v>963</v>
      </c>
      <c r="F501" s="86" t="s">
        <v>964</v>
      </c>
      <c r="G501" s="86" t="s">
        <v>965</v>
      </c>
      <c r="H501" s="86" t="s">
        <v>966</v>
      </c>
      <c r="I501" s="87" t="s">
        <v>1947</v>
      </c>
      <c r="J501" s="84" t="s">
        <v>554</v>
      </c>
      <c r="K501" s="84" t="s">
        <v>555</v>
      </c>
    </row>
    <row r="502" spans="1:11" ht="15.75" x14ac:dyDescent="0.3">
      <c r="A502" s="86" t="s">
        <v>1975</v>
      </c>
      <c r="B502" s="86" t="s">
        <v>1967</v>
      </c>
      <c r="C502" s="86" t="s">
        <v>292</v>
      </c>
      <c r="D502" s="86" t="s">
        <v>1159</v>
      </c>
      <c r="E502" s="86" t="s">
        <v>121</v>
      </c>
      <c r="F502" s="86" t="s">
        <v>123</v>
      </c>
      <c r="G502" s="86" t="s">
        <v>645</v>
      </c>
      <c r="H502" s="86" t="s">
        <v>1160</v>
      </c>
      <c r="I502" s="87" t="s">
        <v>1947</v>
      </c>
      <c r="J502" s="84" t="s">
        <v>554</v>
      </c>
      <c r="K502" s="84" t="s">
        <v>555</v>
      </c>
    </row>
    <row r="503" spans="1:11" ht="15.75" x14ac:dyDescent="0.3">
      <c r="A503" s="86" t="s">
        <v>1976</v>
      </c>
      <c r="B503" s="86" t="s">
        <v>1967</v>
      </c>
      <c r="C503" s="86" t="s">
        <v>293</v>
      </c>
      <c r="D503" s="86" t="s">
        <v>1359</v>
      </c>
      <c r="E503" s="86" t="s">
        <v>1360</v>
      </c>
      <c r="F503" s="86" t="s">
        <v>1361</v>
      </c>
      <c r="G503" s="86" t="s">
        <v>645</v>
      </c>
      <c r="H503" s="86" t="s">
        <v>1362</v>
      </c>
      <c r="I503" s="87" t="s">
        <v>1947</v>
      </c>
      <c r="J503" s="84" t="s">
        <v>554</v>
      </c>
      <c r="K503" s="84" t="s">
        <v>555</v>
      </c>
    </row>
    <row r="504" spans="1:11" ht="15.75" x14ac:dyDescent="0.3">
      <c r="A504" s="86" t="s">
        <v>1977</v>
      </c>
      <c r="B504" s="86" t="s">
        <v>1967</v>
      </c>
      <c r="C504" s="86" t="s">
        <v>293</v>
      </c>
      <c r="D504" s="86" t="s">
        <v>1162</v>
      </c>
      <c r="E504" s="86" t="s">
        <v>1163</v>
      </c>
      <c r="F504" s="86" t="s">
        <v>1164</v>
      </c>
      <c r="G504" s="86" t="s">
        <v>579</v>
      </c>
      <c r="H504" s="86" t="s">
        <v>1165</v>
      </c>
      <c r="I504" s="87" t="s">
        <v>1947</v>
      </c>
      <c r="J504" s="84" t="s">
        <v>554</v>
      </c>
      <c r="K504" s="84" t="s">
        <v>555</v>
      </c>
    </row>
    <row r="505" spans="1:11" ht="15.75" x14ac:dyDescent="0.3">
      <c r="A505" s="86" t="s">
        <v>1978</v>
      </c>
      <c r="B505" s="86" t="s">
        <v>1967</v>
      </c>
      <c r="C505" s="86" t="s">
        <v>293</v>
      </c>
      <c r="D505" s="86" t="s">
        <v>1017</v>
      </c>
      <c r="E505" s="86" t="s">
        <v>259</v>
      </c>
      <c r="F505" s="86" t="s">
        <v>261</v>
      </c>
      <c r="G505" s="86" t="s">
        <v>579</v>
      </c>
      <c r="H505" s="86" t="s">
        <v>1167</v>
      </c>
      <c r="I505" s="87" t="s">
        <v>1947</v>
      </c>
      <c r="J505" s="84" t="s">
        <v>554</v>
      </c>
      <c r="K505" s="84" t="s">
        <v>555</v>
      </c>
    </row>
    <row r="506" spans="1:11" ht="15.75" x14ac:dyDescent="0.3">
      <c r="A506" s="86" t="s">
        <v>1979</v>
      </c>
      <c r="B506" s="86" t="s">
        <v>1967</v>
      </c>
      <c r="C506" s="86" t="s">
        <v>293</v>
      </c>
      <c r="D506" s="86" t="s">
        <v>1169</v>
      </c>
      <c r="E506" s="86" t="s">
        <v>1170</v>
      </c>
      <c r="F506" s="86" t="s">
        <v>1171</v>
      </c>
      <c r="G506" s="86" t="s">
        <v>579</v>
      </c>
      <c r="H506" s="86" t="s">
        <v>1172</v>
      </c>
      <c r="I506" s="87" t="s">
        <v>1947</v>
      </c>
      <c r="J506" s="84" t="s">
        <v>554</v>
      </c>
      <c r="K506" s="84" t="s">
        <v>555</v>
      </c>
    </row>
    <row r="507" spans="1:11" ht="15.75" x14ac:dyDescent="0.3">
      <c r="A507" s="86" t="s">
        <v>1980</v>
      </c>
      <c r="B507" s="86" t="s">
        <v>1967</v>
      </c>
      <c r="C507" s="86" t="s">
        <v>293</v>
      </c>
      <c r="D507" s="86" t="s">
        <v>924</v>
      </c>
      <c r="E507" s="86" t="s">
        <v>126</v>
      </c>
      <c r="F507" s="86" t="s">
        <v>128</v>
      </c>
      <c r="G507" s="86" t="s">
        <v>579</v>
      </c>
      <c r="H507" s="86" t="s">
        <v>1696</v>
      </c>
      <c r="I507" s="87" t="s">
        <v>1947</v>
      </c>
      <c r="J507" s="84" t="s">
        <v>554</v>
      </c>
      <c r="K507" s="84" t="s">
        <v>555</v>
      </c>
    </row>
    <row r="508" spans="1:11" ht="15.75" x14ac:dyDescent="0.3">
      <c r="A508" s="86" t="s">
        <v>1981</v>
      </c>
      <c r="B508" s="86" t="s">
        <v>1967</v>
      </c>
      <c r="C508" s="86" t="s">
        <v>293</v>
      </c>
      <c r="D508" s="86" t="s">
        <v>1174</v>
      </c>
      <c r="E508" s="86" t="s">
        <v>284</v>
      </c>
      <c r="F508" s="86" t="s">
        <v>192</v>
      </c>
      <c r="G508" s="86" t="s">
        <v>652</v>
      </c>
      <c r="H508" s="86" t="s">
        <v>1175</v>
      </c>
      <c r="I508" s="87" t="s">
        <v>1982</v>
      </c>
      <c r="J508" s="84" t="s">
        <v>554</v>
      </c>
      <c r="K508" s="84" t="s">
        <v>555</v>
      </c>
    </row>
    <row r="509" spans="1:11" ht="15.75" x14ac:dyDescent="0.3">
      <c r="A509" s="86" t="s">
        <v>1983</v>
      </c>
      <c r="B509" s="86" t="s">
        <v>1967</v>
      </c>
      <c r="C509" s="86" t="s">
        <v>293</v>
      </c>
      <c r="D509" s="86" t="s">
        <v>980</v>
      </c>
      <c r="E509" s="86" t="s">
        <v>224</v>
      </c>
      <c r="F509" s="86" t="s">
        <v>226</v>
      </c>
      <c r="G509" s="86" t="s">
        <v>652</v>
      </c>
      <c r="H509" s="86" t="s">
        <v>981</v>
      </c>
      <c r="I509" s="87" t="s">
        <v>1947</v>
      </c>
      <c r="J509" s="84" t="s">
        <v>554</v>
      </c>
      <c r="K509" s="84" t="s">
        <v>555</v>
      </c>
    </row>
    <row r="510" spans="1:11" ht="15.75" x14ac:dyDescent="0.3">
      <c r="A510" s="86" t="s">
        <v>1984</v>
      </c>
      <c r="B510" s="86" t="s">
        <v>1967</v>
      </c>
      <c r="C510" s="86" t="s">
        <v>293</v>
      </c>
      <c r="D510" s="86" t="s">
        <v>1235</v>
      </c>
      <c r="E510" s="86" t="s">
        <v>1236</v>
      </c>
      <c r="F510" s="86" t="s">
        <v>1237</v>
      </c>
      <c r="G510" s="86" t="s">
        <v>652</v>
      </c>
      <c r="H510" s="86" t="s">
        <v>1238</v>
      </c>
      <c r="I510" s="87" t="s">
        <v>1947</v>
      </c>
      <c r="J510" s="84" t="s">
        <v>554</v>
      </c>
      <c r="K510" s="84" t="s">
        <v>555</v>
      </c>
    </row>
    <row r="511" spans="1:11" ht="15.75" x14ac:dyDescent="0.3">
      <c r="A511" s="86" t="s">
        <v>1985</v>
      </c>
      <c r="B511" s="86" t="s">
        <v>1967</v>
      </c>
      <c r="C511" s="86" t="s">
        <v>293</v>
      </c>
      <c r="D511" s="86" t="s">
        <v>1021</v>
      </c>
      <c r="E511" s="86" t="s">
        <v>263</v>
      </c>
      <c r="F511" s="86" t="s">
        <v>265</v>
      </c>
      <c r="G511" s="86" t="s">
        <v>584</v>
      </c>
      <c r="H511" s="86" t="s">
        <v>1179</v>
      </c>
      <c r="I511" s="87" t="s">
        <v>1947</v>
      </c>
      <c r="J511" s="84" t="s">
        <v>554</v>
      </c>
      <c r="K511" s="84" t="s">
        <v>555</v>
      </c>
    </row>
    <row r="512" spans="1:11" ht="15.75" x14ac:dyDescent="0.3">
      <c r="A512" s="86" t="s">
        <v>1986</v>
      </c>
      <c r="B512" s="86" t="s">
        <v>1967</v>
      </c>
      <c r="C512" s="86" t="s">
        <v>292</v>
      </c>
      <c r="D512" s="86" t="s">
        <v>583</v>
      </c>
      <c r="E512" s="86" t="s">
        <v>53</v>
      </c>
      <c r="F512" s="86" t="s">
        <v>55</v>
      </c>
      <c r="G512" s="86" t="s">
        <v>661</v>
      </c>
      <c r="H512" s="86" t="s">
        <v>670</v>
      </c>
      <c r="I512" s="87" t="s">
        <v>1947</v>
      </c>
      <c r="J512" s="84" t="s">
        <v>554</v>
      </c>
      <c r="K512" s="84" t="s">
        <v>555</v>
      </c>
    </row>
    <row r="513" spans="1:11" ht="15.75" x14ac:dyDescent="0.3">
      <c r="A513" s="86" t="s">
        <v>1987</v>
      </c>
      <c r="B513" s="86" t="s">
        <v>1988</v>
      </c>
      <c r="C513" s="86" t="s">
        <v>292</v>
      </c>
      <c r="D513" s="86" t="s">
        <v>1628</v>
      </c>
      <c r="E513" s="86" t="s">
        <v>1629</v>
      </c>
      <c r="F513" s="86" t="s">
        <v>1630</v>
      </c>
      <c r="G513" s="86" t="s">
        <v>701</v>
      </c>
      <c r="H513" s="86" t="s">
        <v>1631</v>
      </c>
      <c r="I513" s="87" t="s">
        <v>1947</v>
      </c>
      <c r="J513" s="84" t="s">
        <v>554</v>
      </c>
      <c r="K513" s="84" t="s">
        <v>555</v>
      </c>
    </row>
    <row r="514" spans="1:11" ht="15.75" x14ac:dyDescent="0.3">
      <c r="A514" s="86" t="s">
        <v>1989</v>
      </c>
      <c r="B514" s="86" t="s">
        <v>1988</v>
      </c>
      <c r="C514" s="86" t="s">
        <v>292</v>
      </c>
      <c r="D514" s="86" t="s">
        <v>639</v>
      </c>
      <c r="E514" s="86" t="s">
        <v>22</v>
      </c>
      <c r="F514" s="86" t="s">
        <v>24</v>
      </c>
      <c r="G514" s="86" t="s">
        <v>701</v>
      </c>
      <c r="H514" s="86" t="s">
        <v>977</v>
      </c>
      <c r="I514" s="87" t="s">
        <v>1947</v>
      </c>
      <c r="J514" s="84" t="s">
        <v>554</v>
      </c>
      <c r="K514" s="84" t="s">
        <v>555</v>
      </c>
    </row>
    <row r="515" spans="1:11" ht="15.75" x14ac:dyDescent="0.3">
      <c r="A515" s="86" t="s">
        <v>1990</v>
      </c>
      <c r="B515" s="86" t="s">
        <v>1988</v>
      </c>
      <c r="C515" s="86" t="s">
        <v>293</v>
      </c>
      <c r="D515" s="86" t="s">
        <v>1153</v>
      </c>
      <c r="E515" s="86" t="s">
        <v>207</v>
      </c>
      <c r="F515" s="86" t="s">
        <v>209</v>
      </c>
      <c r="G515" s="86" t="s">
        <v>683</v>
      </c>
      <c r="H515" s="86" t="s">
        <v>1154</v>
      </c>
      <c r="I515" s="87" t="s">
        <v>1947</v>
      </c>
      <c r="J515" s="84" t="s">
        <v>554</v>
      </c>
      <c r="K515" s="84" t="s">
        <v>555</v>
      </c>
    </row>
    <row r="516" spans="1:11" ht="15.75" x14ac:dyDescent="0.3">
      <c r="A516" s="86" t="s">
        <v>1991</v>
      </c>
      <c r="B516" s="86" t="s">
        <v>1988</v>
      </c>
      <c r="C516" s="86" t="s">
        <v>293</v>
      </c>
      <c r="D516" s="86" t="s">
        <v>1156</v>
      </c>
      <c r="E516" s="86" t="s">
        <v>117</v>
      </c>
      <c r="F516" s="86" t="s">
        <v>119</v>
      </c>
      <c r="G516" s="86" t="s">
        <v>683</v>
      </c>
      <c r="H516" s="86" t="s">
        <v>1157</v>
      </c>
      <c r="I516" s="87" t="s">
        <v>1947</v>
      </c>
      <c r="J516" s="84" t="s">
        <v>554</v>
      </c>
      <c r="K516" s="84" t="s">
        <v>555</v>
      </c>
    </row>
    <row r="517" spans="1:11" ht="15.75" x14ac:dyDescent="0.3">
      <c r="A517" s="86" t="s">
        <v>1992</v>
      </c>
      <c r="B517" s="86" t="s">
        <v>1988</v>
      </c>
      <c r="C517" s="86" t="s">
        <v>293</v>
      </c>
      <c r="D517" s="86" t="s">
        <v>1352</v>
      </c>
      <c r="E517" s="86" t="s">
        <v>43</v>
      </c>
      <c r="F517" s="86" t="s">
        <v>45</v>
      </c>
      <c r="G517" s="86" t="s">
        <v>683</v>
      </c>
      <c r="H517" s="86" t="s">
        <v>1353</v>
      </c>
      <c r="I517" s="87" t="s">
        <v>1947</v>
      </c>
      <c r="J517" s="84" t="s">
        <v>554</v>
      </c>
      <c r="K517" s="84" t="s">
        <v>555</v>
      </c>
    </row>
    <row r="518" spans="1:11" ht="15.75" x14ac:dyDescent="0.3">
      <c r="A518" s="86" t="s">
        <v>1993</v>
      </c>
      <c r="B518" s="86" t="s">
        <v>1988</v>
      </c>
      <c r="C518" s="86" t="s">
        <v>293</v>
      </c>
      <c r="D518" s="86" t="s">
        <v>1401</v>
      </c>
      <c r="E518" s="86" t="s">
        <v>1402</v>
      </c>
      <c r="F518" s="86" t="s">
        <v>64</v>
      </c>
      <c r="G518" s="86" t="s">
        <v>584</v>
      </c>
      <c r="H518" s="86" t="s">
        <v>1994</v>
      </c>
      <c r="I518" s="87" t="s">
        <v>1947</v>
      </c>
      <c r="J518" s="84" t="s">
        <v>554</v>
      </c>
      <c r="K518" s="84" t="s">
        <v>555</v>
      </c>
    </row>
    <row r="519" spans="1:11" ht="15.75" x14ac:dyDescent="0.3">
      <c r="A519" s="86" t="s">
        <v>1995</v>
      </c>
      <c r="B519" s="86" t="s">
        <v>1988</v>
      </c>
      <c r="C519" s="86" t="s">
        <v>293</v>
      </c>
      <c r="D519" s="86" t="s">
        <v>838</v>
      </c>
      <c r="E519" s="86" t="s">
        <v>1382</v>
      </c>
      <c r="F519" s="86" t="s">
        <v>840</v>
      </c>
      <c r="G519" s="86" t="s">
        <v>851</v>
      </c>
      <c r="H519" s="86" t="s">
        <v>1725</v>
      </c>
      <c r="I519" s="87" t="s">
        <v>1947</v>
      </c>
      <c r="J519" s="84" t="s">
        <v>554</v>
      </c>
      <c r="K519" s="84" t="s">
        <v>555</v>
      </c>
    </row>
    <row r="520" spans="1:11" ht="15.75" x14ac:dyDescent="0.3">
      <c r="A520" s="86" t="s">
        <v>1996</v>
      </c>
      <c r="B520" s="86" t="s">
        <v>1988</v>
      </c>
      <c r="C520" s="86" t="s">
        <v>293</v>
      </c>
      <c r="D520" s="86" t="s">
        <v>834</v>
      </c>
      <c r="E520" s="86" t="s">
        <v>929</v>
      </c>
      <c r="F520" s="86" t="s">
        <v>187</v>
      </c>
      <c r="G520" s="86" t="s">
        <v>588</v>
      </c>
      <c r="H520" s="86" t="s">
        <v>983</v>
      </c>
      <c r="I520" s="87" t="s">
        <v>1947</v>
      </c>
      <c r="J520" s="84" t="s">
        <v>554</v>
      </c>
      <c r="K520" s="84" t="s">
        <v>555</v>
      </c>
    </row>
    <row r="521" spans="1:11" ht="15.75" x14ac:dyDescent="0.3">
      <c r="A521" s="86" t="s">
        <v>1997</v>
      </c>
      <c r="B521" s="86" t="s">
        <v>1988</v>
      </c>
      <c r="C521" s="86" t="s">
        <v>292</v>
      </c>
      <c r="D521" s="86" t="s">
        <v>742</v>
      </c>
      <c r="E521" s="86" t="s">
        <v>1998</v>
      </c>
      <c r="F521" s="86" t="s">
        <v>744</v>
      </c>
      <c r="G521" s="86" t="s">
        <v>594</v>
      </c>
      <c r="H521" s="86" t="s">
        <v>1999</v>
      </c>
      <c r="I521" s="87" t="s">
        <v>1947</v>
      </c>
      <c r="J521" s="84" t="s">
        <v>554</v>
      </c>
      <c r="K521" s="84" t="s">
        <v>555</v>
      </c>
    </row>
    <row r="522" spans="1:11" ht="15.75" x14ac:dyDescent="0.3">
      <c r="A522" s="86" t="s">
        <v>2000</v>
      </c>
      <c r="B522" s="86" t="s">
        <v>1988</v>
      </c>
      <c r="C522" s="86" t="s">
        <v>293</v>
      </c>
      <c r="D522" s="86" t="s">
        <v>1739</v>
      </c>
      <c r="E522" s="86" t="s">
        <v>148</v>
      </c>
      <c r="F522" s="86" t="s">
        <v>150</v>
      </c>
      <c r="G522" s="86" t="s">
        <v>594</v>
      </c>
      <c r="H522" s="86" t="s">
        <v>1740</v>
      </c>
      <c r="I522" s="87" t="s">
        <v>1947</v>
      </c>
      <c r="J522" s="84" t="s">
        <v>554</v>
      </c>
      <c r="K522" s="84" t="s">
        <v>555</v>
      </c>
    </row>
    <row r="523" spans="1:11" ht="15.75" x14ac:dyDescent="0.3">
      <c r="A523" s="86" t="s">
        <v>2001</v>
      </c>
      <c r="B523" s="86" t="s">
        <v>1988</v>
      </c>
      <c r="C523" s="86" t="s">
        <v>292</v>
      </c>
      <c r="D523" s="86" t="s">
        <v>687</v>
      </c>
      <c r="E523" s="86" t="s">
        <v>152</v>
      </c>
      <c r="F523" s="86" t="s">
        <v>154</v>
      </c>
      <c r="G523" s="86" t="s">
        <v>594</v>
      </c>
      <c r="H523" s="86" t="s">
        <v>688</v>
      </c>
      <c r="I523" s="87" t="s">
        <v>1947</v>
      </c>
      <c r="J523" s="84" t="s">
        <v>554</v>
      </c>
      <c r="K523" s="84" t="s">
        <v>555</v>
      </c>
    </row>
    <row r="524" spans="1:11" ht="15.75" x14ac:dyDescent="0.3">
      <c r="A524" s="86" t="s">
        <v>2002</v>
      </c>
      <c r="B524" s="86" t="s">
        <v>1988</v>
      </c>
      <c r="C524" s="86" t="s">
        <v>293</v>
      </c>
      <c r="D524" s="86" t="s">
        <v>810</v>
      </c>
      <c r="E524" s="86" t="s">
        <v>1834</v>
      </c>
      <c r="F524" s="86" t="s">
        <v>812</v>
      </c>
      <c r="G524" s="86" t="s">
        <v>750</v>
      </c>
      <c r="H524" s="86" t="s">
        <v>1835</v>
      </c>
      <c r="I524" s="87" t="s">
        <v>1947</v>
      </c>
      <c r="J524" s="84" t="s">
        <v>554</v>
      </c>
      <c r="K524" s="84" t="s">
        <v>555</v>
      </c>
    </row>
    <row r="525" spans="1:11" ht="15.75" x14ac:dyDescent="0.3">
      <c r="A525" s="86" t="s">
        <v>949</v>
      </c>
      <c r="B525" s="86" t="s">
        <v>1988</v>
      </c>
      <c r="C525" s="86" t="s">
        <v>292</v>
      </c>
      <c r="D525" s="86" t="s">
        <v>1025</v>
      </c>
      <c r="E525" s="86" t="s">
        <v>1202</v>
      </c>
      <c r="F525" s="86" t="s">
        <v>1027</v>
      </c>
      <c r="G525" s="86" t="s">
        <v>990</v>
      </c>
      <c r="H525" s="86" t="s">
        <v>1203</v>
      </c>
      <c r="I525" s="87" t="s">
        <v>731</v>
      </c>
      <c r="J525" s="84" t="s">
        <v>554</v>
      </c>
      <c r="K525" s="84" t="s">
        <v>555</v>
      </c>
    </row>
    <row r="526" spans="1:11" ht="15.75" x14ac:dyDescent="0.3">
      <c r="A526" s="86" t="s">
        <v>2003</v>
      </c>
      <c r="B526" s="86" t="s">
        <v>1988</v>
      </c>
      <c r="C526" s="86" t="s">
        <v>292</v>
      </c>
      <c r="D526" s="86" t="s">
        <v>989</v>
      </c>
      <c r="E526" s="86" t="s">
        <v>252</v>
      </c>
      <c r="F526" s="86" t="s">
        <v>254</v>
      </c>
      <c r="G526" s="86" t="s">
        <v>990</v>
      </c>
      <c r="H526" s="86" t="s">
        <v>991</v>
      </c>
      <c r="I526" s="87" t="s">
        <v>1947</v>
      </c>
      <c r="J526" s="84" t="s">
        <v>554</v>
      </c>
      <c r="K526" s="84" t="s">
        <v>555</v>
      </c>
    </row>
    <row r="527" spans="1:11" ht="15.75" x14ac:dyDescent="0.3">
      <c r="A527" s="86" t="s">
        <v>2004</v>
      </c>
      <c r="B527" s="86" t="s">
        <v>1988</v>
      </c>
      <c r="C527" s="86" t="s">
        <v>292</v>
      </c>
      <c r="D527" s="86" t="s">
        <v>1025</v>
      </c>
      <c r="E527" s="86" t="s">
        <v>1564</v>
      </c>
      <c r="F527" s="86" t="s">
        <v>1027</v>
      </c>
      <c r="G527" s="86" t="s">
        <v>551</v>
      </c>
      <c r="H527" s="86" t="s">
        <v>1565</v>
      </c>
      <c r="I527" s="87" t="s">
        <v>1947</v>
      </c>
      <c r="J527" s="84" t="s">
        <v>554</v>
      </c>
      <c r="K527" s="84" t="s">
        <v>555</v>
      </c>
    </row>
    <row r="528" spans="1:11" ht="15.75" x14ac:dyDescent="0.3">
      <c r="A528" s="86" t="s">
        <v>2005</v>
      </c>
      <c r="B528" s="86" t="s">
        <v>1988</v>
      </c>
      <c r="C528" s="86" t="s">
        <v>293</v>
      </c>
      <c r="D528" s="86" t="s">
        <v>1842</v>
      </c>
      <c r="E528" s="86" t="s">
        <v>1843</v>
      </c>
      <c r="F528" s="86" t="s">
        <v>1844</v>
      </c>
      <c r="G528" s="86" t="s">
        <v>551</v>
      </c>
      <c r="H528" s="86" t="s">
        <v>1845</v>
      </c>
      <c r="I528" s="87" t="s">
        <v>1947</v>
      </c>
      <c r="J528" s="84" t="s">
        <v>554</v>
      </c>
      <c r="K528" s="84" t="s">
        <v>555</v>
      </c>
    </row>
    <row r="529" spans="1:11" ht="15.75" x14ac:dyDescent="0.3">
      <c r="A529" s="86" t="s">
        <v>2006</v>
      </c>
      <c r="B529" s="86" t="s">
        <v>1988</v>
      </c>
      <c r="C529" s="86" t="s">
        <v>293</v>
      </c>
      <c r="D529" s="86" t="s">
        <v>1850</v>
      </c>
      <c r="E529" s="86" t="s">
        <v>1851</v>
      </c>
      <c r="F529" s="86" t="s">
        <v>1852</v>
      </c>
      <c r="G529" s="86" t="s">
        <v>551</v>
      </c>
      <c r="H529" s="86" t="s">
        <v>1853</v>
      </c>
      <c r="I529" s="87" t="s">
        <v>1947</v>
      </c>
      <c r="J529" s="84" t="s">
        <v>554</v>
      </c>
      <c r="K529" s="84" t="s">
        <v>555</v>
      </c>
    </row>
    <row r="530" spans="1:11" ht="15.75" x14ac:dyDescent="0.3">
      <c r="A530" s="86" t="s">
        <v>2007</v>
      </c>
      <c r="B530" s="86" t="s">
        <v>1988</v>
      </c>
      <c r="C530" s="86" t="s">
        <v>292</v>
      </c>
      <c r="D530" s="86" t="s">
        <v>1206</v>
      </c>
      <c r="E530" s="86" t="s">
        <v>244</v>
      </c>
      <c r="F530" s="86" t="s">
        <v>246</v>
      </c>
      <c r="G530" s="86" t="s">
        <v>551</v>
      </c>
      <c r="H530" s="86" t="s">
        <v>1207</v>
      </c>
      <c r="I530" s="87" t="s">
        <v>1947</v>
      </c>
      <c r="J530" s="84" t="s">
        <v>554</v>
      </c>
      <c r="K530" s="84" t="s">
        <v>555</v>
      </c>
    </row>
    <row r="531" spans="1:11" ht="15.75" x14ac:dyDescent="0.3">
      <c r="A531" s="86" t="s">
        <v>2008</v>
      </c>
      <c r="B531" s="86" t="s">
        <v>2009</v>
      </c>
      <c r="C531" s="86" t="s">
        <v>292</v>
      </c>
      <c r="D531" s="86" t="s">
        <v>947</v>
      </c>
      <c r="E531" s="86" t="s">
        <v>131</v>
      </c>
      <c r="F531" s="86" t="s">
        <v>133</v>
      </c>
      <c r="G531" s="86" t="s">
        <v>740</v>
      </c>
      <c r="H531" s="86" t="s">
        <v>1710</v>
      </c>
      <c r="I531" s="87" t="s">
        <v>1947</v>
      </c>
      <c r="J531" s="84" t="s">
        <v>554</v>
      </c>
      <c r="K531" s="84" t="s">
        <v>555</v>
      </c>
    </row>
    <row r="532" spans="1:11" ht="15.75" x14ac:dyDescent="0.3">
      <c r="A532" s="86" t="s">
        <v>2010</v>
      </c>
      <c r="B532" s="86" t="s">
        <v>2009</v>
      </c>
      <c r="C532" s="86" t="s">
        <v>292</v>
      </c>
      <c r="D532" s="86" t="s">
        <v>940</v>
      </c>
      <c r="E532" s="86" t="s">
        <v>161</v>
      </c>
      <c r="F532" s="86" t="s">
        <v>163</v>
      </c>
      <c r="G532" s="86" t="s">
        <v>675</v>
      </c>
      <c r="H532" s="86" t="s">
        <v>941</v>
      </c>
      <c r="I532" s="87" t="s">
        <v>1947</v>
      </c>
      <c r="J532" s="84" t="s">
        <v>554</v>
      </c>
      <c r="K532" s="84" t="s">
        <v>555</v>
      </c>
    </row>
    <row r="533" spans="1:11" ht="15.75" x14ac:dyDescent="0.3">
      <c r="A533" s="86" t="s">
        <v>2011</v>
      </c>
      <c r="B533" s="86" t="s">
        <v>2009</v>
      </c>
      <c r="C533" s="86" t="s">
        <v>293</v>
      </c>
      <c r="D533" s="86" t="s">
        <v>1195</v>
      </c>
      <c r="E533" s="86" t="s">
        <v>272</v>
      </c>
      <c r="F533" s="86" t="s">
        <v>274</v>
      </c>
      <c r="G533" s="86" t="s">
        <v>675</v>
      </c>
      <c r="H533" s="86" t="s">
        <v>1196</v>
      </c>
      <c r="I533" s="87" t="s">
        <v>1947</v>
      </c>
      <c r="J533" s="84" t="s">
        <v>554</v>
      </c>
      <c r="K533" s="84" t="s">
        <v>555</v>
      </c>
    </row>
    <row r="534" spans="1:11" ht="15.75" x14ac:dyDescent="0.3">
      <c r="A534" s="86" t="s">
        <v>2012</v>
      </c>
      <c r="B534" s="86" t="s">
        <v>2009</v>
      </c>
      <c r="C534" s="86" t="s">
        <v>292</v>
      </c>
      <c r="D534" s="86" t="s">
        <v>1040</v>
      </c>
      <c r="E534" s="86" t="s">
        <v>248</v>
      </c>
      <c r="F534" s="86" t="s">
        <v>250</v>
      </c>
      <c r="G534" s="86" t="s">
        <v>807</v>
      </c>
      <c r="H534" s="86" t="s">
        <v>1763</v>
      </c>
      <c r="I534" s="87" t="s">
        <v>1947</v>
      </c>
      <c r="J534" s="84" t="s">
        <v>554</v>
      </c>
      <c r="K534" s="84" t="s">
        <v>555</v>
      </c>
    </row>
    <row r="535" spans="1:11" ht="15.75" x14ac:dyDescent="0.3">
      <c r="A535" s="86" t="s">
        <v>2013</v>
      </c>
      <c r="B535" s="86" t="s">
        <v>2009</v>
      </c>
      <c r="C535" s="86" t="s">
        <v>292</v>
      </c>
      <c r="D535" s="86" t="s">
        <v>880</v>
      </c>
      <c r="E535" s="86" t="s">
        <v>71</v>
      </c>
      <c r="F535" s="86" t="s">
        <v>73</v>
      </c>
      <c r="G535" s="86" t="s">
        <v>807</v>
      </c>
      <c r="H535" s="86" t="s">
        <v>1198</v>
      </c>
      <c r="I535" s="87" t="s">
        <v>1947</v>
      </c>
      <c r="J535" s="84" t="s">
        <v>554</v>
      </c>
      <c r="K535" s="84" t="s">
        <v>555</v>
      </c>
    </row>
    <row r="536" spans="1:11" ht="15.75" x14ac:dyDescent="0.3">
      <c r="A536" s="86" t="s">
        <v>2014</v>
      </c>
      <c r="B536" s="86" t="s">
        <v>2009</v>
      </c>
      <c r="C536" s="86" t="s">
        <v>293</v>
      </c>
      <c r="D536" s="86" t="s">
        <v>985</v>
      </c>
      <c r="E536" s="86" t="s">
        <v>106</v>
      </c>
      <c r="F536" s="86" t="s">
        <v>108</v>
      </c>
      <c r="G536" s="86" t="s">
        <v>807</v>
      </c>
      <c r="H536" s="86" t="s">
        <v>986</v>
      </c>
      <c r="I536" s="87" t="s">
        <v>1947</v>
      </c>
      <c r="J536" s="84" t="s">
        <v>554</v>
      </c>
      <c r="K536" s="84" t="s">
        <v>555</v>
      </c>
    </row>
    <row r="537" spans="1:11" ht="15.75" x14ac:dyDescent="0.3">
      <c r="A537" s="86" t="s">
        <v>2015</v>
      </c>
      <c r="B537" s="86" t="s">
        <v>2009</v>
      </c>
      <c r="C537" s="86" t="s">
        <v>293</v>
      </c>
      <c r="D537" s="86" t="s">
        <v>1388</v>
      </c>
      <c r="E537" s="86" t="s">
        <v>101</v>
      </c>
      <c r="F537" s="86" t="s">
        <v>103</v>
      </c>
      <c r="G537" s="86" t="s">
        <v>807</v>
      </c>
      <c r="H537" s="86" t="s">
        <v>1766</v>
      </c>
      <c r="I537" s="87" t="s">
        <v>1947</v>
      </c>
      <c r="J537" s="84" t="s">
        <v>554</v>
      </c>
      <c r="K537" s="84" t="s">
        <v>555</v>
      </c>
    </row>
    <row r="538" spans="1:11" ht="15.75" x14ac:dyDescent="0.3">
      <c r="A538" s="86" t="s">
        <v>2016</v>
      </c>
      <c r="B538" s="86" t="s">
        <v>2009</v>
      </c>
      <c r="C538" s="86" t="s">
        <v>292</v>
      </c>
      <c r="D538" s="86" t="s">
        <v>883</v>
      </c>
      <c r="E538" s="86" t="s">
        <v>75</v>
      </c>
      <c r="F538" s="86" t="s">
        <v>77</v>
      </c>
      <c r="G538" s="86" t="s">
        <v>807</v>
      </c>
      <c r="H538" s="86" t="s">
        <v>959</v>
      </c>
      <c r="I538" s="87" t="s">
        <v>1947</v>
      </c>
      <c r="J538" s="84" t="s">
        <v>554</v>
      </c>
      <c r="K538" s="84" t="s">
        <v>555</v>
      </c>
    </row>
    <row r="539" spans="1:11" ht="15.75" x14ac:dyDescent="0.3">
      <c r="A539" s="86" t="s">
        <v>2017</v>
      </c>
      <c r="B539" s="86" t="s">
        <v>2009</v>
      </c>
      <c r="C539" s="86" t="s">
        <v>293</v>
      </c>
      <c r="D539" s="86" t="s">
        <v>2018</v>
      </c>
      <c r="E539" s="86" t="s">
        <v>2019</v>
      </c>
      <c r="F539" s="86" t="s">
        <v>2020</v>
      </c>
      <c r="G539" s="86" t="s">
        <v>990</v>
      </c>
      <c r="H539" s="86" t="s">
        <v>2021</v>
      </c>
      <c r="I539" s="87" t="s">
        <v>1947</v>
      </c>
      <c r="J539" s="84" t="s">
        <v>554</v>
      </c>
      <c r="K539" s="84" t="s">
        <v>555</v>
      </c>
    </row>
    <row r="540" spans="1:11" ht="15.75" x14ac:dyDescent="0.3">
      <c r="A540" s="86" t="s">
        <v>2022</v>
      </c>
      <c r="B540" s="86" t="s">
        <v>2009</v>
      </c>
      <c r="C540" s="86" t="s">
        <v>292</v>
      </c>
      <c r="D540" s="86" t="s">
        <v>2023</v>
      </c>
      <c r="E540" s="86" t="s">
        <v>2024</v>
      </c>
      <c r="F540" s="86" t="s">
        <v>2025</v>
      </c>
      <c r="G540" s="86" t="s">
        <v>551</v>
      </c>
      <c r="H540" s="86" t="s">
        <v>2026</v>
      </c>
      <c r="I540" s="87" t="s">
        <v>1947</v>
      </c>
      <c r="J540" s="84" t="s">
        <v>554</v>
      </c>
      <c r="K540" s="84" t="s">
        <v>555</v>
      </c>
    </row>
    <row r="541" spans="1:11" ht="15.75" x14ac:dyDescent="0.3">
      <c r="A541" s="86" t="s">
        <v>2027</v>
      </c>
      <c r="B541" s="86" t="s">
        <v>2028</v>
      </c>
      <c r="C541" s="86" t="s">
        <v>293</v>
      </c>
      <c r="D541" s="86" t="s">
        <v>980</v>
      </c>
      <c r="E541" s="86" t="s">
        <v>224</v>
      </c>
      <c r="F541" s="86" t="s">
        <v>226</v>
      </c>
      <c r="G541" s="86" t="s">
        <v>652</v>
      </c>
      <c r="H541" s="86" t="s">
        <v>981</v>
      </c>
      <c r="I541" s="87" t="s">
        <v>974</v>
      </c>
      <c r="J541" s="84" t="s">
        <v>554</v>
      </c>
      <c r="K541" s="84" t="s">
        <v>555</v>
      </c>
    </row>
    <row r="542" spans="1:11" ht="15.75" x14ac:dyDescent="0.3">
      <c r="A542" s="86" t="s">
        <v>2029</v>
      </c>
      <c r="B542" s="86" t="s">
        <v>2028</v>
      </c>
      <c r="C542" s="86" t="s">
        <v>292</v>
      </c>
      <c r="D542" s="86" t="s">
        <v>880</v>
      </c>
      <c r="E542" s="86" t="s">
        <v>71</v>
      </c>
      <c r="F542" s="86" t="s">
        <v>73</v>
      </c>
      <c r="G542" s="86" t="s">
        <v>807</v>
      </c>
      <c r="H542" s="86" t="s">
        <v>1198</v>
      </c>
      <c r="I542" s="87" t="s">
        <v>974</v>
      </c>
      <c r="J542" s="84" t="s">
        <v>554</v>
      </c>
      <c r="K542" s="84" t="s">
        <v>555</v>
      </c>
    </row>
    <row r="543" spans="1:11" ht="15.75" x14ac:dyDescent="0.3">
      <c r="A543" s="86" t="s">
        <v>2030</v>
      </c>
      <c r="B543" s="86" t="s">
        <v>2031</v>
      </c>
      <c r="C543" s="86" t="s">
        <v>292</v>
      </c>
      <c r="D543" s="86" t="s">
        <v>970</v>
      </c>
      <c r="E543" s="86" t="s">
        <v>971</v>
      </c>
      <c r="F543" s="86" t="s">
        <v>972</v>
      </c>
      <c r="G543" s="86" t="s">
        <v>708</v>
      </c>
      <c r="H543" s="86" t="s">
        <v>973</v>
      </c>
      <c r="I543" s="87" t="s">
        <v>2032</v>
      </c>
      <c r="J543" s="84" t="s">
        <v>554</v>
      </c>
      <c r="K543" s="84" t="s">
        <v>555</v>
      </c>
    </row>
    <row r="544" spans="1:11" ht="15.75" x14ac:dyDescent="0.3">
      <c r="A544" s="86" t="s">
        <v>2033</v>
      </c>
      <c r="B544" s="86" t="s">
        <v>2031</v>
      </c>
      <c r="C544" s="86" t="s">
        <v>293</v>
      </c>
      <c r="D544" s="86" t="s">
        <v>1174</v>
      </c>
      <c r="E544" s="86" t="s">
        <v>284</v>
      </c>
      <c r="F544" s="86" t="s">
        <v>192</v>
      </c>
      <c r="G544" s="86" t="s">
        <v>652</v>
      </c>
      <c r="H544" s="86" t="s">
        <v>1175</v>
      </c>
      <c r="I544" s="87" t="s">
        <v>2034</v>
      </c>
      <c r="J544" s="84" t="s">
        <v>554</v>
      </c>
      <c r="K544" s="84" t="s">
        <v>555</v>
      </c>
    </row>
    <row r="545" spans="1:11" ht="15.75" x14ac:dyDescent="0.3">
      <c r="A545" s="86" t="s">
        <v>2035</v>
      </c>
      <c r="B545" s="86" t="s">
        <v>2036</v>
      </c>
      <c r="C545" s="86" t="s">
        <v>293</v>
      </c>
      <c r="D545" s="86" t="s">
        <v>621</v>
      </c>
      <c r="E545" s="86" t="s">
        <v>112</v>
      </c>
      <c r="F545" s="86" t="s">
        <v>114</v>
      </c>
      <c r="G545" s="86" t="s">
        <v>622</v>
      </c>
      <c r="H545" s="86" t="s">
        <v>1151</v>
      </c>
      <c r="I545" s="87" t="s">
        <v>2037</v>
      </c>
      <c r="J545" s="84" t="s">
        <v>554</v>
      </c>
      <c r="K545" s="84" t="s">
        <v>555</v>
      </c>
    </row>
    <row r="546" spans="1:11" ht="15.75" x14ac:dyDescent="0.3">
      <c r="A546" s="86" t="s">
        <v>2038</v>
      </c>
      <c r="B546" s="86" t="s">
        <v>2036</v>
      </c>
      <c r="C546" s="86" t="s">
        <v>293</v>
      </c>
      <c r="D546" s="86" t="s">
        <v>1162</v>
      </c>
      <c r="E546" s="86" t="s">
        <v>1163</v>
      </c>
      <c r="F546" s="86" t="s">
        <v>1164</v>
      </c>
      <c r="G546" s="86" t="s">
        <v>579</v>
      </c>
      <c r="H546" s="86" t="s">
        <v>1165</v>
      </c>
      <c r="I546" s="87" t="s">
        <v>2037</v>
      </c>
      <c r="J546" s="84" t="s">
        <v>554</v>
      </c>
      <c r="K546" s="84" t="s">
        <v>555</v>
      </c>
    </row>
    <row r="547" spans="1:11" ht="15.75" x14ac:dyDescent="0.3">
      <c r="A547" s="86" t="s">
        <v>2039</v>
      </c>
      <c r="B547" s="86" t="s">
        <v>2036</v>
      </c>
      <c r="C547" s="86" t="s">
        <v>292</v>
      </c>
      <c r="D547" s="86" t="s">
        <v>883</v>
      </c>
      <c r="E547" s="86" t="s">
        <v>75</v>
      </c>
      <c r="F547" s="86" t="s">
        <v>77</v>
      </c>
      <c r="G547" s="86" t="s">
        <v>807</v>
      </c>
      <c r="H547" s="86" t="s">
        <v>959</v>
      </c>
      <c r="I547" s="87" t="s">
        <v>2037</v>
      </c>
      <c r="J547" s="84" t="s">
        <v>554</v>
      </c>
      <c r="K547" s="84" t="s">
        <v>555</v>
      </c>
    </row>
    <row r="548" spans="1:11" ht="15.75" x14ac:dyDescent="0.3">
      <c r="A548" s="86" t="s">
        <v>2040</v>
      </c>
      <c r="B548" s="86" t="s">
        <v>2036</v>
      </c>
      <c r="C548" s="86" t="s">
        <v>292</v>
      </c>
      <c r="D548" s="86" t="s">
        <v>1025</v>
      </c>
      <c r="E548" s="86" t="s">
        <v>1202</v>
      </c>
      <c r="F548" s="86" t="s">
        <v>1027</v>
      </c>
      <c r="G548" s="86" t="s">
        <v>990</v>
      </c>
      <c r="H548" s="86" t="s">
        <v>1203</v>
      </c>
      <c r="I548" s="87" t="s">
        <v>731</v>
      </c>
      <c r="J548" s="84" t="s">
        <v>554</v>
      </c>
      <c r="K548" s="84" t="s">
        <v>555</v>
      </c>
    </row>
    <row r="549" spans="1:11" ht="15.75" x14ac:dyDescent="0.3">
      <c r="A549" s="86" t="s">
        <v>2041</v>
      </c>
      <c r="B549" s="86" t="s">
        <v>2042</v>
      </c>
      <c r="C549" s="86" t="s">
        <v>292</v>
      </c>
      <c r="D549" s="86" t="s">
        <v>639</v>
      </c>
      <c r="E549" s="86" t="s">
        <v>22</v>
      </c>
      <c r="F549" s="86" t="s">
        <v>24</v>
      </c>
      <c r="G549" s="86" t="s">
        <v>701</v>
      </c>
      <c r="H549" s="86" t="s">
        <v>977</v>
      </c>
      <c r="I549" s="87" t="s">
        <v>1904</v>
      </c>
      <c r="J549" s="84" t="s">
        <v>554</v>
      </c>
      <c r="K549" s="84" t="s">
        <v>555</v>
      </c>
    </row>
    <row r="550" spans="1:11" ht="15.75" x14ac:dyDescent="0.3">
      <c r="A550" s="86" t="s">
        <v>2043</v>
      </c>
      <c r="B550" s="86" t="s">
        <v>2042</v>
      </c>
      <c r="C550" s="86" t="s">
        <v>293</v>
      </c>
      <c r="D550" s="86" t="s">
        <v>1156</v>
      </c>
      <c r="E550" s="86" t="s">
        <v>117</v>
      </c>
      <c r="F550" s="86" t="s">
        <v>119</v>
      </c>
      <c r="G550" s="86" t="s">
        <v>683</v>
      </c>
      <c r="H550" s="86" t="s">
        <v>1157</v>
      </c>
      <c r="I550" s="87" t="s">
        <v>1904</v>
      </c>
      <c r="J550" s="84" t="s">
        <v>554</v>
      </c>
      <c r="K550" s="84" t="s">
        <v>555</v>
      </c>
    </row>
    <row r="551" spans="1:11" ht="15.75" x14ac:dyDescent="0.3">
      <c r="A551" s="86" t="s">
        <v>2044</v>
      </c>
      <c r="B551" s="86" t="s">
        <v>2042</v>
      </c>
      <c r="C551" s="86" t="s">
        <v>293</v>
      </c>
      <c r="D551" s="86" t="s">
        <v>1021</v>
      </c>
      <c r="E551" s="86" t="s">
        <v>263</v>
      </c>
      <c r="F551" s="86" t="s">
        <v>265</v>
      </c>
      <c r="G551" s="86" t="s">
        <v>584</v>
      </c>
      <c r="H551" s="86" t="s">
        <v>1179</v>
      </c>
      <c r="I551" s="87" t="s">
        <v>1904</v>
      </c>
      <c r="J551" s="84" t="s">
        <v>554</v>
      </c>
      <c r="K551" s="84" t="s">
        <v>555</v>
      </c>
    </row>
    <row r="552" spans="1:11" ht="15.75" x14ac:dyDescent="0.3">
      <c r="A552" s="86" t="s">
        <v>2045</v>
      </c>
      <c r="B552" s="86" t="s">
        <v>2042</v>
      </c>
      <c r="C552" s="86" t="s">
        <v>292</v>
      </c>
      <c r="D552" s="86" t="s">
        <v>583</v>
      </c>
      <c r="E552" s="86" t="s">
        <v>53</v>
      </c>
      <c r="F552" s="86" t="s">
        <v>55</v>
      </c>
      <c r="G552" s="86" t="s">
        <v>661</v>
      </c>
      <c r="H552" s="86" t="s">
        <v>670</v>
      </c>
      <c r="I552" s="87" t="s">
        <v>1904</v>
      </c>
      <c r="J552" s="84" t="s">
        <v>554</v>
      </c>
      <c r="K552" s="84" t="s">
        <v>555</v>
      </c>
    </row>
    <row r="553" spans="1:11" ht="15.75" x14ac:dyDescent="0.3">
      <c r="A553" s="86" t="s">
        <v>2046</v>
      </c>
      <c r="B553" s="86" t="s">
        <v>2042</v>
      </c>
      <c r="C553" s="86" t="s">
        <v>293</v>
      </c>
      <c r="D553" s="86" t="s">
        <v>834</v>
      </c>
      <c r="E553" s="86" t="s">
        <v>929</v>
      </c>
      <c r="F553" s="86" t="s">
        <v>187</v>
      </c>
      <c r="G553" s="86" t="s">
        <v>588</v>
      </c>
      <c r="H553" s="86" t="s">
        <v>983</v>
      </c>
      <c r="I553" s="87" t="s">
        <v>1904</v>
      </c>
      <c r="J553" s="84" t="s">
        <v>554</v>
      </c>
      <c r="K553" s="84" t="s">
        <v>555</v>
      </c>
    </row>
    <row r="554" spans="1:11" ht="15.75" x14ac:dyDescent="0.3">
      <c r="A554" s="86" t="s">
        <v>2047</v>
      </c>
      <c r="B554" s="86" t="s">
        <v>2042</v>
      </c>
      <c r="C554" s="86" t="s">
        <v>292</v>
      </c>
      <c r="D554" s="86" t="s">
        <v>687</v>
      </c>
      <c r="E554" s="86" t="s">
        <v>152</v>
      </c>
      <c r="F554" s="86" t="s">
        <v>154</v>
      </c>
      <c r="G554" s="86" t="s">
        <v>594</v>
      </c>
      <c r="H554" s="86" t="s">
        <v>688</v>
      </c>
      <c r="I554" s="87" t="s">
        <v>1904</v>
      </c>
      <c r="J554" s="84" t="s">
        <v>554</v>
      </c>
      <c r="K554" s="84" t="s">
        <v>555</v>
      </c>
    </row>
    <row r="555" spans="1:11" ht="15.75" x14ac:dyDescent="0.3">
      <c r="A555" s="86" t="s">
        <v>2048</v>
      </c>
      <c r="B555" s="86" t="s">
        <v>2042</v>
      </c>
      <c r="C555" s="86" t="s">
        <v>292</v>
      </c>
      <c r="D555" s="86" t="s">
        <v>1011</v>
      </c>
      <c r="E555" s="86" t="s">
        <v>1012</v>
      </c>
      <c r="F555" s="86" t="s">
        <v>1013</v>
      </c>
      <c r="G555" s="86" t="s">
        <v>745</v>
      </c>
      <c r="H555" s="86" t="s">
        <v>1014</v>
      </c>
      <c r="I555" s="87" t="s">
        <v>1904</v>
      </c>
      <c r="J555" s="84" t="s">
        <v>554</v>
      </c>
      <c r="K555" s="84" t="s">
        <v>555</v>
      </c>
    </row>
    <row r="556" spans="1:11" ht="15.75" x14ac:dyDescent="0.3">
      <c r="A556" s="86" t="s">
        <v>2049</v>
      </c>
      <c r="B556" s="86" t="s">
        <v>2042</v>
      </c>
      <c r="C556" s="86" t="s">
        <v>292</v>
      </c>
      <c r="D556" s="86" t="s">
        <v>1189</v>
      </c>
      <c r="E556" s="86" t="s">
        <v>156</v>
      </c>
      <c r="F556" s="86" t="s">
        <v>158</v>
      </c>
      <c r="G556" s="86" t="s">
        <v>745</v>
      </c>
      <c r="H556" s="86" t="s">
        <v>1190</v>
      </c>
      <c r="I556" s="87" t="s">
        <v>1904</v>
      </c>
      <c r="J556" s="84" t="s">
        <v>554</v>
      </c>
      <c r="K556" s="84" t="s">
        <v>555</v>
      </c>
    </row>
    <row r="557" spans="1:11" ht="15.75" x14ac:dyDescent="0.3">
      <c r="A557" s="86" t="s">
        <v>2050</v>
      </c>
      <c r="B557" s="86" t="s">
        <v>2042</v>
      </c>
      <c r="C557" s="86" t="s">
        <v>293</v>
      </c>
      <c r="D557" s="86" t="s">
        <v>985</v>
      </c>
      <c r="E557" s="86" t="s">
        <v>106</v>
      </c>
      <c r="F557" s="86" t="s">
        <v>108</v>
      </c>
      <c r="G557" s="86" t="s">
        <v>807</v>
      </c>
      <c r="H557" s="86" t="s">
        <v>986</v>
      </c>
      <c r="I557" s="87" t="s">
        <v>1904</v>
      </c>
      <c r="J557" s="84" t="s">
        <v>554</v>
      </c>
      <c r="K557" s="84" t="s">
        <v>555</v>
      </c>
    </row>
    <row r="558" spans="1:11" ht="15.75" x14ac:dyDescent="0.3">
      <c r="A558" s="86" t="s">
        <v>2051</v>
      </c>
      <c r="B558" s="86" t="s">
        <v>2052</v>
      </c>
      <c r="C558" s="86" t="s">
        <v>292</v>
      </c>
      <c r="D558" s="86" t="s">
        <v>869</v>
      </c>
      <c r="E558" s="86" t="s">
        <v>57</v>
      </c>
      <c r="F558" s="86" t="s">
        <v>59</v>
      </c>
      <c r="G558" s="86" t="s">
        <v>584</v>
      </c>
      <c r="H558" s="86" t="s">
        <v>1705</v>
      </c>
      <c r="I558" s="87" t="s">
        <v>2053</v>
      </c>
      <c r="J558" s="84" t="s">
        <v>554</v>
      </c>
      <c r="K558" s="84" t="s">
        <v>555</v>
      </c>
    </row>
    <row r="559" spans="1:11" ht="15.75" x14ac:dyDescent="0.3">
      <c r="A559" s="86" t="s">
        <v>2054</v>
      </c>
      <c r="B559" s="86" t="s">
        <v>2055</v>
      </c>
      <c r="C559" s="86" t="s">
        <v>292</v>
      </c>
      <c r="D559" s="86" t="s">
        <v>587</v>
      </c>
      <c r="E559" s="86" t="s">
        <v>135</v>
      </c>
      <c r="F559" s="86" t="s">
        <v>137</v>
      </c>
      <c r="G559" s="86" t="s">
        <v>691</v>
      </c>
      <c r="H559" s="86" t="s">
        <v>692</v>
      </c>
      <c r="I559" s="87" t="s">
        <v>2056</v>
      </c>
      <c r="J559" s="84" t="s">
        <v>554</v>
      </c>
      <c r="K559" s="84" t="s">
        <v>555</v>
      </c>
    </row>
    <row r="560" spans="1:11" ht="15.75" x14ac:dyDescent="0.3">
      <c r="A560" s="86" t="s">
        <v>2057</v>
      </c>
      <c r="B560" s="86" t="s">
        <v>2058</v>
      </c>
      <c r="C560" s="86" t="s">
        <v>293</v>
      </c>
      <c r="D560" s="86" t="s">
        <v>1121</v>
      </c>
      <c r="E560" s="86" t="s">
        <v>1122</v>
      </c>
      <c r="F560" s="86" t="s">
        <v>1123</v>
      </c>
      <c r="G560" s="86" t="s">
        <v>675</v>
      </c>
      <c r="H560" s="86" t="s">
        <v>1349</v>
      </c>
      <c r="I560" s="87" t="s">
        <v>2059</v>
      </c>
      <c r="J560" s="84" t="s">
        <v>554</v>
      </c>
      <c r="K560" s="84" t="s">
        <v>555</v>
      </c>
    </row>
    <row r="561" spans="1:11" ht="15.75" x14ac:dyDescent="0.3">
      <c r="A561" s="86" t="s">
        <v>2060</v>
      </c>
      <c r="B561" s="86" t="s">
        <v>2061</v>
      </c>
      <c r="C561" s="86" t="s">
        <v>294</v>
      </c>
      <c r="D561" s="86" t="s">
        <v>834</v>
      </c>
      <c r="E561" s="86" t="s">
        <v>185</v>
      </c>
      <c r="F561" s="86" t="s">
        <v>187</v>
      </c>
      <c r="G561" s="86" t="s">
        <v>745</v>
      </c>
      <c r="H561" s="86" t="s">
        <v>2062</v>
      </c>
      <c r="I561" s="87" t="s">
        <v>2063</v>
      </c>
      <c r="J561" s="84" t="s">
        <v>554</v>
      </c>
      <c r="K561" s="84" t="s">
        <v>555</v>
      </c>
    </row>
    <row r="562" spans="1:11" ht="15.75" x14ac:dyDescent="0.3">
      <c r="A562" s="86" t="s">
        <v>2064</v>
      </c>
      <c r="B562" s="86" t="s">
        <v>2065</v>
      </c>
      <c r="C562" s="86" t="s">
        <v>294</v>
      </c>
      <c r="D562" s="86" t="s">
        <v>1608</v>
      </c>
      <c r="E562" s="86" t="s">
        <v>2066</v>
      </c>
      <c r="F562" s="86" t="s">
        <v>1610</v>
      </c>
      <c r="G562" s="86" t="s">
        <v>824</v>
      </c>
      <c r="H562" s="86" t="s">
        <v>2067</v>
      </c>
      <c r="I562" s="87" t="s">
        <v>2068</v>
      </c>
      <c r="J562" s="84" t="s">
        <v>554</v>
      </c>
      <c r="K562" s="84" t="s">
        <v>555</v>
      </c>
    </row>
    <row r="563" spans="1:11" ht="15.75" x14ac:dyDescent="0.3">
      <c r="A563" s="86" t="s">
        <v>2069</v>
      </c>
      <c r="B563" s="86" t="s">
        <v>2070</v>
      </c>
      <c r="C563" s="86" t="s">
        <v>294</v>
      </c>
      <c r="D563" s="86" t="s">
        <v>791</v>
      </c>
      <c r="E563" s="86" t="s">
        <v>792</v>
      </c>
      <c r="F563" s="86" t="s">
        <v>793</v>
      </c>
      <c r="G563" s="86" t="s">
        <v>851</v>
      </c>
      <c r="H563" s="86" t="s">
        <v>2071</v>
      </c>
      <c r="I563" s="87" t="s">
        <v>2072</v>
      </c>
      <c r="J563" s="84" t="s">
        <v>554</v>
      </c>
      <c r="K563" s="84" t="s">
        <v>618</v>
      </c>
    </row>
    <row r="564" spans="1:11" ht="15.75" x14ac:dyDescent="0.3">
      <c r="A564" s="86" t="s">
        <v>2073</v>
      </c>
      <c r="B564" s="86" t="s">
        <v>2074</v>
      </c>
      <c r="C564" s="86" t="s">
        <v>294</v>
      </c>
      <c r="D564" s="86" t="s">
        <v>591</v>
      </c>
      <c r="E564" s="86" t="s">
        <v>592</v>
      </c>
      <c r="F564" s="86" t="s">
        <v>593</v>
      </c>
      <c r="G564" s="86" t="s">
        <v>594</v>
      </c>
      <c r="H564" s="86" t="s">
        <v>1131</v>
      </c>
      <c r="I564" s="87" t="s">
        <v>2075</v>
      </c>
      <c r="J564" s="84" t="s">
        <v>554</v>
      </c>
      <c r="K564" s="84" t="s">
        <v>555</v>
      </c>
    </row>
    <row r="565" spans="1:11" ht="15.75" x14ac:dyDescent="0.3">
      <c r="A565" s="86" t="s">
        <v>2076</v>
      </c>
      <c r="B565" s="86" t="s">
        <v>2077</v>
      </c>
      <c r="C565" s="86" t="s">
        <v>293</v>
      </c>
      <c r="D565" s="86" t="s">
        <v>722</v>
      </c>
      <c r="E565" s="86" t="s">
        <v>723</v>
      </c>
      <c r="F565" s="86" t="s">
        <v>724</v>
      </c>
      <c r="G565" s="86" t="s">
        <v>652</v>
      </c>
      <c r="H565" s="86" t="s">
        <v>725</v>
      </c>
      <c r="I565" s="87" t="s">
        <v>2078</v>
      </c>
      <c r="J565" s="84" t="s">
        <v>554</v>
      </c>
      <c r="K565" s="84" t="s">
        <v>555</v>
      </c>
    </row>
    <row r="566" spans="1:11" ht="15.75" x14ac:dyDescent="0.3">
      <c r="A566" s="86" t="s">
        <v>2079</v>
      </c>
      <c r="B566" s="86" t="s">
        <v>2080</v>
      </c>
      <c r="C566" s="86" t="s">
        <v>292</v>
      </c>
      <c r="D566" s="86" t="s">
        <v>1366</v>
      </c>
      <c r="E566" s="86" t="s">
        <v>231</v>
      </c>
      <c r="F566" s="86" t="s">
        <v>233</v>
      </c>
      <c r="G566" s="86" t="s">
        <v>1367</v>
      </c>
      <c r="H566" s="86" t="s">
        <v>1625</v>
      </c>
      <c r="I566" s="87" t="s">
        <v>2081</v>
      </c>
      <c r="J566" s="84" t="s">
        <v>554</v>
      </c>
      <c r="K566" s="84" t="s">
        <v>555</v>
      </c>
    </row>
    <row r="567" spans="1:11" ht="15.75" x14ac:dyDescent="0.3">
      <c r="A567" s="86" t="s">
        <v>2082</v>
      </c>
      <c r="B567" s="86" t="s">
        <v>2080</v>
      </c>
      <c r="C567" s="86" t="s">
        <v>292</v>
      </c>
      <c r="D567" s="86" t="s">
        <v>639</v>
      </c>
      <c r="E567" s="86" t="s">
        <v>22</v>
      </c>
      <c r="F567" s="86" t="s">
        <v>24</v>
      </c>
      <c r="G567" s="86" t="s">
        <v>701</v>
      </c>
      <c r="H567" s="86" t="s">
        <v>977</v>
      </c>
      <c r="I567" s="87" t="s">
        <v>2083</v>
      </c>
      <c r="J567" s="84" t="s">
        <v>554</v>
      </c>
      <c r="K567" s="84" t="s">
        <v>555</v>
      </c>
    </row>
    <row r="568" spans="1:11" ht="15.75" x14ac:dyDescent="0.3">
      <c r="A568" s="86" t="s">
        <v>2084</v>
      </c>
      <c r="B568" s="86" t="s">
        <v>2080</v>
      </c>
      <c r="C568" s="86" t="s">
        <v>292</v>
      </c>
      <c r="D568" s="86" t="s">
        <v>1336</v>
      </c>
      <c r="E568" s="86" t="s">
        <v>235</v>
      </c>
      <c r="F568" s="86" t="s">
        <v>237</v>
      </c>
      <c r="G568" s="86" t="s">
        <v>701</v>
      </c>
      <c r="H568" s="86" t="s">
        <v>1810</v>
      </c>
      <c r="I568" s="87" t="s">
        <v>2083</v>
      </c>
      <c r="J568" s="84" t="s">
        <v>554</v>
      </c>
      <c r="K568" s="84" t="s">
        <v>555</v>
      </c>
    </row>
    <row r="569" spans="1:11" ht="15.75" x14ac:dyDescent="0.3">
      <c r="A569" s="86" t="s">
        <v>2085</v>
      </c>
      <c r="B569" s="86" t="s">
        <v>2080</v>
      </c>
      <c r="C569" s="86" t="s">
        <v>293</v>
      </c>
      <c r="D569" s="86" t="s">
        <v>1650</v>
      </c>
      <c r="E569" s="86" t="s">
        <v>1651</v>
      </c>
      <c r="F569" s="86" t="s">
        <v>1652</v>
      </c>
      <c r="G569" s="86" t="s">
        <v>640</v>
      </c>
      <c r="H569" s="86" t="s">
        <v>1653</v>
      </c>
      <c r="I569" s="87" t="s">
        <v>2081</v>
      </c>
      <c r="J569" s="84" t="s">
        <v>554</v>
      </c>
      <c r="K569" s="84" t="s">
        <v>555</v>
      </c>
    </row>
    <row r="570" spans="1:11" ht="15.75" x14ac:dyDescent="0.3">
      <c r="A570" s="86" t="s">
        <v>2086</v>
      </c>
      <c r="B570" s="86" t="s">
        <v>2080</v>
      </c>
      <c r="C570" s="86" t="s">
        <v>292</v>
      </c>
      <c r="D570" s="86" t="s">
        <v>1146</v>
      </c>
      <c r="E570" s="86" t="s">
        <v>239</v>
      </c>
      <c r="F570" s="86" t="s">
        <v>241</v>
      </c>
      <c r="G570" s="86" t="s">
        <v>824</v>
      </c>
      <c r="H570" s="86" t="s">
        <v>1147</v>
      </c>
      <c r="I570" s="87" t="s">
        <v>2081</v>
      </c>
      <c r="J570" s="84" t="s">
        <v>554</v>
      </c>
      <c r="K570" s="84" t="s">
        <v>555</v>
      </c>
    </row>
    <row r="571" spans="1:11" ht="15.75" x14ac:dyDescent="0.3">
      <c r="A571" s="86" t="s">
        <v>2087</v>
      </c>
      <c r="B571" s="86" t="s">
        <v>2080</v>
      </c>
      <c r="C571" s="86" t="s">
        <v>292</v>
      </c>
      <c r="D571" s="86" t="s">
        <v>1656</v>
      </c>
      <c r="E571" s="86" t="s">
        <v>1657</v>
      </c>
      <c r="F571" s="86" t="s">
        <v>1658</v>
      </c>
      <c r="G571" s="86" t="s">
        <v>824</v>
      </c>
      <c r="H571" s="86" t="s">
        <v>1659</v>
      </c>
      <c r="I571" s="87" t="s">
        <v>2081</v>
      </c>
      <c r="J571" s="84" t="s">
        <v>554</v>
      </c>
      <c r="K571" s="84" t="s">
        <v>555</v>
      </c>
    </row>
    <row r="572" spans="1:11" ht="15.75" x14ac:dyDescent="0.3">
      <c r="A572" s="86" t="s">
        <v>2088</v>
      </c>
      <c r="B572" s="86" t="s">
        <v>2080</v>
      </c>
      <c r="C572" s="86" t="s">
        <v>292</v>
      </c>
      <c r="D572" s="86" t="s">
        <v>587</v>
      </c>
      <c r="E572" s="86" t="s">
        <v>1661</v>
      </c>
      <c r="F572" s="86" t="s">
        <v>137</v>
      </c>
      <c r="G572" s="86" t="s">
        <v>824</v>
      </c>
      <c r="H572" s="86" t="s">
        <v>1662</v>
      </c>
      <c r="I572" s="87" t="s">
        <v>2081</v>
      </c>
      <c r="J572" s="84" t="s">
        <v>554</v>
      </c>
      <c r="K572" s="84" t="s">
        <v>555</v>
      </c>
    </row>
    <row r="573" spans="1:11" ht="15.75" x14ac:dyDescent="0.3">
      <c r="A573" s="86" t="s">
        <v>2089</v>
      </c>
      <c r="B573" s="86" t="s">
        <v>2080</v>
      </c>
      <c r="C573" s="86" t="s">
        <v>293</v>
      </c>
      <c r="D573" s="86" t="s">
        <v>1608</v>
      </c>
      <c r="E573" s="86" t="s">
        <v>1664</v>
      </c>
      <c r="F573" s="86" t="s">
        <v>1610</v>
      </c>
      <c r="G573" s="86" t="s">
        <v>708</v>
      </c>
      <c r="H573" s="86" t="s">
        <v>1665</v>
      </c>
      <c r="I573" s="87" t="s">
        <v>2081</v>
      </c>
      <c r="J573" s="84" t="s">
        <v>554</v>
      </c>
      <c r="K573" s="84" t="s">
        <v>555</v>
      </c>
    </row>
    <row r="574" spans="1:11" ht="15.75" x14ac:dyDescent="0.3">
      <c r="A574" s="86" t="s">
        <v>2090</v>
      </c>
      <c r="B574" s="86" t="s">
        <v>2080</v>
      </c>
      <c r="C574" s="86" t="s">
        <v>292</v>
      </c>
      <c r="D574" s="86" t="s">
        <v>970</v>
      </c>
      <c r="E574" s="86" t="s">
        <v>971</v>
      </c>
      <c r="F574" s="86" t="s">
        <v>972</v>
      </c>
      <c r="G574" s="86" t="s">
        <v>708</v>
      </c>
      <c r="H574" s="86" t="s">
        <v>1149</v>
      </c>
      <c r="I574" s="87" t="s">
        <v>2081</v>
      </c>
      <c r="J574" s="84" t="s">
        <v>554</v>
      </c>
      <c r="K574" s="84" t="s">
        <v>555</v>
      </c>
    </row>
    <row r="575" spans="1:11" ht="15.75" x14ac:dyDescent="0.3">
      <c r="A575" s="86" t="s">
        <v>2091</v>
      </c>
      <c r="B575" s="86" t="s">
        <v>2080</v>
      </c>
      <c r="C575" s="86" t="s">
        <v>293</v>
      </c>
      <c r="D575" s="86" t="s">
        <v>1860</v>
      </c>
      <c r="E575" s="86" t="s">
        <v>1861</v>
      </c>
      <c r="F575" s="86" t="s">
        <v>1862</v>
      </c>
      <c r="G575" s="86" t="s">
        <v>708</v>
      </c>
      <c r="H575" s="86" t="s">
        <v>1863</v>
      </c>
      <c r="I575" s="87" t="s">
        <v>2081</v>
      </c>
      <c r="J575" s="84" t="s">
        <v>554</v>
      </c>
      <c r="K575" s="84" t="s">
        <v>555</v>
      </c>
    </row>
    <row r="576" spans="1:11" ht="15.75" x14ac:dyDescent="0.3">
      <c r="A576" s="86" t="s">
        <v>2092</v>
      </c>
      <c r="B576" s="86" t="s">
        <v>2080</v>
      </c>
      <c r="C576" s="86" t="s">
        <v>293</v>
      </c>
      <c r="D576" s="86" t="s">
        <v>955</v>
      </c>
      <c r="E576" s="86" t="s">
        <v>38</v>
      </c>
      <c r="F576" s="86" t="s">
        <v>40</v>
      </c>
      <c r="G576" s="86" t="s">
        <v>622</v>
      </c>
      <c r="H576" s="86" t="s">
        <v>956</v>
      </c>
      <c r="I576" s="87" t="s">
        <v>2081</v>
      </c>
      <c r="J576" s="84" t="s">
        <v>554</v>
      </c>
      <c r="K576" s="84" t="s">
        <v>555</v>
      </c>
    </row>
    <row r="577" spans="1:11" ht="15.75" x14ac:dyDescent="0.3">
      <c r="A577" s="86" t="s">
        <v>2093</v>
      </c>
      <c r="B577" s="86" t="s">
        <v>2080</v>
      </c>
      <c r="C577" s="86" t="s">
        <v>293</v>
      </c>
      <c r="D577" s="86" t="s">
        <v>621</v>
      </c>
      <c r="E577" s="86" t="s">
        <v>112</v>
      </c>
      <c r="F577" s="86" t="s">
        <v>114</v>
      </c>
      <c r="G577" s="86" t="s">
        <v>622</v>
      </c>
      <c r="H577" s="86" t="s">
        <v>1151</v>
      </c>
      <c r="I577" s="87" t="s">
        <v>2081</v>
      </c>
      <c r="J577" s="84" t="s">
        <v>554</v>
      </c>
      <c r="K577" s="84" t="s">
        <v>555</v>
      </c>
    </row>
    <row r="578" spans="1:11" ht="15.75" x14ac:dyDescent="0.3">
      <c r="A578" s="86" t="s">
        <v>2094</v>
      </c>
      <c r="B578" s="86" t="s">
        <v>2080</v>
      </c>
      <c r="C578" s="86" t="s">
        <v>293</v>
      </c>
      <c r="D578" s="86" t="s">
        <v>1153</v>
      </c>
      <c r="E578" s="86" t="s">
        <v>207</v>
      </c>
      <c r="F578" s="86" t="s">
        <v>209</v>
      </c>
      <c r="G578" s="86" t="s">
        <v>683</v>
      </c>
      <c r="H578" s="86" t="s">
        <v>1154</v>
      </c>
      <c r="I578" s="87" t="s">
        <v>2081</v>
      </c>
      <c r="J578" s="84" t="s">
        <v>554</v>
      </c>
      <c r="K578" s="84" t="s">
        <v>555</v>
      </c>
    </row>
    <row r="579" spans="1:11" ht="15.75" x14ac:dyDescent="0.3">
      <c r="A579" s="86" t="s">
        <v>2095</v>
      </c>
      <c r="B579" s="86" t="s">
        <v>2080</v>
      </c>
      <c r="C579" s="86" t="s">
        <v>293</v>
      </c>
      <c r="D579" s="86" t="s">
        <v>1156</v>
      </c>
      <c r="E579" s="86" t="s">
        <v>117</v>
      </c>
      <c r="F579" s="86" t="s">
        <v>119</v>
      </c>
      <c r="G579" s="86" t="s">
        <v>683</v>
      </c>
      <c r="H579" s="86" t="s">
        <v>1157</v>
      </c>
      <c r="I579" s="87" t="s">
        <v>2081</v>
      </c>
      <c r="J579" s="84" t="s">
        <v>554</v>
      </c>
      <c r="K579" s="84" t="s">
        <v>555</v>
      </c>
    </row>
    <row r="580" spans="1:11" ht="15.75" x14ac:dyDescent="0.3">
      <c r="A580" s="86" t="s">
        <v>2096</v>
      </c>
      <c r="B580" s="86" t="s">
        <v>2080</v>
      </c>
      <c r="C580" s="86" t="s">
        <v>293</v>
      </c>
      <c r="D580" s="86" t="s">
        <v>1352</v>
      </c>
      <c r="E580" s="86" t="s">
        <v>43</v>
      </c>
      <c r="F580" s="86" t="s">
        <v>45</v>
      </c>
      <c r="G580" s="86" t="s">
        <v>683</v>
      </c>
      <c r="H580" s="86" t="s">
        <v>1353</v>
      </c>
      <c r="I580" s="87" t="s">
        <v>2081</v>
      </c>
      <c r="J580" s="84" t="s">
        <v>554</v>
      </c>
      <c r="K580" s="84" t="s">
        <v>555</v>
      </c>
    </row>
    <row r="581" spans="1:11" ht="15.75" x14ac:dyDescent="0.3">
      <c r="A581" s="86" t="s">
        <v>2097</v>
      </c>
      <c r="B581" s="86" t="s">
        <v>2080</v>
      </c>
      <c r="C581" s="86" t="s">
        <v>293</v>
      </c>
      <c r="D581" s="86" t="s">
        <v>1678</v>
      </c>
      <c r="E581" s="86" t="s">
        <v>1679</v>
      </c>
      <c r="F581" s="86" t="s">
        <v>1680</v>
      </c>
      <c r="G581" s="86" t="s">
        <v>965</v>
      </c>
      <c r="H581" s="86" t="s">
        <v>1681</v>
      </c>
      <c r="I581" s="87" t="s">
        <v>2081</v>
      </c>
      <c r="J581" s="84" t="s">
        <v>554</v>
      </c>
      <c r="K581" s="84" t="s">
        <v>555</v>
      </c>
    </row>
    <row r="582" spans="1:11" ht="15.75" x14ac:dyDescent="0.3">
      <c r="A582" s="86" t="s">
        <v>2098</v>
      </c>
      <c r="B582" s="86" t="s">
        <v>2080</v>
      </c>
      <c r="C582" s="86" t="s">
        <v>293</v>
      </c>
      <c r="D582" s="86" t="s">
        <v>962</v>
      </c>
      <c r="E582" s="86" t="s">
        <v>963</v>
      </c>
      <c r="F582" s="86" t="s">
        <v>964</v>
      </c>
      <c r="G582" s="86" t="s">
        <v>965</v>
      </c>
      <c r="H582" s="86" t="s">
        <v>966</v>
      </c>
      <c r="I582" s="87" t="s">
        <v>2081</v>
      </c>
      <c r="J582" s="84" t="s">
        <v>554</v>
      </c>
      <c r="K582" s="84" t="s">
        <v>555</v>
      </c>
    </row>
    <row r="583" spans="1:11" ht="15.75" x14ac:dyDescent="0.3">
      <c r="A583" s="86" t="s">
        <v>2099</v>
      </c>
      <c r="B583" s="86" t="s">
        <v>2080</v>
      </c>
      <c r="C583" s="86" t="s">
        <v>292</v>
      </c>
      <c r="D583" s="86" t="s">
        <v>1159</v>
      </c>
      <c r="E583" s="86" t="s">
        <v>121</v>
      </c>
      <c r="F583" s="86" t="s">
        <v>123</v>
      </c>
      <c r="G583" s="86" t="s">
        <v>645</v>
      </c>
      <c r="H583" s="86" t="s">
        <v>1160</v>
      </c>
      <c r="I583" s="87" t="s">
        <v>2081</v>
      </c>
      <c r="J583" s="84" t="s">
        <v>554</v>
      </c>
      <c r="K583" s="84" t="s">
        <v>555</v>
      </c>
    </row>
    <row r="584" spans="1:11" ht="15.75" x14ac:dyDescent="0.3">
      <c r="A584" s="86" t="s">
        <v>2100</v>
      </c>
      <c r="B584" s="86" t="s">
        <v>2080</v>
      </c>
      <c r="C584" s="86" t="s">
        <v>293</v>
      </c>
      <c r="D584" s="86" t="s">
        <v>1359</v>
      </c>
      <c r="E584" s="86" t="s">
        <v>1360</v>
      </c>
      <c r="F584" s="86" t="s">
        <v>1361</v>
      </c>
      <c r="G584" s="86" t="s">
        <v>645</v>
      </c>
      <c r="H584" s="86" t="s">
        <v>1362</v>
      </c>
      <c r="I584" s="87" t="s">
        <v>2081</v>
      </c>
      <c r="J584" s="84" t="s">
        <v>554</v>
      </c>
      <c r="K584" s="84" t="s">
        <v>555</v>
      </c>
    </row>
    <row r="585" spans="1:11" ht="15.75" x14ac:dyDescent="0.3">
      <c r="A585" s="86" t="s">
        <v>2101</v>
      </c>
      <c r="B585" s="86" t="s">
        <v>2080</v>
      </c>
      <c r="C585" s="86" t="s">
        <v>293</v>
      </c>
      <c r="D585" s="86" t="s">
        <v>1162</v>
      </c>
      <c r="E585" s="86" t="s">
        <v>1163</v>
      </c>
      <c r="F585" s="86" t="s">
        <v>1164</v>
      </c>
      <c r="G585" s="86" t="s">
        <v>579</v>
      </c>
      <c r="H585" s="86" t="s">
        <v>1165</v>
      </c>
      <c r="I585" s="87" t="s">
        <v>2081</v>
      </c>
      <c r="J585" s="84" t="s">
        <v>554</v>
      </c>
      <c r="K585" s="84" t="s">
        <v>555</v>
      </c>
    </row>
    <row r="586" spans="1:11" ht="15.75" x14ac:dyDescent="0.3">
      <c r="A586" s="86" t="s">
        <v>2102</v>
      </c>
      <c r="B586" s="86" t="s">
        <v>2080</v>
      </c>
      <c r="C586" s="86" t="s">
        <v>293</v>
      </c>
      <c r="D586" s="86" t="s">
        <v>1017</v>
      </c>
      <c r="E586" s="86" t="s">
        <v>259</v>
      </c>
      <c r="F586" s="86" t="s">
        <v>261</v>
      </c>
      <c r="G586" s="86" t="s">
        <v>579</v>
      </c>
      <c r="H586" s="86" t="s">
        <v>1167</v>
      </c>
      <c r="I586" s="87" t="s">
        <v>2081</v>
      </c>
      <c r="J586" s="84" t="s">
        <v>554</v>
      </c>
      <c r="K586" s="84" t="s">
        <v>555</v>
      </c>
    </row>
    <row r="587" spans="1:11" ht="15.75" x14ac:dyDescent="0.3">
      <c r="A587" s="86" t="s">
        <v>2103</v>
      </c>
      <c r="B587" s="86" t="s">
        <v>2080</v>
      </c>
      <c r="C587" s="86" t="s">
        <v>293</v>
      </c>
      <c r="D587" s="86" t="s">
        <v>1169</v>
      </c>
      <c r="E587" s="86" t="s">
        <v>1170</v>
      </c>
      <c r="F587" s="86" t="s">
        <v>1171</v>
      </c>
      <c r="G587" s="86" t="s">
        <v>579</v>
      </c>
      <c r="H587" s="86" t="s">
        <v>1172</v>
      </c>
      <c r="I587" s="87" t="s">
        <v>2081</v>
      </c>
      <c r="J587" s="84" t="s">
        <v>554</v>
      </c>
      <c r="K587" s="84" t="s">
        <v>555</v>
      </c>
    </row>
    <row r="588" spans="1:11" ht="15.75" x14ac:dyDescent="0.3">
      <c r="A588" s="86" t="s">
        <v>2104</v>
      </c>
      <c r="B588" s="86" t="s">
        <v>2080</v>
      </c>
      <c r="C588" s="86" t="s">
        <v>293</v>
      </c>
      <c r="D588" s="86" t="s">
        <v>924</v>
      </c>
      <c r="E588" s="86" t="s">
        <v>126</v>
      </c>
      <c r="F588" s="86" t="s">
        <v>128</v>
      </c>
      <c r="G588" s="86" t="s">
        <v>579</v>
      </c>
      <c r="H588" s="86" t="s">
        <v>1696</v>
      </c>
      <c r="I588" s="87" t="s">
        <v>2081</v>
      </c>
      <c r="J588" s="84" t="s">
        <v>554</v>
      </c>
      <c r="K588" s="84" t="s">
        <v>555</v>
      </c>
    </row>
    <row r="589" spans="1:11" ht="15.75" x14ac:dyDescent="0.3">
      <c r="A589" s="86" t="s">
        <v>2105</v>
      </c>
      <c r="B589" s="86" t="s">
        <v>2080</v>
      </c>
      <c r="C589" s="86" t="s">
        <v>293</v>
      </c>
      <c r="D589" s="86" t="s">
        <v>980</v>
      </c>
      <c r="E589" s="86" t="s">
        <v>224</v>
      </c>
      <c r="F589" s="86" t="s">
        <v>226</v>
      </c>
      <c r="G589" s="86" t="s">
        <v>652</v>
      </c>
      <c r="H589" s="86" t="s">
        <v>2106</v>
      </c>
      <c r="I589" s="87" t="s">
        <v>2081</v>
      </c>
      <c r="J589" s="84" t="s">
        <v>554</v>
      </c>
      <c r="K589" s="84" t="s">
        <v>555</v>
      </c>
    </row>
    <row r="590" spans="1:11" ht="15.75" x14ac:dyDescent="0.3">
      <c r="A590" s="86" t="s">
        <v>2107</v>
      </c>
      <c r="B590" s="86" t="s">
        <v>2080</v>
      </c>
      <c r="C590" s="86" t="s">
        <v>293</v>
      </c>
      <c r="D590" s="86" t="s">
        <v>1021</v>
      </c>
      <c r="E590" s="86" t="s">
        <v>263</v>
      </c>
      <c r="F590" s="86" t="s">
        <v>265</v>
      </c>
      <c r="G590" s="86" t="s">
        <v>584</v>
      </c>
      <c r="H590" s="86" t="s">
        <v>1179</v>
      </c>
      <c r="I590" s="87" t="s">
        <v>2081</v>
      </c>
      <c r="J590" s="84" t="s">
        <v>554</v>
      </c>
      <c r="K590" s="84" t="s">
        <v>555</v>
      </c>
    </row>
    <row r="591" spans="1:11" ht="15.75" x14ac:dyDescent="0.3">
      <c r="A591" s="86" t="s">
        <v>2108</v>
      </c>
      <c r="B591" s="86" t="s">
        <v>2080</v>
      </c>
      <c r="C591" s="86" t="s">
        <v>292</v>
      </c>
      <c r="D591" s="86" t="s">
        <v>869</v>
      </c>
      <c r="E591" s="86" t="s">
        <v>57</v>
      </c>
      <c r="F591" s="86" t="s">
        <v>59</v>
      </c>
      <c r="G591" s="86" t="s">
        <v>584</v>
      </c>
      <c r="H591" s="86" t="s">
        <v>1705</v>
      </c>
      <c r="I591" s="87" t="s">
        <v>2081</v>
      </c>
      <c r="J591" s="84" t="s">
        <v>554</v>
      </c>
      <c r="K591" s="84" t="s">
        <v>555</v>
      </c>
    </row>
    <row r="592" spans="1:11" ht="15.75" x14ac:dyDescent="0.3">
      <c r="A592" s="86" t="s">
        <v>2109</v>
      </c>
      <c r="B592" s="86" t="s">
        <v>2080</v>
      </c>
      <c r="C592" s="86" t="s">
        <v>292</v>
      </c>
      <c r="D592" s="86" t="s">
        <v>583</v>
      </c>
      <c r="E592" s="86" t="s">
        <v>53</v>
      </c>
      <c r="F592" s="86" t="s">
        <v>55</v>
      </c>
      <c r="G592" s="86" t="s">
        <v>661</v>
      </c>
      <c r="H592" s="86" t="s">
        <v>670</v>
      </c>
      <c r="I592" s="87" t="s">
        <v>2081</v>
      </c>
      <c r="J592" s="84" t="s">
        <v>554</v>
      </c>
      <c r="K592" s="84" t="s">
        <v>555</v>
      </c>
    </row>
    <row r="593" spans="1:11" ht="15.75" x14ac:dyDescent="0.3">
      <c r="A593" s="86" t="s">
        <v>2110</v>
      </c>
      <c r="B593" s="86" t="s">
        <v>2080</v>
      </c>
      <c r="C593" s="86" t="s">
        <v>292</v>
      </c>
      <c r="D593" s="86" t="s">
        <v>947</v>
      </c>
      <c r="E593" s="86" t="s">
        <v>131</v>
      </c>
      <c r="F593" s="86" t="s">
        <v>133</v>
      </c>
      <c r="G593" s="86" t="s">
        <v>740</v>
      </c>
      <c r="H593" s="86" t="s">
        <v>1710</v>
      </c>
      <c r="I593" s="87" t="s">
        <v>2081</v>
      </c>
      <c r="J593" s="84" t="s">
        <v>554</v>
      </c>
      <c r="K593" s="84" t="s">
        <v>555</v>
      </c>
    </row>
    <row r="594" spans="1:11" ht="15.75" x14ac:dyDescent="0.3">
      <c r="A594" s="86" t="s">
        <v>2111</v>
      </c>
      <c r="B594" s="86" t="s">
        <v>2080</v>
      </c>
      <c r="C594" s="86" t="s">
        <v>292</v>
      </c>
      <c r="D594" s="86" t="s">
        <v>1826</v>
      </c>
      <c r="E594" s="86" t="s">
        <v>1827</v>
      </c>
      <c r="F594" s="86" t="s">
        <v>1828</v>
      </c>
      <c r="G594" s="86" t="s">
        <v>740</v>
      </c>
      <c r="H594" s="86" t="s">
        <v>1829</v>
      </c>
      <c r="I594" s="87" t="s">
        <v>2081</v>
      </c>
      <c r="J594" s="84" t="s">
        <v>554</v>
      </c>
      <c r="K594" s="84" t="s">
        <v>555</v>
      </c>
    </row>
    <row r="595" spans="1:11" ht="15.75" x14ac:dyDescent="0.3">
      <c r="A595" s="86" t="s">
        <v>2112</v>
      </c>
      <c r="B595" s="86" t="s">
        <v>2080</v>
      </c>
      <c r="C595" s="86" t="s">
        <v>293</v>
      </c>
      <c r="D595" s="86" t="s">
        <v>1717</v>
      </c>
      <c r="E595" s="86" t="s">
        <v>67</v>
      </c>
      <c r="F595" s="86" t="s">
        <v>69</v>
      </c>
      <c r="G595" s="86" t="s">
        <v>691</v>
      </c>
      <c r="H595" s="86" t="s">
        <v>1718</v>
      </c>
      <c r="I595" s="87" t="s">
        <v>2081</v>
      </c>
      <c r="J595" s="84" t="s">
        <v>554</v>
      </c>
      <c r="K595" s="84" t="s">
        <v>555</v>
      </c>
    </row>
    <row r="596" spans="1:11" ht="15.75" x14ac:dyDescent="0.3">
      <c r="A596" s="86" t="s">
        <v>2113</v>
      </c>
      <c r="B596" s="86" t="s">
        <v>2080</v>
      </c>
      <c r="C596" s="86" t="s">
        <v>293</v>
      </c>
      <c r="D596" s="86" t="s">
        <v>1954</v>
      </c>
      <c r="E596" s="86" t="s">
        <v>1955</v>
      </c>
      <c r="F596" s="86" t="s">
        <v>1956</v>
      </c>
      <c r="G596" s="86" t="s">
        <v>851</v>
      </c>
      <c r="H596" s="86" t="s">
        <v>1957</v>
      </c>
      <c r="I596" s="87" t="s">
        <v>2081</v>
      </c>
      <c r="J596" s="84" t="s">
        <v>554</v>
      </c>
      <c r="K596" s="84" t="s">
        <v>555</v>
      </c>
    </row>
    <row r="597" spans="1:11" ht="15.75" x14ac:dyDescent="0.3">
      <c r="A597" s="86" t="s">
        <v>2114</v>
      </c>
      <c r="B597" s="86" t="s">
        <v>2080</v>
      </c>
      <c r="C597" s="86" t="s">
        <v>293</v>
      </c>
      <c r="D597" s="86" t="s">
        <v>838</v>
      </c>
      <c r="E597" s="86" t="s">
        <v>1382</v>
      </c>
      <c r="F597" s="86" t="s">
        <v>840</v>
      </c>
      <c r="G597" s="86" t="s">
        <v>851</v>
      </c>
      <c r="H597" s="86" t="s">
        <v>1725</v>
      </c>
      <c r="I597" s="87" t="s">
        <v>2081</v>
      </c>
      <c r="J597" s="84" t="s">
        <v>554</v>
      </c>
      <c r="K597" s="84" t="s">
        <v>555</v>
      </c>
    </row>
    <row r="598" spans="1:11" ht="15.75" x14ac:dyDescent="0.3">
      <c r="A598" s="86" t="s">
        <v>2115</v>
      </c>
      <c r="B598" s="86" t="s">
        <v>2080</v>
      </c>
      <c r="C598" s="86" t="s">
        <v>293</v>
      </c>
      <c r="D598" s="86" t="s">
        <v>834</v>
      </c>
      <c r="E598" s="86" t="s">
        <v>929</v>
      </c>
      <c r="F598" s="86" t="s">
        <v>187</v>
      </c>
      <c r="G598" s="86" t="s">
        <v>588</v>
      </c>
      <c r="H598" s="86" t="s">
        <v>983</v>
      </c>
      <c r="I598" s="87" t="s">
        <v>2081</v>
      </c>
      <c r="J598" s="84" t="s">
        <v>554</v>
      </c>
      <c r="K598" s="84" t="s">
        <v>555</v>
      </c>
    </row>
    <row r="599" spans="1:11" ht="15.75" x14ac:dyDescent="0.3">
      <c r="A599" s="86" t="s">
        <v>2116</v>
      </c>
      <c r="B599" s="86" t="s">
        <v>2080</v>
      </c>
      <c r="C599" s="86" t="s">
        <v>292</v>
      </c>
      <c r="D599" s="86" t="s">
        <v>1729</v>
      </c>
      <c r="E599" s="86" t="s">
        <v>144</v>
      </c>
      <c r="F599" s="86" t="s">
        <v>146</v>
      </c>
      <c r="G599" s="86" t="s">
        <v>588</v>
      </c>
      <c r="H599" s="86" t="s">
        <v>1730</v>
      </c>
      <c r="I599" s="87" t="s">
        <v>2083</v>
      </c>
      <c r="J599" s="84" t="s">
        <v>554</v>
      </c>
      <c r="K599" s="84" t="s">
        <v>555</v>
      </c>
    </row>
    <row r="600" spans="1:11" ht="15.75" x14ac:dyDescent="0.3">
      <c r="A600" s="86" t="s">
        <v>2117</v>
      </c>
      <c r="B600" s="86" t="s">
        <v>2080</v>
      </c>
      <c r="C600" s="86" t="s">
        <v>293</v>
      </c>
      <c r="D600" s="86" t="s">
        <v>1732</v>
      </c>
      <c r="E600" s="86" t="s">
        <v>1733</v>
      </c>
      <c r="F600" s="86" t="s">
        <v>1734</v>
      </c>
      <c r="G600" s="86" t="s">
        <v>594</v>
      </c>
      <c r="H600" s="86" t="s">
        <v>1735</v>
      </c>
      <c r="I600" s="87" t="s">
        <v>2081</v>
      </c>
      <c r="J600" s="84" t="s">
        <v>554</v>
      </c>
      <c r="K600" s="84" t="s">
        <v>555</v>
      </c>
    </row>
    <row r="601" spans="1:11" ht="15.75" x14ac:dyDescent="0.3">
      <c r="A601" s="86" t="s">
        <v>2118</v>
      </c>
      <c r="B601" s="86" t="s">
        <v>2080</v>
      </c>
      <c r="C601" s="86" t="s">
        <v>292</v>
      </c>
      <c r="D601" s="86" t="s">
        <v>742</v>
      </c>
      <c r="E601" s="86" t="s">
        <v>1998</v>
      </c>
      <c r="F601" s="86" t="s">
        <v>744</v>
      </c>
      <c r="G601" s="86" t="s">
        <v>594</v>
      </c>
      <c r="H601" s="86" t="s">
        <v>1999</v>
      </c>
      <c r="I601" s="87" t="s">
        <v>2081</v>
      </c>
      <c r="J601" s="84" t="s">
        <v>554</v>
      </c>
      <c r="K601" s="84" t="s">
        <v>555</v>
      </c>
    </row>
    <row r="602" spans="1:11" ht="15.75" x14ac:dyDescent="0.3">
      <c r="A602" s="86" t="s">
        <v>2119</v>
      </c>
      <c r="B602" s="86" t="s">
        <v>2080</v>
      </c>
      <c r="C602" s="86" t="s">
        <v>293</v>
      </c>
      <c r="D602" s="86" t="s">
        <v>1739</v>
      </c>
      <c r="E602" s="86" t="s">
        <v>148</v>
      </c>
      <c r="F602" s="86" t="s">
        <v>150</v>
      </c>
      <c r="G602" s="86" t="s">
        <v>594</v>
      </c>
      <c r="H602" s="86" t="s">
        <v>1740</v>
      </c>
      <c r="I602" s="87" t="s">
        <v>2081</v>
      </c>
      <c r="J602" s="84" t="s">
        <v>554</v>
      </c>
      <c r="K602" s="84" t="s">
        <v>555</v>
      </c>
    </row>
    <row r="603" spans="1:11" ht="15.75" x14ac:dyDescent="0.3">
      <c r="A603" s="86" t="s">
        <v>2120</v>
      </c>
      <c r="B603" s="86" t="s">
        <v>2080</v>
      </c>
      <c r="C603" s="86" t="s">
        <v>292</v>
      </c>
      <c r="D603" s="86" t="s">
        <v>687</v>
      </c>
      <c r="E603" s="86" t="s">
        <v>152</v>
      </c>
      <c r="F603" s="86" t="s">
        <v>154</v>
      </c>
      <c r="G603" s="86" t="s">
        <v>594</v>
      </c>
      <c r="H603" s="86" t="s">
        <v>2121</v>
      </c>
      <c r="I603" s="87" t="s">
        <v>2081</v>
      </c>
      <c r="J603" s="84" t="s">
        <v>554</v>
      </c>
      <c r="K603" s="84" t="s">
        <v>555</v>
      </c>
    </row>
    <row r="604" spans="1:11" ht="15.75" x14ac:dyDescent="0.3">
      <c r="A604" s="86" t="s">
        <v>2122</v>
      </c>
      <c r="B604" s="86" t="s">
        <v>2080</v>
      </c>
      <c r="C604" s="86" t="s">
        <v>293</v>
      </c>
      <c r="D604" s="86" t="s">
        <v>1385</v>
      </c>
      <c r="E604" s="86" t="s">
        <v>89</v>
      </c>
      <c r="F604" s="86" t="s">
        <v>91</v>
      </c>
      <c r="G604" s="86" t="s">
        <v>667</v>
      </c>
      <c r="H604" s="86" t="s">
        <v>1386</v>
      </c>
      <c r="I604" s="87" t="s">
        <v>2081</v>
      </c>
      <c r="J604" s="84" t="s">
        <v>554</v>
      </c>
      <c r="K604" s="84" t="s">
        <v>555</v>
      </c>
    </row>
    <row r="605" spans="1:11" ht="15.75" x14ac:dyDescent="0.3">
      <c r="A605" s="86" t="s">
        <v>2123</v>
      </c>
      <c r="B605" s="86" t="s">
        <v>2080</v>
      </c>
      <c r="C605" s="86" t="s">
        <v>292</v>
      </c>
      <c r="D605" s="86" t="s">
        <v>1011</v>
      </c>
      <c r="E605" s="86" t="s">
        <v>1012</v>
      </c>
      <c r="F605" s="86" t="s">
        <v>1013</v>
      </c>
      <c r="G605" s="86" t="s">
        <v>745</v>
      </c>
      <c r="H605" s="86" t="s">
        <v>1014</v>
      </c>
      <c r="I605" s="87" t="s">
        <v>2081</v>
      </c>
      <c r="J605" s="84" t="s">
        <v>554</v>
      </c>
      <c r="K605" s="84" t="s">
        <v>555</v>
      </c>
    </row>
    <row r="606" spans="1:11" ht="15.75" x14ac:dyDescent="0.3">
      <c r="A606" s="86" t="s">
        <v>2124</v>
      </c>
      <c r="B606" s="86" t="s">
        <v>2080</v>
      </c>
      <c r="C606" s="86" t="s">
        <v>293</v>
      </c>
      <c r="D606" s="86" t="s">
        <v>951</v>
      </c>
      <c r="E606" s="86" t="s">
        <v>267</v>
      </c>
      <c r="F606" s="86" t="s">
        <v>269</v>
      </c>
      <c r="G606" s="86" t="s">
        <v>745</v>
      </c>
      <c r="H606" s="86" t="s">
        <v>952</v>
      </c>
      <c r="I606" s="87" t="s">
        <v>2083</v>
      </c>
      <c r="J606" s="84" t="s">
        <v>554</v>
      </c>
      <c r="K606" s="84" t="s">
        <v>555</v>
      </c>
    </row>
    <row r="607" spans="1:11" ht="15.75" x14ac:dyDescent="0.3">
      <c r="A607" s="86" t="s">
        <v>2125</v>
      </c>
      <c r="B607" s="86" t="s">
        <v>2080</v>
      </c>
      <c r="C607" s="86" t="s">
        <v>292</v>
      </c>
      <c r="D607" s="86" t="s">
        <v>1189</v>
      </c>
      <c r="E607" s="86" t="s">
        <v>156</v>
      </c>
      <c r="F607" s="86" t="s">
        <v>158</v>
      </c>
      <c r="G607" s="86" t="s">
        <v>745</v>
      </c>
      <c r="H607" s="86" t="s">
        <v>1190</v>
      </c>
      <c r="I607" s="87" t="s">
        <v>2081</v>
      </c>
      <c r="J607" s="84" t="s">
        <v>554</v>
      </c>
      <c r="K607" s="84" t="s">
        <v>555</v>
      </c>
    </row>
    <row r="608" spans="1:11" ht="15.75" x14ac:dyDescent="0.3">
      <c r="A608" s="86" t="s">
        <v>2126</v>
      </c>
      <c r="B608" s="86" t="s">
        <v>2080</v>
      </c>
      <c r="C608" s="86" t="s">
        <v>293</v>
      </c>
      <c r="D608" s="86" t="s">
        <v>810</v>
      </c>
      <c r="E608" s="86" t="s">
        <v>1834</v>
      </c>
      <c r="F608" s="86" t="s">
        <v>812</v>
      </c>
      <c r="G608" s="86" t="s">
        <v>750</v>
      </c>
      <c r="H608" s="86" t="s">
        <v>1835</v>
      </c>
      <c r="I608" s="87" t="s">
        <v>2081</v>
      </c>
      <c r="J608" s="84" t="s">
        <v>554</v>
      </c>
      <c r="K608" s="84" t="s">
        <v>555</v>
      </c>
    </row>
    <row r="609" spans="1:11" ht="15.75" x14ac:dyDescent="0.3">
      <c r="A609" s="86" t="s">
        <v>2127</v>
      </c>
      <c r="B609" s="86" t="s">
        <v>2080</v>
      </c>
      <c r="C609" s="86" t="s">
        <v>293</v>
      </c>
      <c r="D609" s="86" t="s">
        <v>672</v>
      </c>
      <c r="E609" s="86" t="s">
        <v>673</v>
      </c>
      <c r="F609" s="86" t="s">
        <v>674</v>
      </c>
      <c r="G609" s="86" t="s">
        <v>675</v>
      </c>
      <c r="H609" s="86" t="s">
        <v>1228</v>
      </c>
      <c r="I609" s="87" t="s">
        <v>2081</v>
      </c>
      <c r="J609" s="84" t="s">
        <v>554</v>
      </c>
      <c r="K609" s="84" t="s">
        <v>555</v>
      </c>
    </row>
    <row r="610" spans="1:11" ht="15.75" x14ac:dyDescent="0.3">
      <c r="A610" s="86" t="s">
        <v>2128</v>
      </c>
      <c r="B610" s="86" t="s">
        <v>2080</v>
      </c>
      <c r="C610" s="86" t="s">
        <v>292</v>
      </c>
      <c r="D610" s="86" t="s">
        <v>940</v>
      </c>
      <c r="E610" s="86" t="s">
        <v>161</v>
      </c>
      <c r="F610" s="86" t="s">
        <v>163</v>
      </c>
      <c r="G610" s="86" t="s">
        <v>675</v>
      </c>
      <c r="H610" s="86" t="s">
        <v>941</v>
      </c>
      <c r="I610" s="87" t="s">
        <v>2081</v>
      </c>
      <c r="J610" s="84" t="s">
        <v>554</v>
      </c>
      <c r="K610" s="84" t="s">
        <v>555</v>
      </c>
    </row>
    <row r="611" spans="1:11" ht="15.75" x14ac:dyDescent="0.3">
      <c r="A611" s="86" t="s">
        <v>2129</v>
      </c>
      <c r="B611" s="86" t="s">
        <v>2080</v>
      </c>
      <c r="C611" s="86" t="s">
        <v>293</v>
      </c>
      <c r="D611" s="86" t="s">
        <v>1121</v>
      </c>
      <c r="E611" s="86" t="s">
        <v>1122</v>
      </c>
      <c r="F611" s="86" t="s">
        <v>1123</v>
      </c>
      <c r="G611" s="86" t="s">
        <v>675</v>
      </c>
      <c r="H611" s="86" t="s">
        <v>2130</v>
      </c>
      <c r="I611" s="87" t="s">
        <v>2081</v>
      </c>
      <c r="J611" s="84" t="s">
        <v>554</v>
      </c>
      <c r="K611" s="84" t="s">
        <v>555</v>
      </c>
    </row>
    <row r="612" spans="1:11" ht="15.75" x14ac:dyDescent="0.3">
      <c r="A612" s="86" t="s">
        <v>2131</v>
      </c>
      <c r="B612" s="86" t="s">
        <v>2080</v>
      </c>
      <c r="C612" s="86" t="s">
        <v>293</v>
      </c>
      <c r="D612" s="86" t="s">
        <v>1195</v>
      </c>
      <c r="E612" s="86" t="s">
        <v>272</v>
      </c>
      <c r="F612" s="86" t="s">
        <v>274</v>
      </c>
      <c r="G612" s="86" t="s">
        <v>675</v>
      </c>
      <c r="H612" s="86" t="s">
        <v>1196</v>
      </c>
      <c r="I612" s="87" t="s">
        <v>2081</v>
      </c>
      <c r="J612" s="84" t="s">
        <v>554</v>
      </c>
      <c r="K612" s="84" t="s">
        <v>555</v>
      </c>
    </row>
    <row r="613" spans="1:11" ht="15.75" x14ac:dyDescent="0.3">
      <c r="A613" s="86" t="s">
        <v>2132</v>
      </c>
      <c r="B613" s="86" t="s">
        <v>2080</v>
      </c>
      <c r="C613" s="86" t="s">
        <v>292</v>
      </c>
      <c r="D613" s="86" t="s">
        <v>1040</v>
      </c>
      <c r="E613" s="86" t="s">
        <v>248</v>
      </c>
      <c r="F613" s="86" t="s">
        <v>250</v>
      </c>
      <c r="G613" s="86" t="s">
        <v>807</v>
      </c>
      <c r="H613" s="86" t="s">
        <v>1763</v>
      </c>
      <c r="I613" s="87" t="s">
        <v>2081</v>
      </c>
      <c r="J613" s="84" t="s">
        <v>554</v>
      </c>
      <c r="K613" s="84" t="s">
        <v>555</v>
      </c>
    </row>
    <row r="614" spans="1:11" ht="15.75" x14ac:dyDescent="0.3">
      <c r="A614" s="86" t="s">
        <v>2133</v>
      </c>
      <c r="B614" s="86" t="s">
        <v>2080</v>
      </c>
      <c r="C614" s="86" t="s">
        <v>292</v>
      </c>
      <c r="D614" s="86" t="s">
        <v>880</v>
      </c>
      <c r="E614" s="86" t="s">
        <v>71</v>
      </c>
      <c r="F614" s="86" t="s">
        <v>73</v>
      </c>
      <c r="G614" s="86" t="s">
        <v>807</v>
      </c>
      <c r="H614" s="86" t="s">
        <v>1198</v>
      </c>
      <c r="I614" s="87" t="s">
        <v>2081</v>
      </c>
      <c r="J614" s="84" t="s">
        <v>554</v>
      </c>
      <c r="K614" s="84" t="s">
        <v>555</v>
      </c>
    </row>
    <row r="615" spans="1:11" ht="15.75" x14ac:dyDescent="0.3">
      <c r="A615" s="86" t="s">
        <v>2134</v>
      </c>
      <c r="B615" s="86" t="s">
        <v>2080</v>
      </c>
      <c r="C615" s="86" t="s">
        <v>293</v>
      </c>
      <c r="D615" s="86" t="s">
        <v>985</v>
      </c>
      <c r="E615" s="86" t="s">
        <v>106</v>
      </c>
      <c r="F615" s="86" t="s">
        <v>108</v>
      </c>
      <c r="G615" s="86" t="s">
        <v>807</v>
      </c>
      <c r="H615" s="86" t="s">
        <v>986</v>
      </c>
      <c r="I615" s="87" t="s">
        <v>2081</v>
      </c>
      <c r="J615" s="84" t="s">
        <v>554</v>
      </c>
      <c r="K615" s="84" t="s">
        <v>555</v>
      </c>
    </row>
    <row r="616" spans="1:11" ht="15.75" x14ac:dyDescent="0.3">
      <c r="A616" s="86" t="s">
        <v>2135</v>
      </c>
      <c r="B616" s="86" t="s">
        <v>2080</v>
      </c>
      <c r="C616" s="86" t="s">
        <v>293</v>
      </c>
      <c r="D616" s="86" t="s">
        <v>1388</v>
      </c>
      <c r="E616" s="86" t="s">
        <v>101</v>
      </c>
      <c r="F616" s="86" t="s">
        <v>103</v>
      </c>
      <c r="G616" s="86" t="s">
        <v>807</v>
      </c>
      <c r="H616" s="86" t="s">
        <v>1766</v>
      </c>
      <c r="I616" s="87" t="s">
        <v>2081</v>
      </c>
      <c r="J616" s="84" t="s">
        <v>554</v>
      </c>
      <c r="K616" s="84" t="s">
        <v>555</v>
      </c>
    </row>
    <row r="617" spans="1:11" ht="15.75" x14ac:dyDescent="0.3">
      <c r="A617" s="86" t="s">
        <v>2136</v>
      </c>
      <c r="B617" s="86" t="s">
        <v>2080</v>
      </c>
      <c r="C617" s="86" t="s">
        <v>292</v>
      </c>
      <c r="D617" s="86" t="s">
        <v>883</v>
      </c>
      <c r="E617" s="86" t="s">
        <v>75</v>
      </c>
      <c r="F617" s="86" t="s">
        <v>77</v>
      </c>
      <c r="G617" s="86" t="s">
        <v>807</v>
      </c>
      <c r="H617" s="86" t="s">
        <v>959</v>
      </c>
      <c r="I617" s="87" t="s">
        <v>2081</v>
      </c>
      <c r="J617" s="84" t="s">
        <v>554</v>
      </c>
      <c r="K617" s="84" t="s">
        <v>555</v>
      </c>
    </row>
    <row r="618" spans="1:11" ht="15.75" x14ac:dyDescent="0.3">
      <c r="A618" s="86" t="s">
        <v>2137</v>
      </c>
      <c r="B618" s="86" t="s">
        <v>2080</v>
      </c>
      <c r="C618" s="86" t="s">
        <v>293</v>
      </c>
      <c r="D618" s="86" t="s">
        <v>2018</v>
      </c>
      <c r="E618" s="86" t="s">
        <v>2019</v>
      </c>
      <c r="F618" s="86" t="s">
        <v>2020</v>
      </c>
      <c r="G618" s="86" t="s">
        <v>990</v>
      </c>
      <c r="H618" s="86" t="s">
        <v>2021</v>
      </c>
      <c r="I618" s="87" t="s">
        <v>2081</v>
      </c>
      <c r="J618" s="84" t="s">
        <v>554</v>
      </c>
      <c r="K618" s="84" t="s">
        <v>555</v>
      </c>
    </row>
    <row r="619" spans="1:11" ht="15.75" x14ac:dyDescent="0.3">
      <c r="A619" s="86" t="s">
        <v>2138</v>
      </c>
      <c r="B619" s="86" t="s">
        <v>2080</v>
      </c>
      <c r="C619" s="86" t="s">
        <v>292</v>
      </c>
      <c r="D619" s="86" t="s">
        <v>1025</v>
      </c>
      <c r="E619" s="86" t="s">
        <v>1202</v>
      </c>
      <c r="F619" s="86" t="s">
        <v>1027</v>
      </c>
      <c r="G619" s="86" t="s">
        <v>990</v>
      </c>
      <c r="H619" s="86" t="s">
        <v>1203</v>
      </c>
      <c r="I619" s="87" t="s">
        <v>731</v>
      </c>
      <c r="J619" s="84" t="s">
        <v>554</v>
      </c>
      <c r="K619" s="84" t="s">
        <v>555</v>
      </c>
    </row>
    <row r="620" spans="1:11" ht="15.75" x14ac:dyDescent="0.3">
      <c r="A620" s="86" t="s">
        <v>2139</v>
      </c>
      <c r="B620" s="86" t="s">
        <v>2080</v>
      </c>
      <c r="C620" s="86" t="s">
        <v>292</v>
      </c>
      <c r="D620" s="86" t="s">
        <v>989</v>
      </c>
      <c r="E620" s="86" t="s">
        <v>252</v>
      </c>
      <c r="F620" s="86" t="s">
        <v>254</v>
      </c>
      <c r="G620" s="86" t="s">
        <v>990</v>
      </c>
      <c r="H620" s="86" t="s">
        <v>991</v>
      </c>
      <c r="I620" s="87" t="s">
        <v>2081</v>
      </c>
      <c r="J620" s="84" t="s">
        <v>554</v>
      </c>
      <c r="K620" s="84" t="s">
        <v>555</v>
      </c>
    </row>
    <row r="621" spans="1:11" ht="15.75" x14ac:dyDescent="0.3">
      <c r="A621" s="86" t="s">
        <v>2140</v>
      </c>
      <c r="B621" s="86" t="s">
        <v>2080</v>
      </c>
      <c r="C621" s="86" t="s">
        <v>292</v>
      </c>
      <c r="D621" s="86" t="s">
        <v>2023</v>
      </c>
      <c r="E621" s="86" t="s">
        <v>2024</v>
      </c>
      <c r="F621" s="86" t="s">
        <v>2025</v>
      </c>
      <c r="G621" s="86" t="s">
        <v>551</v>
      </c>
      <c r="H621" s="86" t="s">
        <v>2026</v>
      </c>
      <c r="I621" s="87" t="s">
        <v>2081</v>
      </c>
      <c r="J621" s="84" t="s">
        <v>554</v>
      </c>
      <c r="K621" s="84" t="s">
        <v>555</v>
      </c>
    </row>
    <row r="622" spans="1:11" ht="15.75" x14ac:dyDescent="0.3">
      <c r="A622" s="86" t="s">
        <v>2141</v>
      </c>
      <c r="B622" s="86" t="s">
        <v>2080</v>
      </c>
      <c r="C622" s="86" t="s">
        <v>292</v>
      </c>
      <c r="D622" s="86" t="s">
        <v>1025</v>
      </c>
      <c r="E622" s="86" t="s">
        <v>1564</v>
      </c>
      <c r="F622" s="86" t="s">
        <v>1027</v>
      </c>
      <c r="G622" s="86" t="s">
        <v>551</v>
      </c>
      <c r="H622" s="86" t="s">
        <v>1565</v>
      </c>
      <c r="I622" s="87" t="s">
        <v>2081</v>
      </c>
      <c r="J622" s="84" t="s">
        <v>554</v>
      </c>
      <c r="K622" s="84" t="s">
        <v>555</v>
      </c>
    </row>
    <row r="623" spans="1:11" ht="15.75" x14ac:dyDescent="0.3">
      <c r="A623" s="86" t="s">
        <v>2142</v>
      </c>
      <c r="B623" s="86" t="s">
        <v>2080</v>
      </c>
      <c r="C623" s="86" t="s">
        <v>293</v>
      </c>
      <c r="D623" s="86" t="s">
        <v>1842</v>
      </c>
      <c r="E623" s="86" t="s">
        <v>1843</v>
      </c>
      <c r="F623" s="86" t="s">
        <v>1844</v>
      </c>
      <c r="G623" s="86" t="s">
        <v>551</v>
      </c>
      <c r="H623" s="86" t="s">
        <v>1845</v>
      </c>
      <c r="I623" s="87" t="s">
        <v>2081</v>
      </c>
      <c r="J623" s="84" t="s">
        <v>554</v>
      </c>
      <c r="K623" s="84" t="s">
        <v>555</v>
      </c>
    </row>
    <row r="624" spans="1:11" ht="15.75" x14ac:dyDescent="0.3">
      <c r="A624" s="86" t="s">
        <v>2143</v>
      </c>
      <c r="B624" s="86" t="s">
        <v>2080</v>
      </c>
      <c r="C624" s="86" t="s">
        <v>293</v>
      </c>
      <c r="D624" s="86" t="s">
        <v>1850</v>
      </c>
      <c r="E624" s="86" t="s">
        <v>1851</v>
      </c>
      <c r="F624" s="86" t="s">
        <v>1852</v>
      </c>
      <c r="G624" s="86" t="s">
        <v>551</v>
      </c>
      <c r="H624" s="86" t="s">
        <v>1853</v>
      </c>
      <c r="I624" s="87" t="s">
        <v>2081</v>
      </c>
      <c r="J624" s="84" t="s">
        <v>554</v>
      </c>
      <c r="K624" s="84" t="s">
        <v>555</v>
      </c>
    </row>
    <row r="625" spans="1:11" ht="15.75" x14ac:dyDescent="0.3">
      <c r="A625" s="86" t="s">
        <v>2144</v>
      </c>
      <c r="B625" s="86" t="s">
        <v>2080</v>
      </c>
      <c r="C625" s="86" t="s">
        <v>292</v>
      </c>
      <c r="D625" s="86" t="s">
        <v>1206</v>
      </c>
      <c r="E625" s="86" t="s">
        <v>244</v>
      </c>
      <c r="F625" s="86" t="s">
        <v>246</v>
      </c>
      <c r="G625" s="86" t="s">
        <v>551</v>
      </c>
      <c r="H625" s="86" t="s">
        <v>1207</v>
      </c>
      <c r="I625" s="87" t="s">
        <v>2081</v>
      </c>
      <c r="J625" s="84" t="s">
        <v>554</v>
      </c>
      <c r="K625" s="84" t="s">
        <v>555</v>
      </c>
    </row>
    <row r="626" spans="1:11" ht="15.75" x14ac:dyDescent="0.3">
      <c r="A626" s="86" t="s">
        <v>2145</v>
      </c>
      <c r="B626" s="86" t="s">
        <v>2146</v>
      </c>
      <c r="C626" s="86" t="s">
        <v>293</v>
      </c>
      <c r="D626" s="86" t="s">
        <v>821</v>
      </c>
      <c r="E626" s="86" t="s">
        <v>822</v>
      </c>
      <c r="F626" s="86" t="s">
        <v>823</v>
      </c>
      <c r="G626" s="86" t="s">
        <v>824</v>
      </c>
      <c r="H626" s="86" t="s">
        <v>825</v>
      </c>
      <c r="I626" s="87" t="s">
        <v>2147</v>
      </c>
      <c r="J626" s="84" t="s">
        <v>554</v>
      </c>
      <c r="K626" s="84" t="s">
        <v>555</v>
      </c>
    </row>
    <row r="627" spans="1:11" ht="15.75" x14ac:dyDescent="0.3">
      <c r="A627" s="86" t="s">
        <v>2148</v>
      </c>
      <c r="B627" s="86" t="s">
        <v>2149</v>
      </c>
      <c r="C627" s="86" t="s">
        <v>293</v>
      </c>
      <c r="D627" s="86" t="s">
        <v>821</v>
      </c>
      <c r="E627" s="86" t="s">
        <v>822</v>
      </c>
      <c r="F627" s="86" t="s">
        <v>823</v>
      </c>
      <c r="G627" s="86" t="s">
        <v>824</v>
      </c>
      <c r="H627" s="86" t="s">
        <v>825</v>
      </c>
      <c r="I627" s="87" t="s">
        <v>2150</v>
      </c>
      <c r="J627" s="84" t="s">
        <v>554</v>
      </c>
      <c r="K627" s="84" t="s">
        <v>555</v>
      </c>
    </row>
    <row r="628" spans="1:11" ht="15.75" x14ac:dyDescent="0.3">
      <c r="A628" s="86" t="s">
        <v>2151</v>
      </c>
      <c r="B628" s="86" t="s">
        <v>2152</v>
      </c>
      <c r="C628" s="86" t="s">
        <v>293</v>
      </c>
      <c r="D628" s="86" t="s">
        <v>1107</v>
      </c>
      <c r="E628" s="86" t="s">
        <v>1108</v>
      </c>
      <c r="F628" s="86" t="s">
        <v>1109</v>
      </c>
      <c r="G628" s="86" t="s">
        <v>750</v>
      </c>
      <c r="H628" s="86" t="s">
        <v>1110</v>
      </c>
      <c r="I628" s="87" t="s">
        <v>2153</v>
      </c>
      <c r="J628" s="84" t="s">
        <v>554</v>
      </c>
      <c r="K628" s="84" t="s">
        <v>555</v>
      </c>
    </row>
    <row r="629" spans="1:11" ht="15.75" x14ac:dyDescent="0.3">
      <c r="A629" s="86" t="s">
        <v>2154</v>
      </c>
      <c r="B629" s="86" t="s">
        <v>2155</v>
      </c>
      <c r="C629" s="86" t="s">
        <v>293</v>
      </c>
      <c r="D629" s="86" t="s">
        <v>1413</v>
      </c>
      <c r="E629" s="86" t="s">
        <v>1414</v>
      </c>
      <c r="F629" s="86" t="s">
        <v>1415</v>
      </c>
      <c r="G629" s="86" t="s">
        <v>708</v>
      </c>
      <c r="H629" s="86" t="s">
        <v>2156</v>
      </c>
      <c r="I629" s="87" t="s">
        <v>2083</v>
      </c>
      <c r="J629" s="84" t="s">
        <v>554</v>
      </c>
      <c r="K629" s="84" t="s">
        <v>555</v>
      </c>
    </row>
    <row r="630" spans="1:11" ht="15.75" x14ac:dyDescent="0.3">
      <c r="A630" s="86" t="s">
        <v>2157</v>
      </c>
      <c r="B630" s="86" t="s">
        <v>2158</v>
      </c>
      <c r="C630" s="86" t="s">
        <v>293</v>
      </c>
      <c r="D630" s="86" t="s">
        <v>1413</v>
      </c>
      <c r="E630" s="86" t="s">
        <v>1414</v>
      </c>
      <c r="F630" s="86" t="s">
        <v>1415</v>
      </c>
      <c r="G630" s="86" t="s">
        <v>708</v>
      </c>
      <c r="H630" s="86" t="s">
        <v>2156</v>
      </c>
      <c r="I630" s="87" t="s">
        <v>2159</v>
      </c>
      <c r="J630" s="84" t="s">
        <v>554</v>
      </c>
      <c r="K630" s="84" t="s">
        <v>555</v>
      </c>
    </row>
    <row r="631" spans="1:11" ht="15.75" x14ac:dyDescent="0.3">
      <c r="A631" s="86" t="s">
        <v>2160</v>
      </c>
      <c r="B631" s="86" t="s">
        <v>2161</v>
      </c>
      <c r="C631" s="86" t="s">
        <v>293</v>
      </c>
      <c r="D631" s="86" t="s">
        <v>1413</v>
      </c>
      <c r="E631" s="86" t="s">
        <v>1414</v>
      </c>
      <c r="F631" s="86" t="s">
        <v>1415</v>
      </c>
      <c r="G631" s="86" t="s">
        <v>708</v>
      </c>
      <c r="H631" s="86" t="s">
        <v>2156</v>
      </c>
      <c r="I631" s="87" t="s">
        <v>2162</v>
      </c>
      <c r="J631" s="84" t="s">
        <v>554</v>
      </c>
      <c r="K631" s="84" t="s">
        <v>555</v>
      </c>
    </row>
    <row r="632" spans="1:11" ht="15.75" x14ac:dyDescent="0.3">
      <c r="A632" s="86" t="s">
        <v>2163</v>
      </c>
      <c r="B632" s="86" t="s">
        <v>2161</v>
      </c>
      <c r="C632" s="86" t="s">
        <v>292</v>
      </c>
      <c r="D632" s="86" t="s">
        <v>1025</v>
      </c>
      <c r="E632" s="86" t="s">
        <v>1202</v>
      </c>
      <c r="F632" s="86" t="s">
        <v>1027</v>
      </c>
      <c r="G632" s="86" t="s">
        <v>750</v>
      </c>
      <c r="H632" s="86" t="s">
        <v>1410</v>
      </c>
      <c r="I632" s="87" t="s">
        <v>731</v>
      </c>
      <c r="J632" s="84" t="s">
        <v>554</v>
      </c>
      <c r="K632" s="84" t="s">
        <v>555</v>
      </c>
    </row>
    <row r="633" spans="1:11" ht="15.75" x14ac:dyDescent="0.3">
      <c r="A633" s="86" t="s">
        <v>2164</v>
      </c>
      <c r="B633" s="86" t="s">
        <v>2161</v>
      </c>
      <c r="C633" s="86" t="s">
        <v>292</v>
      </c>
      <c r="D633" s="86" t="s">
        <v>1025</v>
      </c>
      <c r="E633" s="86" t="s">
        <v>1564</v>
      </c>
      <c r="F633" s="86" t="s">
        <v>1027</v>
      </c>
      <c r="G633" s="86" t="s">
        <v>551</v>
      </c>
      <c r="H633" s="86" t="s">
        <v>1565</v>
      </c>
      <c r="I633" s="87" t="s">
        <v>2162</v>
      </c>
      <c r="J633" s="84" t="s">
        <v>554</v>
      </c>
      <c r="K633" s="84" t="s">
        <v>555</v>
      </c>
    </row>
    <row r="634" spans="1:11" ht="15.75" x14ac:dyDescent="0.3">
      <c r="A634" s="86" t="s">
        <v>2165</v>
      </c>
      <c r="B634" s="86" t="s">
        <v>2166</v>
      </c>
      <c r="C634" s="86" t="s">
        <v>292</v>
      </c>
      <c r="D634" s="86" t="s">
        <v>1025</v>
      </c>
      <c r="E634" s="86" t="s">
        <v>1202</v>
      </c>
      <c r="F634" s="86" t="s">
        <v>1027</v>
      </c>
      <c r="G634" s="86" t="s">
        <v>750</v>
      </c>
      <c r="H634" s="86" t="s">
        <v>1410</v>
      </c>
      <c r="I634" s="87" t="s">
        <v>731</v>
      </c>
      <c r="J634" s="84" t="s">
        <v>554</v>
      </c>
      <c r="K634" s="84" t="s">
        <v>555</v>
      </c>
    </row>
    <row r="635" spans="1:11" ht="15.75" x14ac:dyDescent="0.3">
      <c r="A635" s="86" t="s">
        <v>2167</v>
      </c>
      <c r="B635" s="86" t="s">
        <v>2166</v>
      </c>
      <c r="C635" s="86" t="s">
        <v>292</v>
      </c>
      <c r="D635" s="86" t="s">
        <v>1025</v>
      </c>
      <c r="E635" s="86" t="s">
        <v>1564</v>
      </c>
      <c r="F635" s="86" t="s">
        <v>1027</v>
      </c>
      <c r="G635" s="86" t="s">
        <v>551</v>
      </c>
      <c r="H635" s="86" t="s">
        <v>1565</v>
      </c>
      <c r="I635" s="87" t="s">
        <v>2083</v>
      </c>
      <c r="J635" s="84" t="s">
        <v>554</v>
      </c>
      <c r="K635" s="84" t="s">
        <v>555</v>
      </c>
    </row>
    <row r="636" spans="1:11" ht="15.75" x14ac:dyDescent="0.3">
      <c r="A636" s="86" t="s">
        <v>2168</v>
      </c>
      <c r="B636" s="86" t="s">
        <v>2169</v>
      </c>
      <c r="C636" s="86" t="s">
        <v>292</v>
      </c>
      <c r="D636" s="86" t="s">
        <v>1025</v>
      </c>
      <c r="E636" s="86" t="s">
        <v>1202</v>
      </c>
      <c r="F636" s="86" t="s">
        <v>1027</v>
      </c>
      <c r="G636" s="86" t="s">
        <v>750</v>
      </c>
      <c r="H636" s="86" t="s">
        <v>1410</v>
      </c>
      <c r="I636" s="87" t="s">
        <v>731</v>
      </c>
      <c r="J636" s="84" t="s">
        <v>554</v>
      </c>
      <c r="K636" s="84" t="s">
        <v>555</v>
      </c>
    </row>
    <row r="637" spans="1:11" ht="15.75" x14ac:dyDescent="0.3">
      <c r="A637" s="86" t="s">
        <v>2170</v>
      </c>
      <c r="B637" s="86" t="s">
        <v>2169</v>
      </c>
      <c r="C637" s="86" t="s">
        <v>292</v>
      </c>
      <c r="D637" s="86" t="s">
        <v>1025</v>
      </c>
      <c r="E637" s="86" t="s">
        <v>1564</v>
      </c>
      <c r="F637" s="86" t="s">
        <v>1027</v>
      </c>
      <c r="G637" s="86" t="s">
        <v>551</v>
      </c>
      <c r="H637" s="86" t="s">
        <v>1565</v>
      </c>
      <c r="I637" s="87" t="s">
        <v>2081</v>
      </c>
      <c r="J637" s="84" t="s">
        <v>554</v>
      </c>
      <c r="K637" s="84" t="s">
        <v>555</v>
      </c>
    </row>
    <row r="638" spans="1:11" ht="15.75" x14ac:dyDescent="0.3">
      <c r="A638" s="86" t="s">
        <v>2171</v>
      </c>
      <c r="B638" s="86" t="s">
        <v>2172</v>
      </c>
      <c r="C638" s="86" t="s">
        <v>292</v>
      </c>
      <c r="D638" s="86" t="s">
        <v>2173</v>
      </c>
      <c r="E638" s="86" t="s">
        <v>2174</v>
      </c>
      <c r="F638" s="86" t="s">
        <v>2175</v>
      </c>
      <c r="G638" s="86" t="s">
        <v>652</v>
      </c>
      <c r="H638" s="86" t="s">
        <v>2176</v>
      </c>
      <c r="I638" s="87" t="s">
        <v>2177</v>
      </c>
      <c r="J638" s="84" t="s">
        <v>554</v>
      </c>
      <c r="K638" s="84" t="s">
        <v>555</v>
      </c>
    </row>
    <row r="639" spans="1:11" ht="15.75" x14ac:dyDescent="0.3">
      <c r="A639" s="86" t="s">
        <v>2178</v>
      </c>
      <c r="B639" s="86" t="s">
        <v>2179</v>
      </c>
      <c r="C639" s="86" t="s">
        <v>293</v>
      </c>
      <c r="D639" s="86" t="s">
        <v>17</v>
      </c>
      <c r="E639" s="86" t="s">
        <v>549</v>
      </c>
      <c r="F639" s="86" t="s">
        <v>550</v>
      </c>
      <c r="G639" s="86" t="s">
        <v>551</v>
      </c>
      <c r="H639" s="86" t="s">
        <v>2180</v>
      </c>
      <c r="I639" s="87" t="s">
        <v>2181</v>
      </c>
      <c r="J639" s="84" t="s">
        <v>554</v>
      </c>
      <c r="K639" s="84" t="s">
        <v>555</v>
      </c>
    </row>
    <row r="640" spans="1:11" ht="15.75" x14ac:dyDescent="0.3">
      <c r="A640" s="86" t="s">
        <v>2182</v>
      </c>
      <c r="B640" s="86" t="s">
        <v>2183</v>
      </c>
      <c r="C640" s="86" t="s">
        <v>294</v>
      </c>
      <c r="D640" s="86" t="s">
        <v>1602</v>
      </c>
      <c r="E640" s="86" t="s">
        <v>1603</v>
      </c>
      <c r="F640" s="86" t="s">
        <v>1604</v>
      </c>
      <c r="G640" s="86" t="s">
        <v>824</v>
      </c>
      <c r="H640" s="86" t="s">
        <v>1605</v>
      </c>
      <c r="I640" s="87" t="s">
        <v>2184</v>
      </c>
      <c r="J640" s="84" t="s">
        <v>554</v>
      </c>
      <c r="K640" s="84" t="s">
        <v>555</v>
      </c>
    </row>
    <row r="641" spans="1:11" ht="15.75" x14ac:dyDescent="0.3">
      <c r="A641" s="86" t="s">
        <v>2185</v>
      </c>
      <c r="B641" s="86" t="s">
        <v>2186</v>
      </c>
      <c r="C641" s="86" t="s">
        <v>294</v>
      </c>
      <c r="D641" s="86" t="s">
        <v>796</v>
      </c>
      <c r="E641" s="86" t="s">
        <v>797</v>
      </c>
      <c r="F641" s="86" t="s">
        <v>798</v>
      </c>
      <c r="G641" s="86" t="s">
        <v>588</v>
      </c>
      <c r="H641" s="86" t="s">
        <v>799</v>
      </c>
      <c r="I641" s="87" t="s">
        <v>2187</v>
      </c>
      <c r="J641" s="84" t="s">
        <v>554</v>
      </c>
      <c r="K641" s="84" t="s">
        <v>555</v>
      </c>
    </row>
    <row r="642" spans="1:11" ht="15.75" x14ac:dyDescent="0.3">
      <c r="A642" s="86" t="s">
        <v>2188</v>
      </c>
      <c r="B642" s="86" t="s">
        <v>2189</v>
      </c>
      <c r="C642" s="86" t="s">
        <v>294</v>
      </c>
      <c r="D642" s="86" t="s">
        <v>1608</v>
      </c>
      <c r="E642" s="86" t="s">
        <v>1609</v>
      </c>
      <c r="F642" s="86" t="s">
        <v>1610</v>
      </c>
      <c r="G642" s="86" t="s">
        <v>622</v>
      </c>
      <c r="H642" s="86" t="s">
        <v>1611</v>
      </c>
      <c r="I642" s="87" t="s">
        <v>2190</v>
      </c>
      <c r="J642" s="84" t="s">
        <v>554</v>
      </c>
      <c r="K642" s="84" t="s">
        <v>555</v>
      </c>
    </row>
    <row r="643" spans="1:11" ht="15.75" x14ac:dyDescent="0.3">
      <c r="A643" s="86" t="s">
        <v>2191</v>
      </c>
      <c r="B643" s="86" t="s">
        <v>2192</v>
      </c>
      <c r="C643" s="86" t="s">
        <v>294</v>
      </c>
      <c r="D643" s="86" t="s">
        <v>810</v>
      </c>
      <c r="E643" s="86" t="s">
        <v>811</v>
      </c>
      <c r="F643" s="86" t="s">
        <v>812</v>
      </c>
      <c r="G643" s="86" t="s">
        <v>807</v>
      </c>
      <c r="H643" s="86" t="s">
        <v>813</v>
      </c>
      <c r="I643" s="87" t="s">
        <v>2193</v>
      </c>
      <c r="J643" s="84" t="s">
        <v>554</v>
      </c>
      <c r="K643" s="84" t="s">
        <v>555</v>
      </c>
    </row>
    <row r="644" spans="1:11" ht="15.75" x14ac:dyDescent="0.3">
      <c r="A644" s="86" t="s">
        <v>2194</v>
      </c>
      <c r="B644" s="86" t="s">
        <v>2195</v>
      </c>
      <c r="C644" s="86" t="s">
        <v>292</v>
      </c>
      <c r="D644" s="86" t="s">
        <v>1366</v>
      </c>
      <c r="E644" s="86" t="s">
        <v>231</v>
      </c>
      <c r="F644" s="86" t="s">
        <v>233</v>
      </c>
      <c r="G644" s="86" t="s">
        <v>1367</v>
      </c>
      <c r="H644" s="86" t="s">
        <v>1625</v>
      </c>
      <c r="I644" s="87" t="s">
        <v>2196</v>
      </c>
      <c r="J644" s="84" t="s">
        <v>554</v>
      </c>
      <c r="K644" s="84" t="s">
        <v>555</v>
      </c>
    </row>
    <row r="645" spans="1:11" ht="15.75" x14ac:dyDescent="0.3">
      <c r="A645" s="86" t="s">
        <v>2197</v>
      </c>
      <c r="B645" s="86" t="s">
        <v>2195</v>
      </c>
      <c r="C645" s="86" t="s">
        <v>292</v>
      </c>
      <c r="D645" s="86" t="s">
        <v>639</v>
      </c>
      <c r="E645" s="86" t="s">
        <v>22</v>
      </c>
      <c r="F645" s="86" t="s">
        <v>24</v>
      </c>
      <c r="G645" s="86" t="s">
        <v>701</v>
      </c>
      <c r="H645" s="86" t="s">
        <v>977</v>
      </c>
      <c r="I645" s="87" t="s">
        <v>2198</v>
      </c>
      <c r="J645" s="84" t="s">
        <v>554</v>
      </c>
      <c r="K645" s="84" t="s">
        <v>555</v>
      </c>
    </row>
    <row r="646" spans="1:11" ht="15.75" x14ac:dyDescent="0.3">
      <c r="A646" s="86" t="s">
        <v>2199</v>
      </c>
      <c r="B646" s="86" t="s">
        <v>2195</v>
      </c>
      <c r="C646" s="86" t="s">
        <v>293</v>
      </c>
      <c r="D646" s="86" t="s">
        <v>821</v>
      </c>
      <c r="E646" s="86" t="s">
        <v>822</v>
      </c>
      <c r="F646" s="86" t="s">
        <v>823</v>
      </c>
      <c r="G646" s="86" t="s">
        <v>701</v>
      </c>
      <c r="H646" s="86" t="s">
        <v>1008</v>
      </c>
      <c r="I646" s="87" t="s">
        <v>2200</v>
      </c>
      <c r="J646" s="84" t="s">
        <v>554</v>
      </c>
      <c r="K646" s="84" t="s">
        <v>555</v>
      </c>
    </row>
    <row r="647" spans="1:11" ht="15.75" x14ac:dyDescent="0.3">
      <c r="A647" s="86" t="s">
        <v>2201</v>
      </c>
      <c r="B647" s="86" t="s">
        <v>2195</v>
      </c>
      <c r="C647" s="86" t="s">
        <v>293</v>
      </c>
      <c r="D647" s="86" t="s">
        <v>1650</v>
      </c>
      <c r="E647" s="86" t="s">
        <v>1651</v>
      </c>
      <c r="F647" s="86" t="s">
        <v>1652</v>
      </c>
      <c r="G647" s="86" t="s">
        <v>640</v>
      </c>
      <c r="H647" s="86" t="s">
        <v>1653</v>
      </c>
      <c r="I647" s="87" t="s">
        <v>2196</v>
      </c>
      <c r="J647" s="84" t="s">
        <v>554</v>
      </c>
      <c r="K647" s="84" t="s">
        <v>555</v>
      </c>
    </row>
    <row r="648" spans="1:11" ht="15.75" x14ac:dyDescent="0.3">
      <c r="A648" s="86" t="s">
        <v>2202</v>
      </c>
      <c r="B648" s="86" t="s">
        <v>2195</v>
      </c>
      <c r="C648" s="86" t="s">
        <v>292</v>
      </c>
      <c r="D648" s="86" t="s">
        <v>1146</v>
      </c>
      <c r="E648" s="86" t="s">
        <v>239</v>
      </c>
      <c r="F648" s="86" t="s">
        <v>241</v>
      </c>
      <c r="G648" s="86" t="s">
        <v>824</v>
      </c>
      <c r="H648" s="86" t="s">
        <v>1147</v>
      </c>
      <c r="I648" s="87" t="s">
        <v>2196</v>
      </c>
      <c r="J648" s="84" t="s">
        <v>554</v>
      </c>
      <c r="K648" s="84" t="s">
        <v>555</v>
      </c>
    </row>
    <row r="649" spans="1:11" ht="15.75" x14ac:dyDescent="0.3">
      <c r="A649" s="86" t="s">
        <v>2203</v>
      </c>
      <c r="B649" s="86" t="s">
        <v>2195</v>
      </c>
      <c r="C649" s="86" t="s">
        <v>293</v>
      </c>
      <c r="D649" s="86" t="s">
        <v>1608</v>
      </c>
      <c r="E649" s="86" t="s">
        <v>1664</v>
      </c>
      <c r="F649" s="86" t="s">
        <v>1610</v>
      </c>
      <c r="G649" s="86" t="s">
        <v>708</v>
      </c>
      <c r="H649" s="86" t="s">
        <v>1665</v>
      </c>
      <c r="I649" s="87" t="s">
        <v>2198</v>
      </c>
      <c r="J649" s="84" t="s">
        <v>554</v>
      </c>
      <c r="K649" s="84" t="s">
        <v>555</v>
      </c>
    </row>
    <row r="650" spans="1:11" ht="15.75" x14ac:dyDescent="0.3">
      <c r="A650" s="86" t="s">
        <v>2204</v>
      </c>
      <c r="B650" s="86" t="s">
        <v>2195</v>
      </c>
      <c r="C650" s="86" t="s">
        <v>292</v>
      </c>
      <c r="D650" s="86" t="s">
        <v>970</v>
      </c>
      <c r="E650" s="86" t="s">
        <v>971</v>
      </c>
      <c r="F650" s="86" t="s">
        <v>972</v>
      </c>
      <c r="G650" s="86" t="s">
        <v>708</v>
      </c>
      <c r="H650" s="86" t="s">
        <v>1149</v>
      </c>
      <c r="I650" s="87" t="s">
        <v>2196</v>
      </c>
      <c r="J650" s="84" t="s">
        <v>554</v>
      </c>
      <c r="K650" s="84" t="s">
        <v>555</v>
      </c>
    </row>
    <row r="651" spans="1:11" ht="15.75" x14ac:dyDescent="0.3">
      <c r="A651" s="86" t="s">
        <v>2205</v>
      </c>
      <c r="B651" s="86" t="s">
        <v>2195</v>
      </c>
      <c r="C651" s="86" t="s">
        <v>293</v>
      </c>
      <c r="D651" s="86" t="s">
        <v>955</v>
      </c>
      <c r="E651" s="86" t="s">
        <v>38</v>
      </c>
      <c r="F651" s="86" t="s">
        <v>40</v>
      </c>
      <c r="G651" s="86" t="s">
        <v>622</v>
      </c>
      <c r="H651" s="86" t="s">
        <v>956</v>
      </c>
      <c r="I651" s="87" t="s">
        <v>2196</v>
      </c>
      <c r="J651" s="84" t="s">
        <v>554</v>
      </c>
      <c r="K651" s="84" t="s">
        <v>555</v>
      </c>
    </row>
    <row r="652" spans="1:11" ht="15.75" x14ac:dyDescent="0.3">
      <c r="A652" s="86" t="s">
        <v>2206</v>
      </c>
      <c r="B652" s="86" t="s">
        <v>2195</v>
      </c>
      <c r="C652" s="86" t="s">
        <v>293</v>
      </c>
      <c r="D652" s="86" t="s">
        <v>1153</v>
      </c>
      <c r="E652" s="86" t="s">
        <v>207</v>
      </c>
      <c r="F652" s="86" t="s">
        <v>209</v>
      </c>
      <c r="G652" s="86" t="s">
        <v>683</v>
      </c>
      <c r="H652" s="86" t="s">
        <v>1154</v>
      </c>
      <c r="I652" s="87" t="s">
        <v>2196</v>
      </c>
      <c r="J652" s="84" t="s">
        <v>554</v>
      </c>
      <c r="K652" s="84" t="s">
        <v>555</v>
      </c>
    </row>
    <row r="653" spans="1:11" ht="15.75" x14ac:dyDescent="0.3">
      <c r="A653" s="86" t="s">
        <v>2207</v>
      </c>
      <c r="B653" s="86" t="s">
        <v>2195</v>
      </c>
      <c r="C653" s="86" t="s">
        <v>293</v>
      </c>
      <c r="D653" s="86" t="s">
        <v>1156</v>
      </c>
      <c r="E653" s="86" t="s">
        <v>117</v>
      </c>
      <c r="F653" s="86" t="s">
        <v>119</v>
      </c>
      <c r="G653" s="86" t="s">
        <v>683</v>
      </c>
      <c r="H653" s="86" t="s">
        <v>1157</v>
      </c>
      <c r="I653" s="87" t="s">
        <v>2196</v>
      </c>
      <c r="J653" s="84" t="s">
        <v>554</v>
      </c>
      <c r="K653" s="84" t="s">
        <v>555</v>
      </c>
    </row>
    <row r="654" spans="1:11" ht="15.75" x14ac:dyDescent="0.3">
      <c r="A654" s="86" t="s">
        <v>2208</v>
      </c>
      <c r="B654" s="86" t="s">
        <v>2195</v>
      </c>
      <c r="C654" s="86" t="s">
        <v>293</v>
      </c>
      <c r="D654" s="86" t="s">
        <v>1352</v>
      </c>
      <c r="E654" s="86" t="s">
        <v>43</v>
      </c>
      <c r="F654" s="86" t="s">
        <v>45</v>
      </c>
      <c r="G654" s="86" t="s">
        <v>683</v>
      </c>
      <c r="H654" s="86" t="s">
        <v>1353</v>
      </c>
      <c r="I654" s="87" t="s">
        <v>2196</v>
      </c>
      <c r="J654" s="84" t="s">
        <v>554</v>
      </c>
      <c r="K654" s="84" t="s">
        <v>555</v>
      </c>
    </row>
    <row r="655" spans="1:11" ht="15.75" x14ac:dyDescent="0.3">
      <c r="A655" s="86" t="s">
        <v>2209</v>
      </c>
      <c r="B655" s="86" t="s">
        <v>2195</v>
      </c>
      <c r="C655" s="86" t="s">
        <v>293</v>
      </c>
      <c r="D655" s="86" t="s">
        <v>962</v>
      </c>
      <c r="E655" s="86" t="s">
        <v>963</v>
      </c>
      <c r="F655" s="86" t="s">
        <v>964</v>
      </c>
      <c r="G655" s="86" t="s">
        <v>965</v>
      </c>
      <c r="H655" s="86" t="s">
        <v>966</v>
      </c>
      <c r="I655" s="87" t="s">
        <v>2198</v>
      </c>
      <c r="J655" s="84" t="s">
        <v>554</v>
      </c>
      <c r="K655" s="84" t="s">
        <v>555</v>
      </c>
    </row>
    <row r="656" spans="1:11" ht="15.75" x14ac:dyDescent="0.3">
      <c r="A656" s="86" t="s">
        <v>2210</v>
      </c>
      <c r="B656" s="86" t="s">
        <v>2195</v>
      </c>
      <c r="C656" s="86" t="s">
        <v>292</v>
      </c>
      <c r="D656" s="86" t="s">
        <v>1159</v>
      </c>
      <c r="E656" s="86" t="s">
        <v>121</v>
      </c>
      <c r="F656" s="86" t="s">
        <v>123</v>
      </c>
      <c r="G656" s="86" t="s">
        <v>645</v>
      </c>
      <c r="H656" s="86" t="s">
        <v>1160</v>
      </c>
      <c r="I656" s="87" t="s">
        <v>2196</v>
      </c>
      <c r="J656" s="84" t="s">
        <v>554</v>
      </c>
      <c r="K656" s="84" t="s">
        <v>555</v>
      </c>
    </row>
    <row r="657" spans="1:11" ht="15.75" x14ac:dyDescent="0.3">
      <c r="A657" s="86" t="s">
        <v>2211</v>
      </c>
      <c r="B657" s="86" t="s">
        <v>2195</v>
      </c>
      <c r="C657" s="86" t="s">
        <v>293</v>
      </c>
      <c r="D657" s="86" t="s">
        <v>1359</v>
      </c>
      <c r="E657" s="86" t="s">
        <v>1360</v>
      </c>
      <c r="F657" s="86" t="s">
        <v>1361</v>
      </c>
      <c r="G657" s="86" t="s">
        <v>645</v>
      </c>
      <c r="H657" s="86" t="s">
        <v>1362</v>
      </c>
      <c r="I657" s="87" t="s">
        <v>2196</v>
      </c>
      <c r="J657" s="84" t="s">
        <v>554</v>
      </c>
      <c r="K657" s="84" t="s">
        <v>555</v>
      </c>
    </row>
    <row r="658" spans="1:11" ht="15.75" x14ac:dyDescent="0.3">
      <c r="A658" s="86" t="s">
        <v>2212</v>
      </c>
      <c r="B658" s="86" t="s">
        <v>2195</v>
      </c>
      <c r="C658" s="86" t="s">
        <v>293</v>
      </c>
      <c r="D658" s="86" t="s">
        <v>1162</v>
      </c>
      <c r="E658" s="86" t="s">
        <v>1163</v>
      </c>
      <c r="F658" s="86" t="s">
        <v>1164</v>
      </c>
      <c r="G658" s="86" t="s">
        <v>579</v>
      </c>
      <c r="H658" s="86" t="s">
        <v>1165</v>
      </c>
      <c r="I658" s="87" t="s">
        <v>2196</v>
      </c>
      <c r="J658" s="84" t="s">
        <v>554</v>
      </c>
      <c r="K658" s="84" t="s">
        <v>555</v>
      </c>
    </row>
    <row r="659" spans="1:11" ht="15.75" x14ac:dyDescent="0.3">
      <c r="A659" s="86" t="s">
        <v>2213</v>
      </c>
      <c r="B659" s="86" t="s">
        <v>2195</v>
      </c>
      <c r="C659" s="86" t="s">
        <v>293</v>
      </c>
      <c r="D659" s="86" t="s">
        <v>1017</v>
      </c>
      <c r="E659" s="86" t="s">
        <v>259</v>
      </c>
      <c r="F659" s="86" t="s">
        <v>261</v>
      </c>
      <c r="G659" s="86" t="s">
        <v>579</v>
      </c>
      <c r="H659" s="86" t="s">
        <v>1167</v>
      </c>
      <c r="I659" s="87" t="s">
        <v>2196</v>
      </c>
      <c r="J659" s="84" t="s">
        <v>554</v>
      </c>
      <c r="K659" s="84" t="s">
        <v>555</v>
      </c>
    </row>
    <row r="660" spans="1:11" ht="15.75" x14ac:dyDescent="0.3">
      <c r="A660" s="86" t="s">
        <v>2214</v>
      </c>
      <c r="B660" s="86" t="s">
        <v>2195</v>
      </c>
      <c r="C660" s="86" t="s">
        <v>293</v>
      </c>
      <c r="D660" s="86" t="s">
        <v>1169</v>
      </c>
      <c r="E660" s="86" t="s">
        <v>1170</v>
      </c>
      <c r="F660" s="86" t="s">
        <v>1171</v>
      </c>
      <c r="G660" s="86" t="s">
        <v>579</v>
      </c>
      <c r="H660" s="86" t="s">
        <v>1172</v>
      </c>
      <c r="I660" s="87" t="s">
        <v>2196</v>
      </c>
      <c r="J660" s="84" t="s">
        <v>554</v>
      </c>
      <c r="K660" s="84" t="s">
        <v>555</v>
      </c>
    </row>
    <row r="661" spans="1:11" ht="15.75" x14ac:dyDescent="0.3">
      <c r="A661" s="86" t="s">
        <v>2215</v>
      </c>
      <c r="B661" s="86" t="s">
        <v>2195</v>
      </c>
      <c r="C661" s="86" t="s">
        <v>293</v>
      </c>
      <c r="D661" s="86" t="s">
        <v>924</v>
      </c>
      <c r="E661" s="86" t="s">
        <v>126</v>
      </c>
      <c r="F661" s="86" t="s">
        <v>128</v>
      </c>
      <c r="G661" s="86" t="s">
        <v>579</v>
      </c>
      <c r="H661" s="86" t="s">
        <v>1696</v>
      </c>
      <c r="I661" s="87" t="s">
        <v>2198</v>
      </c>
      <c r="J661" s="84" t="s">
        <v>554</v>
      </c>
      <c r="K661" s="84" t="s">
        <v>555</v>
      </c>
    </row>
    <row r="662" spans="1:11" ht="15.75" x14ac:dyDescent="0.3">
      <c r="A662" s="86" t="s">
        <v>2216</v>
      </c>
      <c r="B662" s="86" t="s">
        <v>2195</v>
      </c>
      <c r="C662" s="86" t="s">
        <v>293</v>
      </c>
      <c r="D662" s="86" t="s">
        <v>980</v>
      </c>
      <c r="E662" s="86" t="s">
        <v>224</v>
      </c>
      <c r="F662" s="86" t="s">
        <v>226</v>
      </c>
      <c r="G662" s="86" t="s">
        <v>652</v>
      </c>
      <c r="H662" s="86" t="s">
        <v>2217</v>
      </c>
      <c r="I662" s="87" t="s">
        <v>2196</v>
      </c>
      <c r="J662" s="84" t="s">
        <v>554</v>
      </c>
      <c r="K662" s="84" t="s">
        <v>555</v>
      </c>
    </row>
    <row r="663" spans="1:11" ht="15.75" x14ac:dyDescent="0.3">
      <c r="A663" s="86" t="s">
        <v>2218</v>
      </c>
      <c r="B663" s="86" t="s">
        <v>2195</v>
      </c>
      <c r="C663" s="86" t="s">
        <v>293</v>
      </c>
      <c r="D663" s="86" t="s">
        <v>1235</v>
      </c>
      <c r="E663" s="86" t="s">
        <v>1236</v>
      </c>
      <c r="F663" s="86" t="s">
        <v>1237</v>
      </c>
      <c r="G663" s="86" t="s">
        <v>652</v>
      </c>
      <c r="H663" s="86" t="s">
        <v>1238</v>
      </c>
      <c r="I663" s="87" t="s">
        <v>2198</v>
      </c>
      <c r="J663" s="84" t="s">
        <v>554</v>
      </c>
      <c r="K663" s="84" t="s">
        <v>555</v>
      </c>
    </row>
    <row r="664" spans="1:11" ht="15.75" x14ac:dyDescent="0.3">
      <c r="A664" s="86" t="s">
        <v>2219</v>
      </c>
      <c r="B664" s="86" t="s">
        <v>2195</v>
      </c>
      <c r="C664" s="86" t="s">
        <v>293</v>
      </c>
      <c r="D664" s="86" t="s">
        <v>1021</v>
      </c>
      <c r="E664" s="86" t="s">
        <v>263</v>
      </c>
      <c r="F664" s="86" t="s">
        <v>265</v>
      </c>
      <c r="G664" s="86" t="s">
        <v>584</v>
      </c>
      <c r="H664" s="86" t="s">
        <v>1179</v>
      </c>
      <c r="I664" s="87" t="s">
        <v>2196</v>
      </c>
      <c r="J664" s="84" t="s">
        <v>554</v>
      </c>
      <c r="K664" s="84" t="s">
        <v>555</v>
      </c>
    </row>
    <row r="665" spans="1:11" ht="15.75" x14ac:dyDescent="0.3">
      <c r="A665" s="86" t="s">
        <v>2220</v>
      </c>
      <c r="B665" s="86" t="s">
        <v>2195</v>
      </c>
      <c r="C665" s="86" t="s">
        <v>292</v>
      </c>
      <c r="D665" s="86" t="s">
        <v>869</v>
      </c>
      <c r="E665" s="86" t="s">
        <v>57</v>
      </c>
      <c r="F665" s="86" t="s">
        <v>59</v>
      </c>
      <c r="G665" s="86" t="s">
        <v>584</v>
      </c>
      <c r="H665" s="86" t="s">
        <v>1705</v>
      </c>
      <c r="I665" s="87" t="s">
        <v>2196</v>
      </c>
      <c r="J665" s="84" t="s">
        <v>554</v>
      </c>
      <c r="K665" s="84" t="s">
        <v>555</v>
      </c>
    </row>
    <row r="666" spans="1:11" ht="15.75" x14ac:dyDescent="0.3">
      <c r="A666" s="86" t="s">
        <v>2221</v>
      </c>
      <c r="B666" s="86" t="s">
        <v>2195</v>
      </c>
      <c r="C666" s="86" t="s">
        <v>292</v>
      </c>
      <c r="D666" s="86" t="s">
        <v>583</v>
      </c>
      <c r="E666" s="86" t="s">
        <v>53</v>
      </c>
      <c r="F666" s="86" t="s">
        <v>55</v>
      </c>
      <c r="G666" s="86" t="s">
        <v>661</v>
      </c>
      <c r="H666" s="86" t="s">
        <v>662</v>
      </c>
      <c r="I666" s="87" t="s">
        <v>2196</v>
      </c>
      <c r="J666" s="84" t="s">
        <v>554</v>
      </c>
      <c r="K666" s="84" t="s">
        <v>555</v>
      </c>
    </row>
    <row r="667" spans="1:11" ht="15.75" x14ac:dyDescent="0.3">
      <c r="A667" s="86" t="s">
        <v>2222</v>
      </c>
      <c r="B667" s="86" t="s">
        <v>2195</v>
      </c>
      <c r="C667" s="86" t="s">
        <v>292</v>
      </c>
      <c r="D667" s="86" t="s">
        <v>947</v>
      </c>
      <c r="E667" s="86" t="s">
        <v>131</v>
      </c>
      <c r="F667" s="86" t="s">
        <v>133</v>
      </c>
      <c r="G667" s="86" t="s">
        <v>740</v>
      </c>
      <c r="H667" s="86" t="s">
        <v>1710</v>
      </c>
      <c r="I667" s="87" t="s">
        <v>2196</v>
      </c>
      <c r="J667" s="84" t="s">
        <v>554</v>
      </c>
      <c r="K667" s="84" t="s">
        <v>555</v>
      </c>
    </row>
    <row r="668" spans="1:11" ht="15.75" x14ac:dyDescent="0.3">
      <c r="A668" s="86" t="s">
        <v>2223</v>
      </c>
      <c r="B668" s="86" t="s">
        <v>2195</v>
      </c>
      <c r="C668" s="86" t="s">
        <v>293</v>
      </c>
      <c r="D668" s="86" t="s">
        <v>838</v>
      </c>
      <c r="E668" s="86" t="s">
        <v>1382</v>
      </c>
      <c r="F668" s="86" t="s">
        <v>840</v>
      </c>
      <c r="G668" s="86" t="s">
        <v>851</v>
      </c>
      <c r="H668" s="86" t="s">
        <v>1725</v>
      </c>
      <c r="I668" s="87" t="s">
        <v>2198</v>
      </c>
      <c r="J668" s="84" t="s">
        <v>554</v>
      </c>
      <c r="K668" s="84" t="s">
        <v>555</v>
      </c>
    </row>
    <row r="669" spans="1:11" ht="15.75" x14ac:dyDescent="0.3">
      <c r="A669" s="86" t="s">
        <v>2224</v>
      </c>
      <c r="B669" s="86" t="s">
        <v>2195</v>
      </c>
      <c r="C669" s="86" t="s">
        <v>292</v>
      </c>
      <c r="D669" s="86" t="s">
        <v>905</v>
      </c>
      <c r="E669" s="86" t="s">
        <v>139</v>
      </c>
      <c r="F669" s="86" t="s">
        <v>141</v>
      </c>
      <c r="G669" s="86" t="s">
        <v>851</v>
      </c>
      <c r="H669" s="86" t="s">
        <v>1184</v>
      </c>
      <c r="I669" s="87" t="s">
        <v>2198</v>
      </c>
      <c r="J669" s="84" t="s">
        <v>554</v>
      </c>
      <c r="K669" s="84" t="s">
        <v>555</v>
      </c>
    </row>
    <row r="670" spans="1:11" ht="15.75" x14ac:dyDescent="0.3">
      <c r="A670" s="86" t="s">
        <v>2225</v>
      </c>
      <c r="B670" s="86" t="s">
        <v>2195</v>
      </c>
      <c r="C670" s="86" t="s">
        <v>293</v>
      </c>
      <c r="D670" s="86" t="s">
        <v>834</v>
      </c>
      <c r="E670" s="86" t="s">
        <v>929</v>
      </c>
      <c r="F670" s="86" t="s">
        <v>187</v>
      </c>
      <c r="G670" s="86" t="s">
        <v>588</v>
      </c>
      <c r="H670" s="86" t="s">
        <v>930</v>
      </c>
      <c r="I670" s="87" t="s">
        <v>2198</v>
      </c>
      <c r="J670" s="84" t="s">
        <v>554</v>
      </c>
      <c r="K670" s="84" t="s">
        <v>555</v>
      </c>
    </row>
    <row r="671" spans="1:11" ht="15.75" x14ac:dyDescent="0.3">
      <c r="A671" s="86" t="s">
        <v>2226</v>
      </c>
      <c r="B671" s="86" t="s">
        <v>2195</v>
      </c>
      <c r="C671" s="86" t="s">
        <v>292</v>
      </c>
      <c r="D671" s="86" t="s">
        <v>1729</v>
      </c>
      <c r="E671" s="86" t="s">
        <v>144</v>
      </c>
      <c r="F671" s="86" t="s">
        <v>146</v>
      </c>
      <c r="G671" s="86" t="s">
        <v>588</v>
      </c>
      <c r="H671" s="86" t="s">
        <v>1730</v>
      </c>
      <c r="I671" s="87" t="s">
        <v>2196</v>
      </c>
      <c r="J671" s="84" t="s">
        <v>554</v>
      </c>
      <c r="K671" s="84" t="s">
        <v>555</v>
      </c>
    </row>
    <row r="672" spans="1:11" ht="15.75" x14ac:dyDescent="0.3">
      <c r="A672" s="86" t="s">
        <v>2227</v>
      </c>
      <c r="B672" s="86" t="s">
        <v>2195</v>
      </c>
      <c r="C672" s="86" t="s">
        <v>293</v>
      </c>
      <c r="D672" s="86" t="s">
        <v>1732</v>
      </c>
      <c r="E672" s="86" t="s">
        <v>1733</v>
      </c>
      <c r="F672" s="86" t="s">
        <v>1734</v>
      </c>
      <c r="G672" s="86" t="s">
        <v>594</v>
      </c>
      <c r="H672" s="86" t="s">
        <v>1735</v>
      </c>
      <c r="I672" s="87" t="s">
        <v>2198</v>
      </c>
      <c r="J672" s="84" t="s">
        <v>554</v>
      </c>
      <c r="K672" s="84" t="s">
        <v>555</v>
      </c>
    </row>
    <row r="673" spans="1:11" ht="15.75" x14ac:dyDescent="0.3">
      <c r="A673" s="86" t="s">
        <v>2228</v>
      </c>
      <c r="B673" s="86" t="s">
        <v>2195</v>
      </c>
      <c r="C673" s="86" t="s">
        <v>292</v>
      </c>
      <c r="D673" s="86" t="s">
        <v>695</v>
      </c>
      <c r="E673" s="86" t="s">
        <v>696</v>
      </c>
      <c r="F673" s="86" t="s">
        <v>697</v>
      </c>
      <c r="G673" s="86" t="s">
        <v>594</v>
      </c>
      <c r="H673" s="86" t="s">
        <v>1737</v>
      </c>
      <c r="I673" s="87" t="s">
        <v>2198</v>
      </c>
      <c r="J673" s="84" t="s">
        <v>554</v>
      </c>
      <c r="K673" s="84" t="s">
        <v>555</v>
      </c>
    </row>
    <row r="674" spans="1:11" ht="15.75" x14ac:dyDescent="0.3">
      <c r="A674" s="86" t="s">
        <v>2229</v>
      </c>
      <c r="B674" s="86" t="s">
        <v>2195</v>
      </c>
      <c r="C674" s="86" t="s">
        <v>293</v>
      </c>
      <c r="D674" s="86" t="s">
        <v>1739</v>
      </c>
      <c r="E674" s="86" t="s">
        <v>148</v>
      </c>
      <c r="F674" s="86" t="s">
        <v>150</v>
      </c>
      <c r="G674" s="86" t="s">
        <v>594</v>
      </c>
      <c r="H674" s="86" t="s">
        <v>1740</v>
      </c>
      <c r="I674" s="87" t="s">
        <v>2196</v>
      </c>
      <c r="J674" s="84" t="s">
        <v>554</v>
      </c>
      <c r="K674" s="84" t="s">
        <v>555</v>
      </c>
    </row>
    <row r="675" spans="1:11" ht="15.75" x14ac:dyDescent="0.3">
      <c r="A675" s="86" t="s">
        <v>2230</v>
      </c>
      <c r="B675" s="86" t="s">
        <v>2195</v>
      </c>
      <c r="C675" s="86" t="s">
        <v>292</v>
      </c>
      <c r="D675" s="86" t="s">
        <v>687</v>
      </c>
      <c r="E675" s="86" t="s">
        <v>152</v>
      </c>
      <c r="F675" s="86" t="s">
        <v>154</v>
      </c>
      <c r="G675" s="86" t="s">
        <v>594</v>
      </c>
      <c r="H675" s="86" t="s">
        <v>1539</v>
      </c>
      <c r="I675" s="87" t="s">
        <v>2196</v>
      </c>
      <c r="J675" s="84" t="s">
        <v>554</v>
      </c>
      <c r="K675" s="84" t="s">
        <v>555</v>
      </c>
    </row>
    <row r="676" spans="1:11" ht="15.75" x14ac:dyDescent="0.3">
      <c r="A676" s="86" t="s">
        <v>2231</v>
      </c>
      <c r="B676" s="86" t="s">
        <v>2195</v>
      </c>
      <c r="C676" s="86" t="s">
        <v>293</v>
      </c>
      <c r="D676" s="86" t="s">
        <v>1385</v>
      </c>
      <c r="E676" s="86" t="s">
        <v>89</v>
      </c>
      <c r="F676" s="86" t="s">
        <v>91</v>
      </c>
      <c r="G676" s="86" t="s">
        <v>667</v>
      </c>
      <c r="H676" s="86" t="s">
        <v>1386</v>
      </c>
      <c r="I676" s="87" t="s">
        <v>2196</v>
      </c>
      <c r="J676" s="84" t="s">
        <v>554</v>
      </c>
      <c r="K676" s="84" t="s">
        <v>555</v>
      </c>
    </row>
    <row r="677" spans="1:11" ht="15.75" x14ac:dyDescent="0.3">
      <c r="A677" s="86" t="s">
        <v>2232</v>
      </c>
      <c r="B677" s="86" t="s">
        <v>2195</v>
      </c>
      <c r="C677" s="86" t="s">
        <v>292</v>
      </c>
      <c r="D677" s="86" t="s">
        <v>1011</v>
      </c>
      <c r="E677" s="86" t="s">
        <v>1012</v>
      </c>
      <c r="F677" s="86" t="s">
        <v>1013</v>
      </c>
      <c r="G677" s="86" t="s">
        <v>745</v>
      </c>
      <c r="H677" s="86" t="s">
        <v>1014</v>
      </c>
      <c r="I677" s="87" t="s">
        <v>2198</v>
      </c>
      <c r="J677" s="84" t="s">
        <v>554</v>
      </c>
      <c r="K677" s="84" t="s">
        <v>555</v>
      </c>
    </row>
    <row r="678" spans="1:11" ht="15.75" x14ac:dyDescent="0.3">
      <c r="A678" s="86" t="s">
        <v>2233</v>
      </c>
      <c r="B678" s="86" t="s">
        <v>2195</v>
      </c>
      <c r="C678" s="86" t="s">
        <v>293</v>
      </c>
      <c r="D678" s="86" t="s">
        <v>951</v>
      </c>
      <c r="E678" s="86" t="s">
        <v>267</v>
      </c>
      <c r="F678" s="86" t="s">
        <v>269</v>
      </c>
      <c r="G678" s="86" t="s">
        <v>745</v>
      </c>
      <c r="H678" s="86" t="s">
        <v>952</v>
      </c>
      <c r="I678" s="87" t="s">
        <v>2198</v>
      </c>
      <c r="J678" s="84" t="s">
        <v>554</v>
      </c>
      <c r="K678" s="84" t="s">
        <v>555</v>
      </c>
    </row>
    <row r="679" spans="1:11" ht="15.75" x14ac:dyDescent="0.3">
      <c r="A679" s="86" t="s">
        <v>2234</v>
      </c>
      <c r="B679" s="86" t="s">
        <v>2195</v>
      </c>
      <c r="C679" s="86" t="s">
        <v>292</v>
      </c>
      <c r="D679" s="86" t="s">
        <v>1189</v>
      </c>
      <c r="E679" s="86" t="s">
        <v>156</v>
      </c>
      <c r="F679" s="86" t="s">
        <v>158</v>
      </c>
      <c r="G679" s="86" t="s">
        <v>745</v>
      </c>
      <c r="H679" s="86" t="s">
        <v>1190</v>
      </c>
      <c r="I679" s="87" t="s">
        <v>2198</v>
      </c>
      <c r="J679" s="84" t="s">
        <v>554</v>
      </c>
      <c r="K679" s="84" t="s">
        <v>555</v>
      </c>
    </row>
    <row r="680" spans="1:11" ht="15.75" x14ac:dyDescent="0.3">
      <c r="A680" s="86" t="s">
        <v>2235</v>
      </c>
      <c r="B680" s="86" t="s">
        <v>2195</v>
      </c>
      <c r="C680" s="86" t="s">
        <v>293</v>
      </c>
      <c r="D680" s="86" t="s">
        <v>672</v>
      </c>
      <c r="E680" s="86" t="s">
        <v>673</v>
      </c>
      <c r="F680" s="86" t="s">
        <v>674</v>
      </c>
      <c r="G680" s="86" t="s">
        <v>675</v>
      </c>
      <c r="H680" s="86" t="s">
        <v>1228</v>
      </c>
      <c r="I680" s="87" t="s">
        <v>2196</v>
      </c>
      <c r="J680" s="84" t="s">
        <v>554</v>
      </c>
      <c r="K680" s="84" t="s">
        <v>555</v>
      </c>
    </row>
    <row r="681" spans="1:11" ht="15.75" x14ac:dyDescent="0.3">
      <c r="A681" s="86" t="s">
        <v>2236</v>
      </c>
      <c r="B681" s="86" t="s">
        <v>2195</v>
      </c>
      <c r="C681" s="86" t="s">
        <v>292</v>
      </c>
      <c r="D681" s="86" t="s">
        <v>940</v>
      </c>
      <c r="E681" s="86" t="s">
        <v>161</v>
      </c>
      <c r="F681" s="86" t="s">
        <v>163</v>
      </c>
      <c r="G681" s="86" t="s">
        <v>675</v>
      </c>
      <c r="H681" s="86" t="s">
        <v>941</v>
      </c>
      <c r="I681" s="87" t="s">
        <v>2198</v>
      </c>
      <c r="J681" s="84" t="s">
        <v>554</v>
      </c>
      <c r="K681" s="84" t="s">
        <v>555</v>
      </c>
    </row>
    <row r="682" spans="1:11" ht="15.75" x14ac:dyDescent="0.3">
      <c r="A682" s="86" t="s">
        <v>2237</v>
      </c>
      <c r="B682" s="86" t="s">
        <v>2195</v>
      </c>
      <c r="C682" s="86" t="s">
        <v>293</v>
      </c>
      <c r="D682" s="86" t="s">
        <v>1121</v>
      </c>
      <c r="E682" s="86" t="s">
        <v>1122</v>
      </c>
      <c r="F682" s="86" t="s">
        <v>1123</v>
      </c>
      <c r="G682" s="86" t="s">
        <v>675</v>
      </c>
      <c r="H682" s="86" t="s">
        <v>1124</v>
      </c>
      <c r="I682" s="87" t="s">
        <v>2198</v>
      </c>
      <c r="J682" s="84" t="s">
        <v>554</v>
      </c>
      <c r="K682" s="84" t="s">
        <v>555</v>
      </c>
    </row>
    <row r="683" spans="1:11" ht="15.75" x14ac:dyDescent="0.3">
      <c r="A683" s="86" t="s">
        <v>2238</v>
      </c>
      <c r="B683" s="86" t="s">
        <v>2195</v>
      </c>
      <c r="C683" s="86" t="s">
        <v>293</v>
      </c>
      <c r="D683" s="86" t="s">
        <v>1195</v>
      </c>
      <c r="E683" s="86" t="s">
        <v>272</v>
      </c>
      <c r="F683" s="86" t="s">
        <v>274</v>
      </c>
      <c r="G683" s="86" t="s">
        <v>675</v>
      </c>
      <c r="H683" s="86" t="s">
        <v>1196</v>
      </c>
      <c r="I683" s="87" t="s">
        <v>2196</v>
      </c>
      <c r="J683" s="84" t="s">
        <v>554</v>
      </c>
      <c r="K683" s="84" t="s">
        <v>555</v>
      </c>
    </row>
    <row r="684" spans="1:11" ht="15.75" x14ac:dyDescent="0.3">
      <c r="A684" s="86" t="s">
        <v>2239</v>
      </c>
      <c r="B684" s="86" t="s">
        <v>2195</v>
      </c>
      <c r="C684" s="86" t="s">
        <v>292</v>
      </c>
      <c r="D684" s="86" t="s">
        <v>1040</v>
      </c>
      <c r="E684" s="86" t="s">
        <v>248</v>
      </c>
      <c r="F684" s="86" t="s">
        <v>250</v>
      </c>
      <c r="G684" s="86" t="s">
        <v>807</v>
      </c>
      <c r="H684" s="86" t="s">
        <v>1763</v>
      </c>
      <c r="I684" s="87" t="s">
        <v>2196</v>
      </c>
      <c r="J684" s="84" t="s">
        <v>554</v>
      </c>
      <c r="K684" s="84" t="s">
        <v>555</v>
      </c>
    </row>
    <row r="685" spans="1:11" ht="15.75" x14ac:dyDescent="0.3">
      <c r="A685" s="86" t="s">
        <v>2240</v>
      </c>
      <c r="B685" s="86" t="s">
        <v>2195</v>
      </c>
      <c r="C685" s="86" t="s">
        <v>293</v>
      </c>
      <c r="D685" s="86" t="s">
        <v>985</v>
      </c>
      <c r="E685" s="86" t="s">
        <v>106</v>
      </c>
      <c r="F685" s="86" t="s">
        <v>108</v>
      </c>
      <c r="G685" s="86" t="s">
        <v>807</v>
      </c>
      <c r="H685" s="86" t="s">
        <v>986</v>
      </c>
      <c r="I685" s="87" t="s">
        <v>2196</v>
      </c>
      <c r="J685" s="84" t="s">
        <v>554</v>
      </c>
      <c r="K685" s="84" t="s">
        <v>555</v>
      </c>
    </row>
    <row r="686" spans="1:11" ht="15.75" x14ac:dyDescent="0.3">
      <c r="A686" s="86" t="s">
        <v>2241</v>
      </c>
      <c r="B686" s="86" t="s">
        <v>2195</v>
      </c>
      <c r="C686" s="86" t="s">
        <v>293</v>
      </c>
      <c r="D686" s="86" t="s">
        <v>1388</v>
      </c>
      <c r="E686" s="86" t="s">
        <v>101</v>
      </c>
      <c r="F686" s="86" t="s">
        <v>103</v>
      </c>
      <c r="G686" s="86" t="s">
        <v>807</v>
      </c>
      <c r="H686" s="86" t="s">
        <v>1766</v>
      </c>
      <c r="I686" s="87" t="s">
        <v>2196</v>
      </c>
      <c r="J686" s="84" t="s">
        <v>554</v>
      </c>
      <c r="K686" s="84" t="s">
        <v>555</v>
      </c>
    </row>
    <row r="687" spans="1:11" ht="15.75" x14ac:dyDescent="0.3">
      <c r="A687" s="86" t="s">
        <v>2242</v>
      </c>
      <c r="B687" s="86" t="s">
        <v>2195</v>
      </c>
      <c r="C687" s="86" t="s">
        <v>292</v>
      </c>
      <c r="D687" s="86" t="s">
        <v>883</v>
      </c>
      <c r="E687" s="86" t="s">
        <v>75</v>
      </c>
      <c r="F687" s="86" t="s">
        <v>77</v>
      </c>
      <c r="G687" s="86" t="s">
        <v>807</v>
      </c>
      <c r="H687" s="86" t="s">
        <v>959</v>
      </c>
      <c r="I687" s="87" t="s">
        <v>2196</v>
      </c>
      <c r="J687" s="84" t="s">
        <v>554</v>
      </c>
      <c r="K687" s="84" t="s">
        <v>555</v>
      </c>
    </row>
    <row r="688" spans="1:11" ht="15.75" x14ac:dyDescent="0.3">
      <c r="A688" s="86" t="s">
        <v>2243</v>
      </c>
      <c r="B688" s="86" t="s">
        <v>2195</v>
      </c>
      <c r="C688" s="86" t="s">
        <v>293</v>
      </c>
      <c r="D688" s="86" t="s">
        <v>768</v>
      </c>
      <c r="E688" s="86" t="s">
        <v>769</v>
      </c>
      <c r="F688" s="86" t="s">
        <v>770</v>
      </c>
      <c r="G688" s="86" t="s">
        <v>990</v>
      </c>
      <c r="H688" s="86" t="s">
        <v>1769</v>
      </c>
      <c r="I688" s="87" t="s">
        <v>2198</v>
      </c>
      <c r="J688" s="84" t="s">
        <v>554</v>
      </c>
      <c r="K688" s="84" t="s">
        <v>555</v>
      </c>
    </row>
    <row r="689" spans="1:11" ht="15.75" x14ac:dyDescent="0.3">
      <c r="A689" s="86" t="s">
        <v>2244</v>
      </c>
      <c r="B689" s="86" t="s">
        <v>2195</v>
      </c>
      <c r="C689" s="86" t="s">
        <v>292</v>
      </c>
      <c r="D689" s="86" t="s">
        <v>989</v>
      </c>
      <c r="E689" s="86" t="s">
        <v>252</v>
      </c>
      <c r="F689" s="86" t="s">
        <v>254</v>
      </c>
      <c r="G689" s="86" t="s">
        <v>990</v>
      </c>
      <c r="H689" s="86" t="s">
        <v>991</v>
      </c>
      <c r="I689" s="87" t="s">
        <v>2196</v>
      </c>
      <c r="J689" s="84" t="s">
        <v>554</v>
      </c>
      <c r="K689" s="84" t="s">
        <v>555</v>
      </c>
    </row>
    <row r="690" spans="1:11" ht="15.75" x14ac:dyDescent="0.3">
      <c r="A690" s="86" t="s">
        <v>2245</v>
      </c>
      <c r="B690" s="86" t="s">
        <v>2246</v>
      </c>
      <c r="C690" s="86" t="s">
        <v>294</v>
      </c>
      <c r="D690" s="86" t="s">
        <v>711</v>
      </c>
      <c r="E690" s="86" t="s">
        <v>278</v>
      </c>
      <c r="F690" s="86" t="s">
        <v>280</v>
      </c>
      <c r="G690" s="86" t="s">
        <v>851</v>
      </c>
      <c r="H690" s="86" t="s">
        <v>901</v>
      </c>
      <c r="I690" s="87" t="s">
        <v>2247</v>
      </c>
      <c r="J690" s="84" t="s">
        <v>554</v>
      </c>
      <c r="K690" s="84" t="s">
        <v>555</v>
      </c>
    </row>
    <row r="691" spans="1:11" ht="15.75" x14ac:dyDescent="0.3">
      <c r="A691" s="86" t="s">
        <v>2248</v>
      </c>
      <c r="B691" s="86" t="s">
        <v>2246</v>
      </c>
      <c r="C691" s="86" t="s">
        <v>294</v>
      </c>
      <c r="D691" s="86" t="s">
        <v>597</v>
      </c>
      <c r="E691" s="86" t="s">
        <v>598</v>
      </c>
      <c r="F691" s="86" t="s">
        <v>599</v>
      </c>
      <c r="G691" s="86" t="s">
        <v>551</v>
      </c>
      <c r="H691" s="86" t="s">
        <v>1507</v>
      </c>
      <c r="I691" s="87" t="s">
        <v>2247</v>
      </c>
      <c r="J691" s="84" t="s">
        <v>554</v>
      </c>
      <c r="K691" s="84" t="s">
        <v>555</v>
      </c>
    </row>
    <row r="692" spans="1:11" ht="15.75" x14ac:dyDescent="0.3">
      <c r="A692" s="86" t="s">
        <v>2249</v>
      </c>
      <c r="B692" s="86" t="s">
        <v>2250</v>
      </c>
      <c r="C692" s="86" t="s">
        <v>294</v>
      </c>
      <c r="D692" s="86" t="s">
        <v>834</v>
      </c>
      <c r="E692" s="86" t="s">
        <v>185</v>
      </c>
      <c r="F692" s="86" t="s">
        <v>187</v>
      </c>
      <c r="G692" s="86" t="s">
        <v>675</v>
      </c>
      <c r="H692" s="86" t="s">
        <v>835</v>
      </c>
      <c r="I692" s="87" t="s">
        <v>2251</v>
      </c>
      <c r="J692" s="84" t="s">
        <v>554</v>
      </c>
      <c r="K692" s="84" t="s">
        <v>555</v>
      </c>
    </row>
    <row r="693" spans="1:11" ht="15.75" x14ac:dyDescent="0.3">
      <c r="A693" s="86" t="s">
        <v>2252</v>
      </c>
      <c r="B693" s="86" t="s">
        <v>2253</v>
      </c>
      <c r="C693" s="86" t="s">
        <v>294</v>
      </c>
      <c r="D693" s="86" t="s">
        <v>834</v>
      </c>
      <c r="E693" s="86" t="s">
        <v>185</v>
      </c>
      <c r="F693" s="86" t="s">
        <v>187</v>
      </c>
      <c r="G693" s="86" t="s">
        <v>675</v>
      </c>
      <c r="H693" s="86" t="s">
        <v>835</v>
      </c>
      <c r="I693" s="87" t="s">
        <v>1488</v>
      </c>
      <c r="J693" s="84" t="s">
        <v>554</v>
      </c>
      <c r="K693" s="84" t="s">
        <v>555</v>
      </c>
    </row>
    <row r="694" spans="1:11" ht="15.75" x14ac:dyDescent="0.3">
      <c r="A694" s="86" t="s">
        <v>2254</v>
      </c>
      <c r="B694" s="86" t="s">
        <v>2255</v>
      </c>
      <c r="C694" s="86" t="s">
        <v>294</v>
      </c>
      <c r="D694" s="86" t="s">
        <v>591</v>
      </c>
      <c r="E694" s="86" t="s">
        <v>592</v>
      </c>
      <c r="F694" s="86" t="s">
        <v>593</v>
      </c>
      <c r="G694" s="86" t="s">
        <v>594</v>
      </c>
      <c r="H694" s="86" t="s">
        <v>1131</v>
      </c>
      <c r="I694" s="87" t="s">
        <v>2256</v>
      </c>
      <c r="J694" s="84" t="s">
        <v>554</v>
      </c>
      <c r="K694" s="84" t="s">
        <v>555</v>
      </c>
    </row>
    <row r="695" spans="1:11" ht="15.75" x14ac:dyDescent="0.3">
      <c r="A695" s="86" t="s">
        <v>2257</v>
      </c>
      <c r="B695" s="86" t="s">
        <v>2258</v>
      </c>
      <c r="C695" s="86" t="s">
        <v>294</v>
      </c>
      <c r="D695" s="86" t="s">
        <v>591</v>
      </c>
      <c r="E695" s="86" t="s">
        <v>592</v>
      </c>
      <c r="F695" s="86" t="s">
        <v>593</v>
      </c>
      <c r="G695" s="86" t="s">
        <v>594</v>
      </c>
      <c r="H695" s="86" t="s">
        <v>1131</v>
      </c>
      <c r="I695" s="87" t="s">
        <v>2259</v>
      </c>
      <c r="J695" s="84" t="s">
        <v>554</v>
      </c>
      <c r="K695" s="84" t="s">
        <v>555</v>
      </c>
    </row>
    <row r="696" spans="1:11" ht="15.75" x14ac:dyDescent="0.3">
      <c r="A696" s="86" t="s">
        <v>2260</v>
      </c>
      <c r="B696" s="86" t="s">
        <v>2261</v>
      </c>
      <c r="C696" s="86" t="s">
        <v>294</v>
      </c>
      <c r="D696" s="86" t="s">
        <v>737</v>
      </c>
      <c r="E696" s="86" t="s">
        <v>738</v>
      </c>
      <c r="F696" s="86" t="s">
        <v>739</v>
      </c>
      <c r="G696" s="86" t="s">
        <v>740</v>
      </c>
      <c r="H696" s="86" t="s">
        <v>1308</v>
      </c>
      <c r="I696" s="87" t="s">
        <v>2262</v>
      </c>
      <c r="J696" s="84" t="s">
        <v>554</v>
      </c>
      <c r="K696" s="84" t="s">
        <v>555</v>
      </c>
    </row>
    <row r="697" spans="1:11" ht="15.75" x14ac:dyDescent="0.3">
      <c r="A697" s="86" t="s">
        <v>2263</v>
      </c>
      <c r="B697" s="86" t="s">
        <v>2264</v>
      </c>
      <c r="C697" s="86" t="s">
        <v>294</v>
      </c>
      <c r="D697" s="86" t="s">
        <v>2265</v>
      </c>
      <c r="E697" s="86" t="s">
        <v>2266</v>
      </c>
      <c r="F697" s="86" t="s">
        <v>2267</v>
      </c>
      <c r="G697" s="86" t="s">
        <v>551</v>
      </c>
      <c r="H697" s="86" t="s">
        <v>2268</v>
      </c>
      <c r="I697" s="87" t="s">
        <v>2269</v>
      </c>
      <c r="J697" s="84" t="s">
        <v>554</v>
      </c>
      <c r="K697" s="84" t="s">
        <v>555</v>
      </c>
    </row>
    <row r="698" spans="1:11" ht="15.75" x14ac:dyDescent="0.3">
      <c r="A698" s="86" t="s">
        <v>2270</v>
      </c>
      <c r="B698" s="86" t="s">
        <v>2271</v>
      </c>
      <c r="C698" s="86" t="s">
        <v>294</v>
      </c>
      <c r="D698" s="86" t="s">
        <v>2272</v>
      </c>
      <c r="E698" s="86" t="s">
        <v>2273</v>
      </c>
      <c r="F698" s="86" t="s">
        <v>2274</v>
      </c>
      <c r="G698" s="86" t="s">
        <v>675</v>
      </c>
      <c r="H698" s="86" t="s">
        <v>2275</v>
      </c>
      <c r="I698" s="87" t="s">
        <v>2276</v>
      </c>
      <c r="J698" s="84" t="s">
        <v>554</v>
      </c>
      <c r="K698" s="84" t="s">
        <v>555</v>
      </c>
    </row>
    <row r="699" spans="1:11" ht="15.75" x14ac:dyDescent="0.3">
      <c r="A699" s="86" t="s">
        <v>2277</v>
      </c>
      <c r="B699" s="86" t="s">
        <v>2278</v>
      </c>
      <c r="C699" s="86" t="s">
        <v>294</v>
      </c>
      <c r="D699" s="86" t="s">
        <v>2272</v>
      </c>
      <c r="E699" s="86" t="s">
        <v>2273</v>
      </c>
      <c r="F699" s="86" t="s">
        <v>2274</v>
      </c>
      <c r="G699" s="86" t="s">
        <v>675</v>
      </c>
      <c r="H699" s="86" t="s">
        <v>2275</v>
      </c>
      <c r="I699" s="87" t="s">
        <v>2075</v>
      </c>
      <c r="J699" s="84" t="s">
        <v>554</v>
      </c>
      <c r="K699" s="84" t="s">
        <v>555</v>
      </c>
    </row>
    <row r="700" spans="1:11" ht="15.75" x14ac:dyDescent="0.3">
      <c r="A700" s="86" t="s">
        <v>2279</v>
      </c>
      <c r="B700" s="86" t="s">
        <v>2280</v>
      </c>
      <c r="C700" s="86" t="s">
        <v>294</v>
      </c>
      <c r="D700" s="86" t="s">
        <v>597</v>
      </c>
      <c r="E700" s="86" t="s">
        <v>598</v>
      </c>
      <c r="F700" s="86" t="s">
        <v>599</v>
      </c>
      <c r="G700" s="86" t="s">
        <v>551</v>
      </c>
      <c r="H700" s="86" t="s">
        <v>1507</v>
      </c>
      <c r="I700" s="87" t="s">
        <v>2281</v>
      </c>
      <c r="J700" s="84" t="s">
        <v>554</v>
      </c>
      <c r="K700" s="84" t="s">
        <v>555</v>
      </c>
    </row>
    <row r="701" spans="1:11" ht="15.75" x14ac:dyDescent="0.3">
      <c r="A701" s="86" t="s">
        <v>2282</v>
      </c>
      <c r="B701" s="86" t="s">
        <v>2283</v>
      </c>
      <c r="C701" s="86" t="s">
        <v>293</v>
      </c>
      <c r="D701" s="86" t="s">
        <v>821</v>
      </c>
      <c r="E701" s="86" t="s">
        <v>822</v>
      </c>
      <c r="F701" s="86" t="s">
        <v>823</v>
      </c>
      <c r="G701" s="86" t="s">
        <v>824</v>
      </c>
      <c r="H701" s="86" t="s">
        <v>825</v>
      </c>
      <c r="I701" s="87" t="s">
        <v>2284</v>
      </c>
      <c r="J701" s="84" t="s">
        <v>554</v>
      </c>
      <c r="K701" s="84" t="s">
        <v>555</v>
      </c>
    </row>
    <row r="702" spans="1:11" ht="15.75" x14ac:dyDescent="0.3">
      <c r="A702" s="86" t="s">
        <v>2285</v>
      </c>
      <c r="B702" s="86" t="s">
        <v>2286</v>
      </c>
      <c r="C702" s="86" t="s">
        <v>293</v>
      </c>
      <c r="D702" s="86" t="s">
        <v>1169</v>
      </c>
      <c r="E702" s="86" t="s">
        <v>1170</v>
      </c>
      <c r="F702" s="86" t="s">
        <v>1171</v>
      </c>
      <c r="G702" s="86" t="s">
        <v>579</v>
      </c>
      <c r="H702" s="86" t="s">
        <v>2287</v>
      </c>
      <c r="I702" s="87" t="s">
        <v>2288</v>
      </c>
      <c r="J702" s="84" t="s">
        <v>554</v>
      </c>
      <c r="K702" s="84" t="s">
        <v>555</v>
      </c>
    </row>
    <row r="703" spans="1:11" ht="15.75" x14ac:dyDescent="0.3">
      <c r="A703" s="86" t="s">
        <v>2289</v>
      </c>
      <c r="B703" s="86" t="s">
        <v>2290</v>
      </c>
      <c r="C703" s="86" t="s">
        <v>293</v>
      </c>
      <c r="D703" s="86" t="s">
        <v>980</v>
      </c>
      <c r="E703" s="86" t="s">
        <v>224</v>
      </c>
      <c r="F703" s="86" t="s">
        <v>226</v>
      </c>
      <c r="G703" s="86" t="s">
        <v>652</v>
      </c>
      <c r="H703" s="86" t="s">
        <v>1033</v>
      </c>
      <c r="I703" s="87" t="s">
        <v>1914</v>
      </c>
      <c r="J703" s="84" t="s">
        <v>554</v>
      </c>
      <c r="K703" s="84" t="s">
        <v>555</v>
      </c>
    </row>
    <row r="704" spans="1:11" ht="15.75" x14ac:dyDescent="0.3">
      <c r="A704" s="86" t="s">
        <v>2291</v>
      </c>
      <c r="B704" s="86" t="s">
        <v>2290</v>
      </c>
      <c r="C704" s="86" t="s">
        <v>293</v>
      </c>
      <c r="D704" s="86" t="s">
        <v>1235</v>
      </c>
      <c r="E704" s="86" t="s">
        <v>1236</v>
      </c>
      <c r="F704" s="86" t="s">
        <v>1237</v>
      </c>
      <c r="G704" s="86" t="s">
        <v>652</v>
      </c>
      <c r="H704" s="86" t="s">
        <v>1238</v>
      </c>
      <c r="I704" s="87" t="s">
        <v>1914</v>
      </c>
      <c r="J704" s="84" t="s">
        <v>554</v>
      </c>
      <c r="K704" s="84" t="s">
        <v>555</v>
      </c>
    </row>
    <row r="705" spans="1:11" ht="15.75" x14ac:dyDescent="0.3">
      <c r="A705" s="86" t="s">
        <v>2292</v>
      </c>
      <c r="B705" s="86" t="s">
        <v>2293</v>
      </c>
      <c r="C705" s="86" t="s">
        <v>293</v>
      </c>
      <c r="D705" s="86" t="s">
        <v>2294</v>
      </c>
      <c r="E705" s="86" t="s">
        <v>2295</v>
      </c>
      <c r="F705" s="86" t="s">
        <v>2296</v>
      </c>
      <c r="G705" s="86" t="s">
        <v>708</v>
      </c>
      <c r="H705" s="86" t="s">
        <v>2297</v>
      </c>
      <c r="I705" s="87" t="s">
        <v>2298</v>
      </c>
      <c r="J705" s="84" t="s">
        <v>554</v>
      </c>
      <c r="K705" s="84" t="s">
        <v>555</v>
      </c>
    </row>
    <row r="706" spans="1:11" ht="15.75" x14ac:dyDescent="0.3">
      <c r="A706" s="86" t="s">
        <v>2299</v>
      </c>
      <c r="B706" s="86" t="s">
        <v>2300</v>
      </c>
      <c r="C706" s="86" t="s">
        <v>294</v>
      </c>
      <c r="D706" s="86" t="s">
        <v>838</v>
      </c>
      <c r="E706" s="86" t="s">
        <v>839</v>
      </c>
      <c r="F706" s="86" t="s">
        <v>840</v>
      </c>
      <c r="G706" s="86" t="s">
        <v>630</v>
      </c>
      <c r="H706" s="86" t="s">
        <v>2301</v>
      </c>
      <c r="I706" s="87" t="s">
        <v>2298</v>
      </c>
      <c r="J706" s="84" t="s">
        <v>554</v>
      </c>
      <c r="K706" s="84" t="s">
        <v>555</v>
      </c>
    </row>
    <row r="707" spans="1:11" ht="15.75" x14ac:dyDescent="0.3">
      <c r="A707" s="86" t="s">
        <v>2302</v>
      </c>
      <c r="B707" s="86" t="s">
        <v>2303</v>
      </c>
      <c r="C707" s="86" t="s">
        <v>294</v>
      </c>
      <c r="D707" s="86" t="s">
        <v>838</v>
      </c>
      <c r="E707" s="86" t="s">
        <v>839</v>
      </c>
      <c r="F707" s="86" t="s">
        <v>840</v>
      </c>
      <c r="G707" s="86" t="s">
        <v>807</v>
      </c>
      <c r="H707" s="86" t="s">
        <v>2304</v>
      </c>
      <c r="I707" s="87" t="s">
        <v>2305</v>
      </c>
      <c r="J707" s="84" t="s">
        <v>554</v>
      </c>
      <c r="K707" s="84" t="s">
        <v>618</v>
      </c>
    </row>
    <row r="708" spans="1:11" ht="15.75" x14ac:dyDescent="0.3">
      <c r="A708" s="86" t="s">
        <v>2306</v>
      </c>
      <c r="B708" s="86" t="s">
        <v>2303</v>
      </c>
      <c r="C708" s="86" t="s">
        <v>294</v>
      </c>
      <c r="D708" s="86" t="s">
        <v>810</v>
      </c>
      <c r="E708" s="86" t="s">
        <v>811</v>
      </c>
      <c r="F708" s="86" t="s">
        <v>812</v>
      </c>
      <c r="G708" s="86" t="s">
        <v>807</v>
      </c>
      <c r="H708" s="86" t="s">
        <v>2307</v>
      </c>
      <c r="I708" s="87" t="s">
        <v>2305</v>
      </c>
      <c r="J708" s="84" t="s">
        <v>554</v>
      </c>
      <c r="K708" s="84" t="s">
        <v>618</v>
      </c>
    </row>
    <row r="709" spans="1:11" ht="15.75" x14ac:dyDescent="0.3">
      <c r="A709" s="86" t="s">
        <v>2308</v>
      </c>
      <c r="B709" s="86" t="s">
        <v>2303</v>
      </c>
      <c r="C709" s="86" t="s">
        <v>294</v>
      </c>
      <c r="D709" s="86" t="s">
        <v>1214</v>
      </c>
      <c r="E709" s="86" t="s">
        <v>1215</v>
      </c>
      <c r="F709" s="86" t="s">
        <v>1216</v>
      </c>
      <c r="G709" s="86" t="s">
        <v>807</v>
      </c>
      <c r="H709" s="86" t="s">
        <v>2309</v>
      </c>
      <c r="I709" s="87" t="s">
        <v>2305</v>
      </c>
      <c r="J709" s="84" t="s">
        <v>554</v>
      </c>
      <c r="K709" s="84" t="s">
        <v>618</v>
      </c>
    </row>
    <row r="710" spans="1:11" ht="15.75" x14ac:dyDescent="0.3">
      <c r="A710" s="86" t="s">
        <v>2310</v>
      </c>
      <c r="B710" s="86" t="s">
        <v>2303</v>
      </c>
      <c r="C710" s="86" t="s">
        <v>294</v>
      </c>
      <c r="D710" s="86" t="s">
        <v>597</v>
      </c>
      <c r="E710" s="86" t="s">
        <v>598</v>
      </c>
      <c r="F710" s="86" t="s">
        <v>599</v>
      </c>
      <c r="G710" s="86" t="s">
        <v>807</v>
      </c>
      <c r="H710" s="86" t="s">
        <v>2311</v>
      </c>
      <c r="I710" s="87" t="s">
        <v>2305</v>
      </c>
      <c r="J710" s="84" t="s">
        <v>554</v>
      </c>
      <c r="K710" s="84" t="s">
        <v>618</v>
      </c>
    </row>
    <row r="711" spans="1:11" ht="15.75" x14ac:dyDescent="0.3">
      <c r="A711" s="86" t="s">
        <v>2312</v>
      </c>
      <c r="B711" s="86" t="s">
        <v>2303</v>
      </c>
      <c r="C711" s="86" t="s">
        <v>294</v>
      </c>
      <c r="D711" s="86" t="s">
        <v>804</v>
      </c>
      <c r="E711" s="86" t="s">
        <v>805</v>
      </c>
      <c r="F711" s="86" t="s">
        <v>806</v>
      </c>
      <c r="G711" s="86" t="s">
        <v>807</v>
      </c>
      <c r="H711" s="86" t="s">
        <v>808</v>
      </c>
      <c r="I711" s="87" t="s">
        <v>731</v>
      </c>
      <c r="J711" s="84" t="s">
        <v>554</v>
      </c>
      <c r="K711" s="84" t="s">
        <v>618</v>
      </c>
    </row>
    <row r="712" spans="1:11" ht="15.75" x14ac:dyDescent="0.3">
      <c r="A712" s="86" t="s">
        <v>2313</v>
      </c>
      <c r="B712" s="86" t="s">
        <v>2303</v>
      </c>
      <c r="C712" s="86" t="s">
        <v>294</v>
      </c>
      <c r="D712" s="86" t="s">
        <v>1094</v>
      </c>
      <c r="E712" s="86" t="s">
        <v>1095</v>
      </c>
      <c r="F712" s="86" t="s">
        <v>1096</v>
      </c>
      <c r="G712" s="86" t="s">
        <v>990</v>
      </c>
      <c r="H712" s="86" t="s">
        <v>1097</v>
      </c>
      <c r="I712" s="87" t="s">
        <v>731</v>
      </c>
      <c r="J712" s="84" t="s">
        <v>554</v>
      </c>
      <c r="K712" s="84" t="s">
        <v>618</v>
      </c>
    </row>
    <row r="713" spans="1:11" ht="15.75" x14ac:dyDescent="0.3">
      <c r="A713" s="86" t="s">
        <v>2314</v>
      </c>
      <c r="B713" s="86" t="s">
        <v>2315</v>
      </c>
      <c r="C713" s="86" t="s">
        <v>294</v>
      </c>
      <c r="D713" s="86" t="s">
        <v>752</v>
      </c>
      <c r="E713" s="86" t="s">
        <v>753</v>
      </c>
      <c r="F713" s="86" t="s">
        <v>217</v>
      </c>
      <c r="G713" s="86" t="s">
        <v>745</v>
      </c>
      <c r="H713" s="86" t="s">
        <v>2316</v>
      </c>
      <c r="I713" s="87" t="s">
        <v>2317</v>
      </c>
      <c r="J713" s="84" t="s">
        <v>554</v>
      </c>
      <c r="K713" s="84" t="s">
        <v>555</v>
      </c>
    </row>
    <row r="714" spans="1:11" ht="15.75" x14ac:dyDescent="0.3">
      <c r="A714" s="86" t="s">
        <v>2318</v>
      </c>
      <c r="B714" s="86" t="s">
        <v>2319</v>
      </c>
      <c r="C714" s="86" t="s">
        <v>294</v>
      </c>
      <c r="D714" s="86" t="s">
        <v>705</v>
      </c>
      <c r="E714" s="86" t="s">
        <v>706</v>
      </c>
      <c r="F714" s="86" t="s">
        <v>707</v>
      </c>
      <c r="G714" s="86" t="s">
        <v>708</v>
      </c>
      <c r="H714" s="86" t="s">
        <v>709</v>
      </c>
      <c r="I714" s="87" t="s">
        <v>567</v>
      </c>
      <c r="J714" s="84" t="s">
        <v>554</v>
      </c>
      <c r="K714" s="84" t="s">
        <v>555</v>
      </c>
    </row>
    <row r="715" spans="1:11" ht="15.75" x14ac:dyDescent="0.3">
      <c r="A715" s="86" t="s">
        <v>2320</v>
      </c>
      <c r="B715" s="86" t="s">
        <v>2321</v>
      </c>
      <c r="C715" s="86" t="s">
        <v>294</v>
      </c>
      <c r="D715" s="86" t="s">
        <v>717</v>
      </c>
      <c r="E715" s="86" t="s">
        <v>718</v>
      </c>
      <c r="F715" s="86" t="s">
        <v>719</v>
      </c>
      <c r="G715" s="86" t="s">
        <v>579</v>
      </c>
      <c r="H715" s="86" t="s">
        <v>720</v>
      </c>
      <c r="I715" s="87" t="s">
        <v>2322</v>
      </c>
      <c r="J715" s="84" t="s">
        <v>554</v>
      </c>
      <c r="K715" s="84" t="s">
        <v>555</v>
      </c>
    </row>
    <row r="716" spans="1:11" ht="15.75" x14ac:dyDescent="0.3">
      <c r="A716" s="86" t="s">
        <v>2323</v>
      </c>
      <c r="B716" s="86" t="s">
        <v>2324</v>
      </c>
      <c r="C716" s="86" t="s">
        <v>294</v>
      </c>
      <c r="D716" s="86" t="s">
        <v>591</v>
      </c>
      <c r="E716" s="86" t="s">
        <v>592</v>
      </c>
      <c r="F716" s="86" t="s">
        <v>593</v>
      </c>
      <c r="G716" s="86" t="s">
        <v>594</v>
      </c>
      <c r="H716" s="86" t="s">
        <v>1131</v>
      </c>
      <c r="I716" s="87" t="s">
        <v>2325</v>
      </c>
      <c r="J716" s="84" t="s">
        <v>554</v>
      </c>
      <c r="K716" s="84" t="s">
        <v>555</v>
      </c>
    </row>
    <row r="717" spans="1:11" ht="15.75" x14ac:dyDescent="0.3">
      <c r="A717" s="86" t="s">
        <v>2326</v>
      </c>
      <c r="B717" s="86" t="s">
        <v>2327</v>
      </c>
      <c r="C717" s="86" t="s">
        <v>294</v>
      </c>
      <c r="D717" s="86" t="s">
        <v>591</v>
      </c>
      <c r="E717" s="86" t="s">
        <v>592</v>
      </c>
      <c r="F717" s="86" t="s">
        <v>593</v>
      </c>
      <c r="G717" s="86" t="s">
        <v>594</v>
      </c>
      <c r="H717" s="86" t="s">
        <v>1131</v>
      </c>
      <c r="I717" s="87" t="s">
        <v>2328</v>
      </c>
      <c r="J717" s="84" t="s">
        <v>554</v>
      </c>
      <c r="K717" s="84" t="s">
        <v>555</v>
      </c>
    </row>
    <row r="718" spans="1:11" ht="15.75" x14ac:dyDescent="0.3">
      <c r="A718" s="86" t="s">
        <v>2329</v>
      </c>
      <c r="B718" s="86" t="s">
        <v>2330</v>
      </c>
      <c r="C718" s="86" t="s">
        <v>294</v>
      </c>
      <c r="D718" s="86" t="s">
        <v>737</v>
      </c>
      <c r="E718" s="86" t="s">
        <v>738</v>
      </c>
      <c r="F718" s="86" t="s">
        <v>739</v>
      </c>
      <c r="G718" s="86" t="s">
        <v>740</v>
      </c>
      <c r="H718" s="86" t="s">
        <v>1308</v>
      </c>
      <c r="I718" s="87" t="s">
        <v>2331</v>
      </c>
      <c r="J718" s="84" t="s">
        <v>554</v>
      </c>
      <c r="K718" s="84" t="s">
        <v>555</v>
      </c>
    </row>
    <row r="719" spans="1:11" ht="15.75" x14ac:dyDescent="0.3">
      <c r="A719" s="86" t="s">
        <v>2332</v>
      </c>
      <c r="B719" s="86" t="s">
        <v>2333</v>
      </c>
      <c r="C719" s="86" t="s">
        <v>294</v>
      </c>
      <c r="D719" s="86" t="s">
        <v>591</v>
      </c>
      <c r="E719" s="86" t="s">
        <v>592</v>
      </c>
      <c r="F719" s="86" t="s">
        <v>593</v>
      </c>
      <c r="G719" s="86" t="s">
        <v>594</v>
      </c>
      <c r="H719" s="86" t="s">
        <v>1131</v>
      </c>
      <c r="I719" s="87" t="s">
        <v>1396</v>
      </c>
      <c r="J719" s="84" t="s">
        <v>554</v>
      </c>
      <c r="K719" s="84" t="s">
        <v>555</v>
      </c>
    </row>
    <row r="720" spans="1:11" ht="15.75" x14ac:dyDescent="0.3">
      <c r="A720" s="86" t="s">
        <v>2334</v>
      </c>
      <c r="B720" s="86" t="s">
        <v>2335</v>
      </c>
      <c r="C720" s="86" t="s">
        <v>294</v>
      </c>
      <c r="D720" s="86" t="s">
        <v>713</v>
      </c>
      <c r="E720" s="86" t="s">
        <v>714</v>
      </c>
      <c r="F720" s="86" t="s">
        <v>715</v>
      </c>
      <c r="G720" s="86" t="s">
        <v>622</v>
      </c>
      <c r="H720" s="86" t="s">
        <v>716</v>
      </c>
      <c r="I720" s="87" t="s">
        <v>2336</v>
      </c>
      <c r="J720" s="84" t="s">
        <v>554</v>
      </c>
      <c r="K720" s="84" t="s">
        <v>555</v>
      </c>
    </row>
    <row r="721" spans="1:11" ht="15.75" x14ac:dyDescent="0.3">
      <c r="A721" s="86" t="s">
        <v>2337</v>
      </c>
      <c r="B721" s="86" t="s">
        <v>2338</v>
      </c>
      <c r="C721" s="86" t="s">
        <v>294</v>
      </c>
      <c r="D721" s="86" t="s">
        <v>591</v>
      </c>
      <c r="E721" s="86" t="s">
        <v>592</v>
      </c>
      <c r="F721" s="86" t="s">
        <v>593</v>
      </c>
      <c r="G721" s="86" t="s">
        <v>594</v>
      </c>
      <c r="H721" s="86" t="s">
        <v>1131</v>
      </c>
      <c r="I721" s="87" t="s">
        <v>1396</v>
      </c>
      <c r="J721" s="84" t="s">
        <v>554</v>
      </c>
      <c r="K721" s="84" t="s">
        <v>555</v>
      </c>
    </row>
    <row r="722" spans="1:11" ht="15.75" x14ac:dyDescent="0.3">
      <c r="A722" s="86" t="s">
        <v>2339</v>
      </c>
      <c r="B722" s="86" t="s">
        <v>2340</v>
      </c>
      <c r="C722" s="86" t="s">
        <v>294</v>
      </c>
      <c r="D722" s="86" t="s">
        <v>791</v>
      </c>
      <c r="E722" s="86" t="s">
        <v>792</v>
      </c>
      <c r="F722" s="86" t="s">
        <v>793</v>
      </c>
      <c r="G722" s="86" t="s">
        <v>740</v>
      </c>
      <c r="H722" s="86" t="s">
        <v>829</v>
      </c>
      <c r="I722" s="87" t="s">
        <v>2341</v>
      </c>
      <c r="J722" s="84" t="s">
        <v>554</v>
      </c>
      <c r="K722" s="84" t="s">
        <v>555</v>
      </c>
    </row>
    <row r="723" spans="1:11" ht="15.75" x14ac:dyDescent="0.3">
      <c r="A723" s="86" t="s">
        <v>2342</v>
      </c>
      <c r="B723" s="86" t="s">
        <v>2343</v>
      </c>
      <c r="C723" s="86" t="s">
        <v>294</v>
      </c>
      <c r="D723" s="86" t="s">
        <v>791</v>
      </c>
      <c r="E723" s="86" t="s">
        <v>792</v>
      </c>
      <c r="F723" s="86" t="s">
        <v>793</v>
      </c>
      <c r="G723" s="86" t="s">
        <v>740</v>
      </c>
      <c r="H723" s="86" t="s">
        <v>829</v>
      </c>
      <c r="I723" s="87" t="s">
        <v>2341</v>
      </c>
      <c r="J723" s="84" t="s">
        <v>554</v>
      </c>
      <c r="K723" s="84" t="s">
        <v>555</v>
      </c>
    </row>
    <row r="724" spans="1:11" ht="15.75" x14ac:dyDescent="0.3">
      <c r="A724" s="86" t="s">
        <v>2344</v>
      </c>
      <c r="B724" s="86" t="s">
        <v>2345</v>
      </c>
      <c r="C724" s="86" t="s">
        <v>293</v>
      </c>
      <c r="D724" s="86" t="s">
        <v>621</v>
      </c>
      <c r="E724" s="86" t="s">
        <v>1594</v>
      </c>
      <c r="F724" s="86" t="s">
        <v>114</v>
      </c>
      <c r="G724" s="86" t="s">
        <v>683</v>
      </c>
      <c r="H724" s="86" t="s">
        <v>2346</v>
      </c>
      <c r="I724" s="87" t="s">
        <v>2347</v>
      </c>
      <c r="J724" s="84" t="s">
        <v>554</v>
      </c>
      <c r="K724" s="84" t="s">
        <v>555</v>
      </c>
    </row>
    <row r="725" spans="1:11" ht="15.75" x14ac:dyDescent="0.3">
      <c r="A725" s="86" t="s">
        <v>2348</v>
      </c>
      <c r="B725" s="86" t="s">
        <v>2345</v>
      </c>
      <c r="C725" s="86" t="s">
        <v>292</v>
      </c>
      <c r="D725" s="86" t="s">
        <v>587</v>
      </c>
      <c r="E725" s="86" t="s">
        <v>135</v>
      </c>
      <c r="F725" s="86" t="s">
        <v>137</v>
      </c>
      <c r="G725" s="86" t="s">
        <v>851</v>
      </c>
      <c r="H725" s="86" t="s">
        <v>896</v>
      </c>
      <c r="I725" s="87" t="s">
        <v>2349</v>
      </c>
      <c r="J725" s="84" t="s">
        <v>554</v>
      </c>
      <c r="K725" s="84" t="s">
        <v>555</v>
      </c>
    </row>
    <row r="726" spans="1:11" ht="15.75" x14ac:dyDescent="0.3">
      <c r="A726" s="86" t="s">
        <v>2350</v>
      </c>
      <c r="B726" s="86" t="s">
        <v>2345</v>
      </c>
      <c r="C726" s="86" t="s">
        <v>292</v>
      </c>
      <c r="D726" s="86" t="s">
        <v>695</v>
      </c>
      <c r="E726" s="86" t="s">
        <v>696</v>
      </c>
      <c r="F726" s="86" t="s">
        <v>697</v>
      </c>
      <c r="G726" s="86" t="s">
        <v>594</v>
      </c>
      <c r="H726" s="86" t="s">
        <v>698</v>
      </c>
      <c r="I726" s="87" t="s">
        <v>2349</v>
      </c>
      <c r="J726" s="84" t="s">
        <v>554</v>
      </c>
      <c r="K726" s="84" t="s">
        <v>555</v>
      </c>
    </row>
    <row r="727" spans="1:11" ht="15.75" x14ac:dyDescent="0.3">
      <c r="A727" s="86" t="s">
        <v>2351</v>
      </c>
      <c r="B727" s="86" t="s">
        <v>2345</v>
      </c>
      <c r="C727" s="86" t="s">
        <v>292</v>
      </c>
      <c r="D727" s="86" t="s">
        <v>1025</v>
      </c>
      <c r="E727" s="86" t="s">
        <v>1202</v>
      </c>
      <c r="F727" s="86" t="s">
        <v>1027</v>
      </c>
      <c r="G727" s="86" t="s">
        <v>750</v>
      </c>
      <c r="H727" s="86" t="s">
        <v>1410</v>
      </c>
      <c r="I727" s="87" t="s">
        <v>731</v>
      </c>
      <c r="J727" s="84" t="s">
        <v>554</v>
      </c>
      <c r="K727" s="84" t="s">
        <v>555</v>
      </c>
    </row>
    <row r="728" spans="1:11" ht="15.75" x14ac:dyDescent="0.3">
      <c r="A728" s="86" t="s">
        <v>2352</v>
      </c>
      <c r="B728" s="86" t="s">
        <v>2353</v>
      </c>
      <c r="C728" s="86" t="s">
        <v>294</v>
      </c>
      <c r="D728" s="86" t="s">
        <v>1067</v>
      </c>
      <c r="E728" s="86" t="s">
        <v>1068</v>
      </c>
      <c r="F728" s="86" t="s">
        <v>1069</v>
      </c>
      <c r="G728" s="86" t="s">
        <v>588</v>
      </c>
      <c r="H728" s="86" t="s">
        <v>1070</v>
      </c>
      <c r="I728" s="87" t="s">
        <v>2354</v>
      </c>
      <c r="J728" s="84" t="s">
        <v>554</v>
      </c>
      <c r="K728" s="84" t="s">
        <v>555</v>
      </c>
    </row>
    <row r="729" spans="1:11" ht="15.75" x14ac:dyDescent="0.3">
      <c r="A729" s="86" t="s">
        <v>2355</v>
      </c>
      <c r="B729" s="86" t="s">
        <v>2356</v>
      </c>
      <c r="C729" s="86" t="s">
        <v>294</v>
      </c>
      <c r="D729" s="86" t="s">
        <v>834</v>
      </c>
      <c r="E729" s="86" t="s">
        <v>185</v>
      </c>
      <c r="F729" s="86" t="s">
        <v>187</v>
      </c>
      <c r="G729" s="86" t="s">
        <v>675</v>
      </c>
      <c r="H729" s="86" t="s">
        <v>835</v>
      </c>
      <c r="I729" s="87" t="s">
        <v>2357</v>
      </c>
      <c r="J729" s="84" t="s">
        <v>554</v>
      </c>
      <c r="K729" s="84" t="s">
        <v>555</v>
      </c>
    </row>
    <row r="730" spans="1:11" ht="15.75" x14ac:dyDescent="0.3">
      <c r="A730" s="86" t="s">
        <v>2358</v>
      </c>
      <c r="B730" s="86" t="s">
        <v>2359</v>
      </c>
      <c r="C730" s="86" t="s">
        <v>292</v>
      </c>
      <c r="D730" s="86" t="s">
        <v>587</v>
      </c>
      <c r="E730" s="86" t="s">
        <v>135</v>
      </c>
      <c r="F730" s="86" t="s">
        <v>137</v>
      </c>
      <c r="G730" s="86" t="s">
        <v>594</v>
      </c>
      <c r="H730" s="86" t="s">
        <v>2360</v>
      </c>
      <c r="I730" s="87" t="s">
        <v>998</v>
      </c>
      <c r="J730" s="84" t="s">
        <v>554</v>
      </c>
      <c r="K730" s="84" t="s">
        <v>555</v>
      </c>
    </row>
    <row r="731" spans="1:11" ht="15.75" x14ac:dyDescent="0.3">
      <c r="A731" s="86" t="s">
        <v>2361</v>
      </c>
      <c r="B731" s="86" t="s">
        <v>2362</v>
      </c>
      <c r="C731" s="86" t="s">
        <v>294</v>
      </c>
      <c r="D731" s="86" t="s">
        <v>834</v>
      </c>
      <c r="E731" s="86" t="s">
        <v>185</v>
      </c>
      <c r="F731" s="86" t="s">
        <v>187</v>
      </c>
      <c r="G731" s="86" t="s">
        <v>675</v>
      </c>
      <c r="H731" s="86" t="s">
        <v>835</v>
      </c>
      <c r="I731" s="87" t="s">
        <v>2357</v>
      </c>
      <c r="J731" s="84" t="s">
        <v>554</v>
      </c>
      <c r="K731" s="84" t="s">
        <v>555</v>
      </c>
    </row>
    <row r="732" spans="1:11" ht="15.75" x14ac:dyDescent="0.3">
      <c r="A732" s="86" t="s">
        <v>2363</v>
      </c>
      <c r="B732" s="86" t="s">
        <v>2364</v>
      </c>
      <c r="C732" s="86" t="s">
        <v>294</v>
      </c>
      <c r="D732" s="86" t="s">
        <v>1067</v>
      </c>
      <c r="E732" s="86" t="s">
        <v>1068</v>
      </c>
      <c r="F732" s="86" t="s">
        <v>1069</v>
      </c>
      <c r="G732" s="86" t="s">
        <v>588</v>
      </c>
      <c r="H732" s="86" t="s">
        <v>1070</v>
      </c>
      <c r="I732" s="87" t="s">
        <v>2365</v>
      </c>
      <c r="J732" s="84" t="s">
        <v>554</v>
      </c>
      <c r="K732" s="84" t="s">
        <v>555</v>
      </c>
    </row>
    <row r="733" spans="1:11" ht="15.75" x14ac:dyDescent="0.3">
      <c r="A733" s="86" t="s">
        <v>2366</v>
      </c>
      <c r="B733" s="86" t="s">
        <v>2367</v>
      </c>
      <c r="C733" s="86" t="s">
        <v>294</v>
      </c>
      <c r="D733" s="86" t="s">
        <v>791</v>
      </c>
      <c r="E733" s="86" t="s">
        <v>792</v>
      </c>
      <c r="F733" s="86" t="s">
        <v>793</v>
      </c>
      <c r="G733" s="86" t="s">
        <v>691</v>
      </c>
      <c r="H733" s="86" t="s">
        <v>794</v>
      </c>
      <c r="I733" s="87" t="s">
        <v>2368</v>
      </c>
      <c r="J733" s="84" t="s">
        <v>554</v>
      </c>
      <c r="K733" s="84" t="s">
        <v>555</v>
      </c>
    </row>
    <row r="734" spans="1:11" ht="15.75" x14ac:dyDescent="0.3">
      <c r="A734" s="86" t="s">
        <v>2369</v>
      </c>
      <c r="B734" s="86" t="s">
        <v>2370</v>
      </c>
      <c r="C734" s="86" t="s">
        <v>294</v>
      </c>
      <c r="D734" s="86" t="s">
        <v>782</v>
      </c>
      <c r="E734" s="86" t="s">
        <v>783</v>
      </c>
      <c r="F734" s="86" t="s">
        <v>784</v>
      </c>
      <c r="G734" s="86" t="s">
        <v>622</v>
      </c>
      <c r="H734" s="86" t="s">
        <v>785</v>
      </c>
      <c r="I734" s="87" t="s">
        <v>2371</v>
      </c>
      <c r="J734" s="84" t="s">
        <v>554</v>
      </c>
      <c r="K734" s="84" t="s">
        <v>555</v>
      </c>
    </row>
    <row r="735" spans="1:11" ht="15.75" x14ac:dyDescent="0.3">
      <c r="A735" s="86" t="s">
        <v>2372</v>
      </c>
      <c r="B735" s="86" t="s">
        <v>2373</v>
      </c>
      <c r="C735" s="86" t="s">
        <v>294</v>
      </c>
      <c r="D735" s="86" t="s">
        <v>791</v>
      </c>
      <c r="E735" s="86" t="s">
        <v>792</v>
      </c>
      <c r="F735" s="86" t="s">
        <v>793</v>
      </c>
      <c r="G735" s="86" t="s">
        <v>691</v>
      </c>
      <c r="H735" s="86" t="s">
        <v>794</v>
      </c>
      <c r="I735" s="87" t="s">
        <v>2368</v>
      </c>
      <c r="J735" s="84" t="s">
        <v>554</v>
      </c>
      <c r="K735" s="84" t="s">
        <v>555</v>
      </c>
    </row>
    <row r="736" spans="1:11" ht="15.75" x14ac:dyDescent="0.3">
      <c r="A736" s="86" t="s">
        <v>2374</v>
      </c>
      <c r="B736" s="86" t="s">
        <v>2375</v>
      </c>
      <c r="C736" s="86" t="s">
        <v>294</v>
      </c>
      <c r="D736" s="86" t="s">
        <v>782</v>
      </c>
      <c r="E736" s="86" t="s">
        <v>783</v>
      </c>
      <c r="F736" s="86" t="s">
        <v>784</v>
      </c>
      <c r="G736" s="86" t="s">
        <v>622</v>
      </c>
      <c r="H736" s="86" t="s">
        <v>785</v>
      </c>
      <c r="I736" s="87" t="s">
        <v>2371</v>
      </c>
      <c r="J736" s="84" t="s">
        <v>554</v>
      </c>
      <c r="K736" s="84" t="s">
        <v>555</v>
      </c>
    </row>
    <row r="737" spans="1:11" ht="15.75" x14ac:dyDescent="0.3">
      <c r="A737" s="86" t="s">
        <v>2376</v>
      </c>
      <c r="B737" s="86" t="s">
        <v>2377</v>
      </c>
      <c r="C737" s="86" t="s">
        <v>294</v>
      </c>
      <c r="D737" s="86" t="s">
        <v>804</v>
      </c>
      <c r="E737" s="86" t="s">
        <v>805</v>
      </c>
      <c r="F737" s="86" t="s">
        <v>806</v>
      </c>
      <c r="G737" s="86" t="s">
        <v>807</v>
      </c>
      <c r="H737" s="86" t="s">
        <v>808</v>
      </c>
      <c r="I737" s="87" t="s">
        <v>2378</v>
      </c>
      <c r="J737" s="84" t="s">
        <v>554</v>
      </c>
      <c r="K737" s="84" t="s">
        <v>555</v>
      </c>
    </row>
    <row r="738" spans="1:11" ht="15.75" x14ac:dyDescent="0.3">
      <c r="A738" s="86" t="s">
        <v>2379</v>
      </c>
      <c r="B738" s="86" t="s">
        <v>2380</v>
      </c>
      <c r="C738" s="86" t="s">
        <v>294</v>
      </c>
      <c r="D738" s="86" t="s">
        <v>804</v>
      </c>
      <c r="E738" s="86" t="s">
        <v>805</v>
      </c>
      <c r="F738" s="86" t="s">
        <v>806</v>
      </c>
      <c r="G738" s="86" t="s">
        <v>807</v>
      </c>
      <c r="H738" s="86" t="s">
        <v>808</v>
      </c>
      <c r="I738" s="87" t="s">
        <v>2378</v>
      </c>
      <c r="J738" s="84" t="s">
        <v>554</v>
      </c>
      <c r="K738" s="84" t="s">
        <v>555</v>
      </c>
    </row>
    <row r="739" spans="1:11" ht="15.75" x14ac:dyDescent="0.3">
      <c r="A739" s="86" t="s">
        <v>2381</v>
      </c>
      <c r="B739" s="86" t="s">
        <v>2382</v>
      </c>
      <c r="C739" s="86" t="s">
        <v>294</v>
      </c>
      <c r="D739" s="86" t="s">
        <v>737</v>
      </c>
      <c r="E739" s="86" t="s">
        <v>738</v>
      </c>
      <c r="F739" s="86" t="s">
        <v>739</v>
      </c>
      <c r="G739" s="86" t="s">
        <v>740</v>
      </c>
      <c r="H739" s="86" t="s">
        <v>741</v>
      </c>
      <c r="I739" s="87" t="s">
        <v>2383</v>
      </c>
      <c r="J739" s="84" t="s">
        <v>554</v>
      </c>
      <c r="K739" s="84" t="s">
        <v>555</v>
      </c>
    </row>
    <row r="740" spans="1:11" ht="15.75" x14ac:dyDescent="0.3">
      <c r="A740" s="86" t="s">
        <v>2384</v>
      </c>
      <c r="B740" s="86" t="s">
        <v>2382</v>
      </c>
      <c r="C740" s="86" t="s">
        <v>294</v>
      </c>
      <c r="D740" s="86" t="s">
        <v>747</v>
      </c>
      <c r="E740" s="86" t="s">
        <v>748</v>
      </c>
      <c r="F740" s="86" t="s">
        <v>749</v>
      </c>
      <c r="G740" s="86" t="s">
        <v>750</v>
      </c>
      <c r="H740" s="86" t="s">
        <v>751</v>
      </c>
      <c r="I740" s="87" t="s">
        <v>2383</v>
      </c>
      <c r="J740" s="84" t="s">
        <v>554</v>
      </c>
      <c r="K740" s="84" t="s">
        <v>555</v>
      </c>
    </row>
    <row r="741" spans="1:11" ht="15.75" x14ac:dyDescent="0.3">
      <c r="A741" s="86" t="s">
        <v>2385</v>
      </c>
      <c r="B741" s="86" t="s">
        <v>2386</v>
      </c>
      <c r="C741" s="86" t="s">
        <v>294</v>
      </c>
      <c r="D741" s="86" t="s">
        <v>711</v>
      </c>
      <c r="E741" s="86" t="s">
        <v>278</v>
      </c>
      <c r="F741" s="86" t="s">
        <v>280</v>
      </c>
      <c r="G741" s="86" t="s">
        <v>708</v>
      </c>
      <c r="H741" s="86" t="s">
        <v>1332</v>
      </c>
      <c r="I741" s="87" t="s">
        <v>2387</v>
      </c>
      <c r="J741" s="84" t="s">
        <v>554</v>
      </c>
      <c r="K741" s="84" t="s">
        <v>555</v>
      </c>
    </row>
    <row r="742" spans="1:11" ht="15.75" x14ac:dyDescent="0.3">
      <c r="A742" s="86" t="s">
        <v>2388</v>
      </c>
      <c r="B742" s="86" t="s">
        <v>2386</v>
      </c>
      <c r="C742" s="86" t="s">
        <v>294</v>
      </c>
      <c r="D742" s="86" t="s">
        <v>1336</v>
      </c>
      <c r="E742" s="86" t="s">
        <v>1337</v>
      </c>
      <c r="F742" s="86" t="s">
        <v>237</v>
      </c>
      <c r="G742" s="86" t="s">
        <v>683</v>
      </c>
      <c r="H742" s="86" t="s">
        <v>1338</v>
      </c>
      <c r="I742" s="87" t="s">
        <v>2387</v>
      </c>
      <c r="J742" s="84" t="s">
        <v>554</v>
      </c>
      <c r="K742" s="84" t="s">
        <v>555</v>
      </c>
    </row>
    <row r="743" spans="1:11" ht="15.75" x14ac:dyDescent="0.3">
      <c r="A743" s="86" t="s">
        <v>2389</v>
      </c>
      <c r="B743" s="86" t="s">
        <v>2386</v>
      </c>
      <c r="C743" s="86" t="s">
        <v>294</v>
      </c>
      <c r="D743" s="86" t="s">
        <v>597</v>
      </c>
      <c r="E743" s="86" t="s">
        <v>598</v>
      </c>
      <c r="F743" s="86" t="s">
        <v>599</v>
      </c>
      <c r="G743" s="86" t="s">
        <v>551</v>
      </c>
      <c r="H743" s="86" t="s">
        <v>1099</v>
      </c>
      <c r="I743" s="87" t="s">
        <v>2387</v>
      </c>
      <c r="J743" s="84" t="s">
        <v>554</v>
      </c>
      <c r="K743" s="84" t="s">
        <v>555</v>
      </c>
    </row>
    <row r="744" spans="1:11" ht="15.75" x14ac:dyDescent="0.3">
      <c r="A744" s="86" t="s">
        <v>2390</v>
      </c>
      <c r="B744" s="86" t="s">
        <v>2391</v>
      </c>
      <c r="C744" s="86" t="s">
        <v>294</v>
      </c>
      <c r="D744" s="86" t="s">
        <v>591</v>
      </c>
      <c r="E744" s="86" t="s">
        <v>592</v>
      </c>
      <c r="F744" s="86" t="s">
        <v>593</v>
      </c>
      <c r="G744" s="86" t="s">
        <v>594</v>
      </c>
      <c r="H744" s="86" t="s">
        <v>1131</v>
      </c>
      <c r="I744" s="87" t="s">
        <v>2392</v>
      </c>
      <c r="J744" s="84" t="s">
        <v>554</v>
      </c>
      <c r="K744" s="84" t="s">
        <v>555</v>
      </c>
    </row>
    <row r="745" spans="1:11" ht="15.75" x14ac:dyDescent="0.3">
      <c r="A745" s="86" t="s">
        <v>2393</v>
      </c>
      <c r="B745" s="86" t="s">
        <v>2394</v>
      </c>
      <c r="C745" s="86" t="s">
        <v>294</v>
      </c>
      <c r="D745" s="86" t="s">
        <v>1082</v>
      </c>
      <c r="E745" s="86" t="s">
        <v>1083</v>
      </c>
      <c r="F745" s="86" t="s">
        <v>1084</v>
      </c>
      <c r="G745" s="86" t="s">
        <v>588</v>
      </c>
      <c r="H745" s="86" t="s">
        <v>1085</v>
      </c>
      <c r="I745" s="87" t="s">
        <v>874</v>
      </c>
      <c r="J745" s="84" t="s">
        <v>554</v>
      </c>
      <c r="K745" s="84" t="s">
        <v>555</v>
      </c>
    </row>
    <row r="746" spans="1:11" ht="15.75" x14ac:dyDescent="0.3">
      <c r="A746" s="86" t="s">
        <v>2395</v>
      </c>
      <c r="B746" s="86" t="s">
        <v>2396</v>
      </c>
      <c r="C746" s="86" t="s">
        <v>294</v>
      </c>
      <c r="D746" s="86" t="s">
        <v>737</v>
      </c>
      <c r="E746" s="86" t="s">
        <v>738</v>
      </c>
      <c r="F746" s="86" t="s">
        <v>739</v>
      </c>
      <c r="G746" s="86" t="s">
        <v>740</v>
      </c>
      <c r="H746" s="86" t="s">
        <v>741</v>
      </c>
      <c r="I746" s="87" t="s">
        <v>2383</v>
      </c>
      <c r="J746" s="84" t="s">
        <v>554</v>
      </c>
      <c r="K746" s="84" t="s">
        <v>555</v>
      </c>
    </row>
    <row r="747" spans="1:11" ht="15.75" x14ac:dyDescent="0.3">
      <c r="A747" s="86" t="s">
        <v>2397</v>
      </c>
      <c r="B747" s="86" t="s">
        <v>2396</v>
      </c>
      <c r="C747" s="86" t="s">
        <v>294</v>
      </c>
      <c r="D747" s="86" t="s">
        <v>747</v>
      </c>
      <c r="E747" s="86" t="s">
        <v>748</v>
      </c>
      <c r="F747" s="86" t="s">
        <v>749</v>
      </c>
      <c r="G747" s="86" t="s">
        <v>750</v>
      </c>
      <c r="H747" s="86" t="s">
        <v>751</v>
      </c>
      <c r="I747" s="87" t="s">
        <v>2383</v>
      </c>
      <c r="J747" s="84" t="s">
        <v>554</v>
      </c>
      <c r="K747" s="84" t="s">
        <v>555</v>
      </c>
    </row>
    <row r="748" spans="1:11" ht="15.75" x14ac:dyDescent="0.3">
      <c r="A748" s="86" t="s">
        <v>2398</v>
      </c>
      <c r="B748" s="86" t="s">
        <v>2399</v>
      </c>
      <c r="C748" s="86" t="s">
        <v>294</v>
      </c>
      <c r="D748" s="86" t="s">
        <v>711</v>
      </c>
      <c r="E748" s="86" t="s">
        <v>278</v>
      </c>
      <c r="F748" s="86" t="s">
        <v>280</v>
      </c>
      <c r="G748" s="86" t="s">
        <v>708</v>
      </c>
      <c r="H748" s="86" t="s">
        <v>1332</v>
      </c>
      <c r="I748" s="87" t="s">
        <v>2387</v>
      </c>
      <c r="J748" s="84" t="s">
        <v>554</v>
      </c>
      <c r="K748" s="84" t="s">
        <v>555</v>
      </c>
    </row>
    <row r="749" spans="1:11" ht="15.75" x14ac:dyDescent="0.3">
      <c r="A749" s="86" t="s">
        <v>2400</v>
      </c>
      <c r="B749" s="86" t="s">
        <v>2399</v>
      </c>
      <c r="C749" s="86" t="s">
        <v>294</v>
      </c>
      <c r="D749" s="86" t="s">
        <v>597</v>
      </c>
      <c r="E749" s="86" t="s">
        <v>598</v>
      </c>
      <c r="F749" s="86" t="s">
        <v>599</v>
      </c>
      <c r="G749" s="86" t="s">
        <v>551</v>
      </c>
      <c r="H749" s="86" t="s">
        <v>1099</v>
      </c>
      <c r="I749" s="87" t="s">
        <v>2387</v>
      </c>
      <c r="J749" s="84" t="s">
        <v>554</v>
      </c>
      <c r="K749" s="84" t="s">
        <v>555</v>
      </c>
    </row>
    <row r="750" spans="1:11" ht="15.75" x14ac:dyDescent="0.3">
      <c r="A750" s="86" t="s">
        <v>2401</v>
      </c>
      <c r="B750" s="86" t="s">
        <v>2402</v>
      </c>
      <c r="C750" s="86" t="s">
        <v>294</v>
      </c>
      <c r="D750" s="86" t="s">
        <v>591</v>
      </c>
      <c r="E750" s="86" t="s">
        <v>592</v>
      </c>
      <c r="F750" s="86" t="s">
        <v>593</v>
      </c>
      <c r="G750" s="86" t="s">
        <v>594</v>
      </c>
      <c r="H750" s="86" t="s">
        <v>1131</v>
      </c>
      <c r="I750" s="87" t="s">
        <v>2392</v>
      </c>
      <c r="J750" s="84" t="s">
        <v>554</v>
      </c>
      <c r="K750" s="84" t="s">
        <v>555</v>
      </c>
    </row>
    <row r="751" spans="1:11" ht="15.75" x14ac:dyDescent="0.3">
      <c r="A751" s="86" t="s">
        <v>2403</v>
      </c>
      <c r="B751" s="86" t="s">
        <v>2404</v>
      </c>
      <c r="C751" s="86" t="s">
        <v>294</v>
      </c>
      <c r="D751" s="86" t="s">
        <v>591</v>
      </c>
      <c r="E751" s="86" t="s">
        <v>592</v>
      </c>
      <c r="F751" s="86" t="s">
        <v>593</v>
      </c>
      <c r="G751" s="86" t="s">
        <v>594</v>
      </c>
      <c r="H751" s="86" t="s">
        <v>1464</v>
      </c>
      <c r="I751" s="87" t="s">
        <v>2405</v>
      </c>
      <c r="J751" s="84" t="s">
        <v>554</v>
      </c>
      <c r="K751" s="84" t="s">
        <v>555</v>
      </c>
    </row>
    <row r="752" spans="1:11" ht="15.75" x14ac:dyDescent="0.3">
      <c r="A752" s="86" t="s">
        <v>2406</v>
      </c>
      <c r="B752" s="86" t="s">
        <v>2407</v>
      </c>
      <c r="C752" s="86" t="s">
        <v>294</v>
      </c>
      <c r="D752" s="86" t="s">
        <v>742</v>
      </c>
      <c r="E752" s="86" t="s">
        <v>743</v>
      </c>
      <c r="F752" s="86" t="s">
        <v>744</v>
      </c>
      <c r="G752" s="86" t="s">
        <v>745</v>
      </c>
      <c r="H752" s="86" t="s">
        <v>746</v>
      </c>
      <c r="I752" s="87" t="s">
        <v>2408</v>
      </c>
      <c r="J752" s="84" t="s">
        <v>554</v>
      </c>
      <c r="K752" s="84" t="s">
        <v>555</v>
      </c>
    </row>
    <row r="753" spans="1:11" ht="15.75" x14ac:dyDescent="0.3">
      <c r="A753" s="86" t="s">
        <v>2409</v>
      </c>
      <c r="B753" s="86" t="s">
        <v>2410</v>
      </c>
      <c r="C753" s="86" t="s">
        <v>293</v>
      </c>
      <c r="D753" s="86" t="s">
        <v>1021</v>
      </c>
      <c r="E753" s="86" t="s">
        <v>263</v>
      </c>
      <c r="F753" s="86" t="s">
        <v>265</v>
      </c>
      <c r="G753" s="86" t="s">
        <v>584</v>
      </c>
      <c r="H753" s="86" t="s">
        <v>2411</v>
      </c>
      <c r="I753" s="87" t="s">
        <v>2378</v>
      </c>
      <c r="J753" s="84" t="s">
        <v>554</v>
      </c>
      <c r="K753" s="84" t="s">
        <v>555</v>
      </c>
    </row>
    <row r="754" spans="1:11" ht="15.75" x14ac:dyDescent="0.3">
      <c r="A754" s="86" t="s">
        <v>2412</v>
      </c>
      <c r="B754" s="86" t="s">
        <v>2413</v>
      </c>
      <c r="C754" s="86" t="s">
        <v>294</v>
      </c>
      <c r="D754" s="86" t="s">
        <v>742</v>
      </c>
      <c r="E754" s="86" t="s">
        <v>743</v>
      </c>
      <c r="F754" s="86" t="s">
        <v>744</v>
      </c>
      <c r="G754" s="86" t="s">
        <v>745</v>
      </c>
      <c r="H754" s="86" t="s">
        <v>746</v>
      </c>
      <c r="I754" s="87" t="s">
        <v>2414</v>
      </c>
      <c r="J754" s="84" t="s">
        <v>554</v>
      </c>
      <c r="K754" s="84" t="s">
        <v>555</v>
      </c>
    </row>
    <row r="755" spans="1:11" ht="15.75" x14ac:dyDescent="0.3">
      <c r="A755" s="86" t="s">
        <v>2415</v>
      </c>
      <c r="B755" s="86" t="s">
        <v>2416</v>
      </c>
      <c r="C755" s="86" t="s">
        <v>294</v>
      </c>
      <c r="D755" s="86" t="s">
        <v>1608</v>
      </c>
      <c r="E755" s="86" t="s">
        <v>2066</v>
      </c>
      <c r="F755" s="86" t="s">
        <v>1610</v>
      </c>
      <c r="G755" s="86" t="s">
        <v>824</v>
      </c>
      <c r="H755" s="86" t="s">
        <v>2067</v>
      </c>
      <c r="I755" s="87" t="s">
        <v>1917</v>
      </c>
      <c r="J755" s="84" t="s">
        <v>554</v>
      </c>
      <c r="K755" s="84" t="s">
        <v>555</v>
      </c>
    </row>
    <row r="756" spans="1:11" ht="15.75" x14ac:dyDescent="0.3">
      <c r="A756" s="86" t="s">
        <v>2417</v>
      </c>
      <c r="B756" s="86" t="s">
        <v>2418</v>
      </c>
      <c r="C756" s="86" t="s">
        <v>292</v>
      </c>
      <c r="D756" s="86" t="s">
        <v>587</v>
      </c>
      <c r="E756" s="86" t="s">
        <v>135</v>
      </c>
      <c r="F756" s="86" t="s">
        <v>137</v>
      </c>
      <c r="G756" s="86" t="s">
        <v>594</v>
      </c>
      <c r="H756" s="86" t="s">
        <v>2419</v>
      </c>
      <c r="I756" s="87" t="s">
        <v>2420</v>
      </c>
      <c r="J756" s="84" t="s">
        <v>554</v>
      </c>
      <c r="K756" s="84" t="s">
        <v>555</v>
      </c>
    </row>
    <row r="757" spans="1:11" ht="15.75" x14ac:dyDescent="0.3">
      <c r="A757" s="86" t="s">
        <v>2421</v>
      </c>
      <c r="B757" s="86" t="s">
        <v>2422</v>
      </c>
      <c r="C757" s="86" t="s">
        <v>293</v>
      </c>
      <c r="D757" s="86" t="s">
        <v>1954</v>
      </c>
      <c r="E757" s="86" t="s">
        <v>1955</v>
      </c>
      <c r="F757" s="86" t="s">
        <v>1956</v>
      </c>
      <c r="G757" s="86" t="s">
        <v>851</v>
      </c>
      <c r="H757" s="86" t="s">
        <v>1957</v>
      </c>
      <c r="I757" s="87" t="s">
        <v>2423</v>
      </c>
      <c r="J757" s="84" t="s">
        <v>554</v>
      </c>
      <c r="K757" s="84" t="s">
        <v>555</v>
      </c>
    </row>
    <row r="758" spans="1:11" ht="15.75" x14ac:dyDescent="0.3">
      <c r="A758" s="86" t="s">
        <v>2424</v>
      </c>
      <c r="B758" s="86" t="s">
        <v>2425</v>
      </c>
      <c r="C758" s="86" t="s">
        <v>293</v>
      </c>
      <c r="D758" s="86" t="s">
        <v>1954</v>
      </c>
      <c r="E758" s="86" t="s">
        <v>1955</v>
      </c>
      <c r="F758" s="86" t="s">
        <v>1956</v>
      </c>
      <c r="G758" s="86" t="s">
        <v>851</v>
      </c>
      <c r="H758" s="86" t="s">
        <v>1957</v>
      </c>
      <c r="I758" s="87" t="s">
        <v>2423</v>
      </c>
      <c r="J758" s="84" t="s">
        <v>554</v>
      </c>
      <c r="K758" s="84" t="s">
        <v>555</v>
      </c>
    </row>
    <row r="759" spans="1:11" ht="15.75" x14ac:dyDescent="0.3">
      <c r="A759" s="86" t="s">
        <v>2426</v>
      </c>
      <c r="B759" s="86" t="s">
        <v>2427</v>
      </c>
      <c r="C759" s="86" t="s">
        <v>292</v>
      </c>
      <c r="D759" s="86" t="s">
        <v>2428</v>
      </c>
      <c r="E759" s="86" t="s">
        <v>2429</v>
      </c>
      <c r="F759" s="86" t="s">
        <v>2430</v>
      </c>
      <c r="G759" s="86" t="s">
        <v>729</v>
      </c>
      <c r="H759" s="86" t="s">
        <v>2431</v>
      </c>
      <c r="I759" s="87" t="s">
        <v>2432</v>
      </c>
      <c r="J759" s="84" t="s">
        <v>554</v>
      </c>
      <c r="K759" s="84" t="s">
        <v>555</v>
      </c>
    </row>
    <row r="760" spans="1:11" ht="15.75" x14ac:dyDescent="0.3">
      <c r="A760" s="86" t="s">
        <v>2433</v>
      </c>
      <c r="B760" s="86" t="s">
        <v>2434</v>
      </c>
      <c r="C760" s="86" t="s">
        <v>292</v>
      </c>
      <c r="D760" s="86" t="s">
        <v>2428</v>
      </c>
      <c r="E760" s="86" t="s">
        <v>2435</v>
      </c>
      <c r="F760" s="86" t="s">
        <v>2430</v>
      </c>
      <c r="G760" s="86" t="s">
        <v>645</v>
      </c>
      <c r="H760" s="86" t="s">
        <v>2436</v>
      </c>
      <c r="I760" s="87" t="s">
        <v>731</v>
      </c>
      <c r="J760" s="84" t="s">
        <v>554</v>
      </c>
      <c r="K760" s="84" t="s">
        <v>555</v>
      </c>
    </row>
    <row r="761" spans="1:11" ht="15.75" x14ac:dyDescent="0.3">
      <c r="A761" s="86" t="s">
        <v>2437</v>
      </c>
      <c r="B761" s="86" t="s">
        <v>2434</v>
      </c>
      <c r="C761" s="86" t="s">
        <v>292</v>
      </c>
      <c r="D761" s="86" t="s">
        <v>2428</v>
      </c>
      <c r="E761" s="86" t="s">
        <v>2429</v>
      </c>
      <c r="F761" s="86" t="s">
        <v>2430</v>
      </c>
      <c r="G761" s="86" t="s">
        <v>729</v>
      </c>
      <c r="H761" s="86" t="s">
        <v>2431</v>
      </c>
      <c r="I761" s="87" t="s">
        <v>974</v>
      </c>
      <c r="J761" s="84" t="s">
        <v>554</v>
      </c>
      <c r="K761" s="84" t="s">
        <v>555</v>
      </c>
    </row>
    <row r="762" spans="1:11" ht="15.75" x14ac:dyDescent="0.3">
      <c r="A762" s="86" t="s">
        <v>2438</v>
      </c>
      <c r="B762" s="86" t="s">
        <v>2439</v>
      </c>
      <c r="C762" s="86" t="s">
        <v>292</v>
      </c>
      <c r="D762" s="86" t="s">
        <v>905</v>
      </c>
      <c r="E762" s="86" t="s">
        <v>139</v>
      </c>
      <c r="F762" s="86" t="s">
        <v>141</v>
      </c>
      <c r="G762" s="86" t="s">
        <v>588</v>
      </c>
      <c r="H762" s="86" t="s">
        <v>2440</v>
      </c>
      <c r="I762" s="87" t="s">
        <v>633</v>
      </c>
      <c r="J762" s="84" t="s">
        <v>554</v>
      </c>
      <c r="K762" s="84" t="s">
        <v>555</v>
      </c>
    </row>
    <row r="763" spans="1:11" ht="15.75" x14ac:dyDescent="0.3">
      <c r="A763" s="86" t="s">
        <v>2441</v>
      </c>
      <c r="B763" s="86" t="s">
        <v>2442</v>
      </c>
      <c r="C763" s="86" t="s">
        <v>292</v>
      </c>
      <c r="D763" s="86" t="s">
        <v>2428</v>
      </c>
      <c r="E763" s="86" t="s">
        <v>2435</v>
      </c>
      <c r="F763" s="86" t="s">
        <v>2430</v>
      </c>
      <c r="G763" s="86" t="s">
        <v>645</v>
      </c>
      <c r="H763" s="86" t="s">
        <v>2436</v>
      </c>
      <c r="I763" s="87" t="s">
        <v>731</v>
      </c>
      <c r="J763" s="84" t="s">
        <v>554</v>
      </c>
      <c r="K763" s="84" t="s">
        <v>555</v>
      </c>
    </row>
    <row r="764" spans="1:11" ht="15.75" x14ac:dyDescent="0.3">
      <c r="A764" s="86" t="s">
        <v>2443</v>
      </c>
      <c r="B764" s="86" t="s">
        <v>2442</v>
      </c>
      <c r="C764" s="86" t="s">
        <v>292</v>
      </c>
      <c r="D764" s="86" t="s">
        <v>905</v>
      </c>
      <c r="E764" s="86" t="s">
        <v>139</v>
      </c>
      <c r="F764" s="86" t="s">
        <v>141</v>
      </c>
      <c r="G764" s="86" t="s">
        <v>588</v>
      </c>
      <c r="H764" s="86" t="s">
        <v>2440</v>
      </c>
      <c r="I764" s="87" t="s">
        <v>2444</v>
      </c>
      <c r="J764" s="84" t="s">
        <v>554</v>
      </c>
      <c r="K764" s="84" t="s">
        <v>555</v>
      </c>
    </row>
    <row r="765" spans="1:11" ht="15.75" x14ac:dyDescent="0.3">
      <c r="A765" s="86" t="s">
        <v>2445</v>
      </c>
      <c r="B765" s="86" t="s">
        <v>2446</v>
      </c>
      <c r="C765" s="86" t="s">
        <v>294</v>
      </c>
      <c r="D765" s="86" t="s">
        <v>591</v>
      </c>
      <c r="E765" s="86" t="s">
        <v>592</v>
      </c>
      <c r="F765" s="86" t="s">
        <v>593</v>
      </c>
      <c r="G765" s="86" t="s">
        <v>594</v>
      </c>
      <c r="H765" s="86" t="s">
        <v>801</v>
      </c>
      <c r="I765" s="87" t="s">
        <v>764</v>
      </c>
      <c r="J765" s="84" t="s">
        <v>554</v>
      </c>
      <c r="K765" s="84" t="s">
        <v>555</v>
      </c>
    </row>
    <row r="766" spans="1:11" ht="15.75" x14ac:dyDescent="0.3">
      <c r="A766" s="86" t="s">
        <v>2447</v>
      </c>
      <c r="B766" s="86" t="s">
        <v>2448</v>
      </c>
      <c r="C766" s="86" t="s">
        <v>292</v>
      </c>
      <c r="D766" s="86" t="s">
        <v>989</v>
      </c>
      <c r="E766" s="86" t="s">
        <v>252</v>
      </c>
      <c r="F766" s="86" t="s">
        <v>254</v>
      </c>
      <c r="G766" s="86" t="s">
        <v>990</v>
      </c>
      <c r="H766" s="86" t="s">
        <v>991</v>
      </c>
      <c r="I766" s="87" t="s">
        <v>764</v>
      </c>
      <c r="J766" s="84" t="s">
        <v>554</v>
      </c>
      <c r="K766" s="84" t="s">
        <v>555</v>
      </c>
    </row>
    <row r="767" spans="1:11" ht="15.75" x14ac:dyDescent="0.3">
      <c r="A767" s="86" t="s">
        <v>2449</v>
      </c>
      <c r="B767" s="86" t="s">
        <v>2450</v>
      </c>
      <c r="C767" s="86" t="s">
        <v>293</v>
      </c>
      <c r="D767" s="86" t="s">
        <v>2451</v>
      </c>
      <c r="E767" s="86" t="s">
        <v>2452</v>
      </c>
      <c r="F767" s="86" t="s">
        <v>2453</v>
      </c>
      <c r="G767" s="86" t="s">
        <v>594</v>
      </c>
      <c r="H767" s="86" t="s">
        <v>2454</v>
      </c>
      <c r="I767" s="87" t="s">
        <v>2420</v>
      </c>
      <c r="J767" s="84" t="s">
        <v>554</v>
      </c>
      <c r="K767" s="84" t="s">
        <v>555</v>
      </c>
    </row>
    <row r="768" spans="1:11" ht="15.75" x14ac:dyDescent="0.3">
      <c r="A768" s="86" t="s">
        <v>2455</v>
      </c>
      <c r="B768" s="86" t="s">
        <v>2456</v>
      </c>
      <c r="C768" s="86" t="s">
        <v>293</v>
      </c>
      <c r="D768" s="86" t="s">
        <v>1344</v>
      </c>
      <c r="E768" s="86" t="s">
        <v>1345</v>
      </c>
      <c r="F768" s="86" t="s">
        <v>1346</v>
      </c>
      <c r="G768" s="86" t="s">
        <v>740</v>
      </c>
      <c r="H768" s="86" t="s">
        <v>1621</v>
      </c>
      <c r="I768" s="87" t="s">
        <v>2457</v>
      </c>
      <c r="J768" s="84" t="s">
        <v>554</v>
      </c>
      <c r="K768" s="84" t="s">
        <v>555</v>
      </c>
    </row>
    <row r="769" spans="1:11" ht="15.75" x14ac:dyDescent="0.3">
      <c r="A769" s="86" t="s">
        <v>2458</v>
      </c>
      <c r="B769" s="86" t="s">
        <v>2459</v>
      </c>
      <c r="C769" s="86" t="s">
        <v>292</v>
      </c>
      <c r="D769" s="86" t="s">
        <v>1206</v>
      </c>
      <c r="E769" s="86" t="s">
        <v>244</v>
      </c>
      <c r="F769" s="86" t="s">
        <v>246</v>
      </c>
      <c r="G769" s="86" t="s">
        <v>807</v>
      </c>
      <c r="H769" s="86" t="s">
        <v>2460</v>
      </c>
      <c r="I769" s="87" t="s">
        <v>2461</v>
      </c>
      <c r="J769" s="84" t="s">
        <v>554</v>
      </c>
      <c r="K769" s="84" t="s">
        <v>555</v>
      </c>
    </row>
    <row r="770" spans="1:11" ht="15.75" x14ac:dyDescent="0.3">
      <c r="A770" s="86" t="s">
        <v>2462</v>
      </c>
      <c r="B770" s="86" t="s">
        <v>2463</v>
      </c>
      <c r="C770" s="86" t="s">
        <v>292</v>
      </c>
      <c r="D770" s="86" t="s">
        <v>695</v>
      </c>
      <c r="E770" s="86" t="s">
        <v>696</v>
      </c>
      <c r="F770" s="86" t="s">
        <v>697</v>
      </c>
      <c r="G770" s="86" t="s">
        <v>594</v>
      </c>
      <c r="H770" s="86" t="s">
        <v>698</v>
      </c>
      <c r="I770" s="87" t="s">
        <v>2464</v>
      </c>
      <c r="J770" s="84" t="s">
        <v>554</v>
      </c>
      <c r="K770" s="84" t="s">
        <v>555</v>
      </c>
    </row>
    <row r="771" spans="1:11" ht="15.75" x14ac:dyDescent="0.3">
      <c r="A771" s="86" t="s">
        <v>2465</v>
      </c>
      <c r="B771" s="86" t="s">
        <v>2466</v>
      </c>
      <c r="C771" s="86" t="s">
        <v>293</v>
      </c>
      <c r="D771" s="86" t="s">
        <v>2467</v>
      </c>
      <c r="E771" s="86" t="s">
        <v>2468</v>
      </c>
      <c r="F771" s="86" t="s">
        <v>2469</v>
      </c>
      <c r="G771" s="86" t="s">
        <v>588</v>
      </c>
      <c r="H771" s="86" t="s">
        <v>2470</v>
      </c>
      <c r="I771" s="87" t="s">
        <v>2471</v>
      </c>
      <c r="J771" s="84" t="s">
        <v>554</v>
      </c>
      <c r="K771" s="84" t="s">
        <v>555</v>
      </c>
    </row>
    <row r="772" spans="1:11" ht="15.75" x14ac:dyDescent="0.3">
      <c r="A772" s="86" t="s">
        <v>2472</v>
      </c>
      <c r="B772" s="86" t="s">
        <v>2473</v>
      </c>
      <c r="C772" s="86" t="s">
        <v>293</v>
      </c>
      <c r="D772" s="86" t="s">
        <v>1344</v>
      </c>
      <c r="E772" s="86" t="s">
        <v>1345</v>
      </c>
      <c r="F772" s="86" t="s">
        <v>1346</v>
      </c>
      <c r="G772" s="86" t="s">
        <v>740</v>
      </c>
      <c r="H772" s="86" t="s">
        <v>1621</v>
      </c>
      <c r="I772" s="87" t="s">
        <v>2474</v>
      </c>
      <c r="J772" s="84" t="s">
        <v>554</v>
      </c>
      <c r="K772" s="84" t="s">
        <v>555</v>
      </c>
    </row>
    <row r="773" spans="1:11" ht="15.75" x14ac:dyDescent="0.3">
      <c r="A773" s="86" t="s">
        <v>2475</v>
      </c>
      <c r="B773" s="86" t="s">
        <v>2476</v>
      </c>
      <c r="C773" s="86" t="s">
        <v>294</v>
      </c>
      <c r="D773" s="86" t="s">
        <v>591</v>
      </c>
      <c r="E773" s="86" t="s">
        <v>592</v>
      </c>
      <c r="F773" s="86" t="s">
        <v>593</v>
      </c>
      <c r="G773" s="86" t="s">
        <v>851</v>
      </c>
      <c r="H773" s="86" t="s">
        <v>2477</v>
      </c>
      <c r="I773" s="87" t="s">
        <v>2478</v>
      </c>
      <c r="J773" s="84" t="s">
        <v>554</v>
      </c>
      <c r="K773" s="84" t="s">
        <v>555</v>
      </c>
    </row>
    <row r="774" spans="1:11" ht="15.75" x14ac:dyDescent="0.3">
      <c r="A774" s="86" t="s">
        <v>2479</v>
      </c>
      <c r="B774" s="86" t="s">
        <v>2476</v>
      </c>
      <c r="C774" s="86" t="s">
        <v>292</v>
      </c>
      <c r="D774" s="86" t="s">
        <v>2480</v>
      </c>
      <c r="E774" s="86" t="s">
        <v>2481</v>
      </c>
      <c r="F774" s="86" t="s">
        <v>2482</v>
      </c>
      <c r="G774" s="86" t="s">
        <v>807</v>
      </c>
      <c r="H774" s="86" t="s">
        <v>2483</v>
      </c>
      <c r="I774" s="87" t="s">
        <v>731</v>
      </c>
      <c r="J774" s="84" t="s">
        <v>554</v>
      </c>
      <c r="K774" s="84" t="s">
        <v>555</v>
      </c>
    </row>
    <row r="775" spans="1:11" ht="15.75" x14ac:dyDescent="0.3">
      <c r="A775" s="86" t="s">
        <v>2484</v>
      </c>
      <c r="B775" s="86" t="s">
        <v>2485</v>
      </c>
      <c r="C775" s="86" t="s">
        <v>293</v>
      </c>
      <c r="D775" s="86" t="s">
        <v>2486</v>
      </c>
      <c r="E775" s="86" t="s">
        <v>2487</v>
      </c>
      <c r="F775" s="86" t="s">
        <v>2488</v>
      </c>
      <c r="G775" s="86" t="s">
        <v>594</v>
      </c>
      <c r="H775" s="86" t="s">
        <v>2489</v>
      </c>
      <c r="I775" s="87" t="s">
        <v>2490</v>
      </c>
      <c r="J775" s="84" t="s">
        <v>554</v>
      </c>
      <c r="K775" s="84" t="s">
        <v>555</v>
      </c>
    </row>
    <row r="776" spans="1:11" ht="15.75" x14ac:dyDescent="0.3">
      <c r="A776" s="86" t="s">
        <v>2491</v>
      </c>
      <c r="B776" s="86" t="s">
        <v>2492</v>
      </c>
      <c r="C776" s="86" t="s">
        <v>293</v>
      </c>
      <c r="D776" s="86" t="s">
        <v>2493</v>
      </c>
      <c r="E776" s="86" t="s">
        <v>211</v>
      </c>
      <c r="F776" s="86" t="s">
        <v>213</v>
      </c>
      <c r="G776" s="86" t="s">
        <v>615</v>
      </c>
      <c r="H776" s="86" t="s">
        <v>2494</v>
      </c>
      <c r="I776" s="87" t="s">
        <v>2495</v>
      </c>
      <c r="J776" s="84" t="s">
        <v>554</v>
      </c>
      <c r="K776" s="84" t="s">
        <v>555</v>
      </c>
    </row>
    <row r="777" spans="1:11" ht="15.75" x14ac:dyDescent="0.3">
      <c r="A777" s="86" t="s">
        <v>2496</v>
      </c>
      <c r="B777" s="86" t="s">
        <v>2497</v>
      </c>
      <c r="C777" s="86" t="s">
        <v>293</v>
      </c>
      <c r="D777" s="86" t="s">
        <v>657</v>
      </c>
      <c r="E777" s="86" t="s">
        <v>48</v>
      </c>
      <c r="F777" s="86" t="s">
        <v>50</v>
      </c>
      <c r="G777" s="86" t="s">
        <v>615</v>
      </c>
      <c r="H777" s="86" t="s">
        <v>2498</v>
      </c>
      <c r="I777" s="87" t="s">
        <v>2499</v>
      </c>
      <c r="J777" s="84" t="s">
        <v>554</v>
      </c>
      <c r="K777" s="84" t="s">
        <v>555</v>
      </c>
    </row>
    <row r="778" spans="1:11" ht="15.75" x14ac:dyDescent="0.3">
      <c r="A778" s="86" t="s">
        <v>2500</v>
      </c>
      <c r="B778" s="86" t="s">
        <v>2501</v>
      </c>
      <c r="C778" s="86" t="s">
        <v>294</v>
      </c>
      <c r="D778" s="86" t="s">
        <v>1322</v>
      </c>
      <c r="E778" s="86" t="s">
        <v>1323</v>
      </c>
      <c r="F778" s="86" t="s">
        <v>1324</v>
      </c>
      <c r="G778" s="86" t="s">
        <v>652</v>
      </c>
      <c r="H778" s="86" t="s">
        <v>1325</v>
      </c>
      <c r="I778" s="87" t="s">
        <v>2502</v>
      </c>
      <c r="J778" s="84" t="s">
        <v>554</v>
      </c>
      <c r="K778" s="84" t="s">
        <v>555</v>
      </c>
    </row>
    <row r="779" spans="1:11" ht="15.75" x14ac:dyDescent="0.3">
      <c r="A779" s="86" t="s">
        <v>2503</v>
      </c>
      <c r="B779" s="86" t="s">
        <v>2504</v>
      </c>
      <c r="C779" s="86" t="s">
        <v>294</v>
      </c>
      <c r="D779" s="86" t="s">
        <v>1214</v>
      </c>
      <c r="E779" s="86" t="s">
        <v>1215</v>
      </c>
      <c r="F779" s="86" t="s">
        <v>1216</v>
      </c>
      <c r="G779" s="86" t="s">
        <v>990</v>
      </c>
      <c r="H779" s="86" t="s">
        <v>1217</v>
      </c>
      <c r="I779" s="87" t="s">
        <v>2505</v>
      </c>
      <c r="J779" s="84" t="s">
        <v>554</v>
      </c>
      <c r="K779" s="84" t="s">
        <v>555</v>
      </c>
    </row>
    <row r="780" spans="1:11" ht="15.75" x14ac:dyDescent="0.3">
      <c r="A780" s="86" t="s">
        <v>2506</v>
      </c>
      <c r="B780" s="86" t="s">
        <v>2507</v>
      </c>
      <c r="C780" s="86" t="s">
        <v>294</v>
      </c>
      <c r="D780" s="86" t="s">
        <v>791</v>
      </c>
      <c r="E780" s="86" t="s">
        <v>792</v>
      </c>
      <c r="F780" s="86" t="s">
        <v>793</v>
      </c>
      <c r="G780" s="86" t="s">
        <v>588</v>
      </c>
      <c r="H780" s="86" t="s">
        <v>2508</v>
      </c>
      <c r="I780" s="87" t="s">
        <v>581</v>
      </c>
      <c r="J780" s="84" t="s">
        <v>554</v>
      </c>
      <c r="K780" s="84" t="s">
        <v>555</v>
      </c>
    </row>
    <row r="781" spans="1:11" ht="15.75" x14ac:dyDescent="0.3">
      <c r="A781" s="86" t="s">
        <v>2509</v>
      </c>
      <c r="B781" s="86" t="s">
        <v>2510</v>
      </c>
      <c r="C781" s="86" t="s">
        <v>294</v>
      </c>
      <c r="D781" s="86" t="s">
        <v>838</v>
      </c>
      <c r="E781" s="86" t="s">
        <v>839</v>
      </c>
      <c r="F781" s="86" t="s">
        <v>840</v>
      </c>
      <c r="G781" s="86" t="s">
        <v>675</v>
      </c>
      <c r="H781" s="86" t="s">
        <v>2511</v>
      </c>
      <c r="I781" s="87" t="s">
        <v>2512</v>
      </c>
      <c r="J781" s="84" t="s">
        <v>554</v>
      </c>
      <c r="K781" s="84" t="s">
        <v>555</v>
      </c>
    </row>
    <row r="782" spans="1:11" ht="15.75" x14ac:dyDescent="0.3">
      <c r="A782" s="86" t="s">
        <v>2513</v>
      </c>
      <c r="B782" s="86" t="s">
        <v>2514</v>
      </c>
      <c r="C782" s="86" t="s">
        <v>294</v>
      </c>
      <c r="D782" s="86" t="s">
        <v>1322</v>
      </c>
      <c r="E782" s="86" t="s">
        <v>1323</v>
      </c>
      <c r="F782" s="86" t="s">
        <v>1324</v>
      </c>
      <c r="G782" s="86" t="s">
        <v>652</v>
      </c>
      <c r="H782" s="86" t="s">
        <v>1325</v>
      </c>
      <c r="I782" s="87" t="s">
        <v>2515</v>
      </c>
      <c r="J782" s="84" t="s">
        <v>554</v>
      </c>
      <c r="K782" s="84" t="s">
        <v>555</v>
      </c>
    </row>
    <row r="783" spans="1:11" ht="15.75" x14ac:dyDescent="0.3">
      <c r="A783" s="86" t="s">
        <v>2516</v>
      </c>
      <c r="B783" s="86" t="s">
        <v>2514</v>
      </c>
      <c r="C783" s="86" t="s">
        <v>294</v>
      </c>
      <c r="D783" s="86" t="s">
        <v>2517</v>
      </c>
      <c r="E783" s="86" t="s">
        <v>2518</v>
      </c>
      <c r="F783" s="86" t="s">
        <v>2519</v>
      </c>
      <c r="G783" s="86" t="s">
        <v>667</v>
      </c>
      <c r="H783" s="86" t="s">
        <v>2520</v>
      </c>
      <c r="I783" s="87" t="s">
        <v>2515</v>
      </c>
      <c r="J783" s="84" t="s">
        <v>554</v>
      </c>
      <c r="K783" s="84" t="s">
        <v>555</v>
      </c>
    </row>
    <row r="784" spans="1:11" ht="15.75" x14ac:dyDescent="0.3">
      <c r="A784" s="86" t="s">
        <v>2521</v>
      </c>
      <c r="B784" s="86" t="s">
        <v>2522</v>
      </c>
      <c r="C784" s="86" t="s">
        <v>294</v>
      </c>
      <c r="D784" s="86" t="s">
        <v>782</v>
      </c>
      <c r="E784" s="86" t="s">
        <v>783</v>
      </c>
      <c r="F784" s="86" t="s">
        <v>784</v>
      </c>
      <c r="G784" s="86" t="s">
        <v>622</v>
      </c>
      <c r="H784" s="86" t="s">
        <v>785</v>
      </c>
      <c r="I784" s="87" t="s">
        <v>2523</v>
      </c>
      <c r="J784" s="84" t="s">
        <v>554</v>
      </c>
      <c r="K784" s="84" t="s">
        <v>555</v>
      </c>
    </row>
    <row r="785" spans="1:11" ht="15.75" x14ac:dyDescent="0.3">
      <c r="A785" s="86" t="s">
        <v>2524</v>
      </c>
      <c r="B785" s="86" t="s">
        <v>2525</v>
      </c>
      <c r="C785" s="86" t="s">
        <v>294</v>
      </c>
      <c r="D785" s="86" t="s">
        <v>834</v>
      </c>
      <c r="E785" s="86" t="s">
        <v>185</v>
      </c>
      <c r="F785" s="86" t="s">
        <v>187</v>
      </c>
      <c r="G785" s="86" t="s">
        <v>675</v>
      </c>
      <c r="H785" s="86" t="s">
        <v>835</v>
      </c>
      <c r="I785" s="87" t="s">
        <v>2526</v>
      </c>
      <c r="J785" s="84" t="s">
        <v>554</v>
      </c>
      <c r="K785" s="84" t="s">
        <v>555</v>
      </c>
    </row>
    <row r="786" spans="1:11" ht="15.75" x14ac:dyDescent="0.3">
      <c r="A786" s="86" t="s">
        <v>2527</v>
      </c>
      <c r="B786" s="86" t="s">
        <v>2528</v>
      </c>
      <c r="C786" s="86" t="s">
        <v>294</v>
      </c>
      <c r="D786" s="86" t="s">
        <v>732</v>
      </c>
      <c r="E786" s="86" t="s">
        <v>733</v>
      </c>
      <c r="F786" s="86" t="s">
        <v>734</v>
      </c>
      <c r="G786" s="86" t="s">
        <v>584</v>
      </c>
      <c r="H786" s="86" t="s">
        <v>1276</v>
      </c>
      <c r="I786" s="87" t="s">
        <v>1556</v>
      </c>
      <c r="J786" s="84" t="s">
        <v>554</v>
      </c>
      <c r="K786" s="84" t="s">
        <v>555</v>
      </c>
    </row>
    <row r="787" spans="1:11" ht="15.75" x14ac:dyDescent="0.3">
      <c r="A787" s="86" t="s">
        <v>2529</v>
      </c>
      <c r="B787" s="86" t="s">
        <v>2530</v>
      </c>
      <c r="C787" s="86" t="s">
        <v>294</v>
      </c>
      <c r="D787" s="86" t="s">
        <v>1248</v>
      </c>
      <c r="E787" s="86" t="s">
        <v>1249</v>
      </c>
      <c r="F787" s="86" t="s">
        <v>1250</v>
      </c>
      <c r="G787" s="86" t="s">
        <v>675</v>
      </c>
      <c r="H787" s="86" t="s">
        <v>1251</v>
      </c>
      <c r="I787" s="87" t="s">
        <v>1556</v>
      </c>
      <c r="J787" s="84" t="s">
        <v>554</v>
      </c>
      <c r="K787" s="84" t="s">
        <v>555</v>
      </c>
    </row>
    <row r="788" spans="1:11" ht="15.75" x14ac:dyDescent="0.3">
      <c r="A788" s="86" t="s">
        <v>2531</v>
      </c>
      <c r="B788" s="86" t="s">
        <v>2530</v>
      </c>
      <c r="C788" s="86" t="s">
        <v>294</v>
      </c>
      <c r="D788" s="86" t="s">
        <v>810</v>
      </c>
      <c r="E788" s="86" t="s">
        <v>811</v>
      </c>
      <c r="F788" s="86" t="s">
        <v>812</v>
      </c>
      <c r="G788" s="86" t="s">
        <v>807</v>
      </c>
      <c r="H788" s="86" t="s">
        <v>813</v>
      </c>
      <c r="I788" s="87" t="s">
        <v>1556</v>
      </c>
      <c r="J788" s="84" t="s">
        <v>554</v>
      </c>
      <c r="K788" s="84" t="s">
        <v>555</v>
      </c>
    </row>
    <row r="789" spans="1:11" ht="15.75" x14ac:dyDescent="0.3">
      <c r="A789" s="86" t="s">
        <v>2532</v>
      </c>
      <c r="B789" s="86" t="s">
        <v>2533</v>
      </c>
      <c r="C789" s="86" t="s">
        <v>294</v>
      </c>
      <c r="D789" s="86" t="s">
        <v>791</v>
      </c>
      <c r="E789" s="86" t="s">
        <v>792</v>
      </c>
      <c r="F789" s="86" t="s">
        <v>793</v>
      </c>
      <c r="G789" s="86" t="s">
        <v>740</v>
      </c>
      <c r="H789" s="86" t="s">
        <v>829</v>
      </c>
      <c r="I789" s="87" t="s">
        <v>2534</v>
      </c>
      <c r="J789" s="84" t="s">
        <v>554</v>
      </c>
      <c r="K789" s="84" t="s">
        <v>555</v>
      </c>
    </row>
    <row r="790" spans="1:11" ht="15.75" x14ac:dyDescent="0.3">
      <c r="A790" s="86" t="s">
        <v>2535</v>
      </c>
      <c r="B790" s="86" t="s">
        <v>2536</v>
      </c>
      <c r="C790" s="86" t="s">
        <v>294</v>
      </c>
      <c r="D790" s="86" t="s">
        <v>834</v>
      </c>
      <c r="E790" s="86" t="s">
        <v>185</v>
      </c>
      <c r="F790" s="86" t="s">
        <v>187</v>
      </c>
      <c r="G790" s="86" t="s">
        <v>675</v>
      </c>
      <c r="H790" s="86" t="s">
        <v>835</v>
      </c>
      <c r="I790" s="87" t="s">
        <v>2526</v>
      </c>
      <c r="J790" s="84" t="s">
        <v>554</v>
      </c>
      <c r="K790" s="84" t="s">
        <v>555</v>
      </c>
    </row>
    <row r="791" spans="1:11" ht="15.75" x14ac:dyDescent="0.3">
      <c r="A791" s="86" t="s">
        <v>2537</v>
      </c>
      <c r="B791" s="86" t="s">
        <v>2538</v>
      </c>
      <c r="C791" s="86" t="s">
        <v>294</v>
      </c>
      <c r="D791" s="86" t="s">
        <v>804</v>
      </c>
      <c r="E791" s="86" t="s">
        <v>805</v>
      </c>
      <c r="F791" s="86" t="s">
        <v>806</v>
      </c>
      <c r="G791" s="86" t="s">
        <v>807</v>
      </c>
      <c r="H791" s="86" t="s">
        <v>808</v>
      </c>
      <c r="I791" s="87" t="s">
        <v>2539</v>
      </c>
      <c r="J791" s="84" t="s">
        <v>554</v>
      </c>
      <c r="K791" s="84" t="s">
        <v>555</v>
      </c>
    </row>
    <row r="792" spans="1:11" ht="15.75" x14ac:dyDescent="0.3">
      <c r="A792" s="86" t="s">
        <v>2540</v>
      </c>
      <c r="B792" s="86" t="s">
        <v>2541</v>
      </c>
      <c r="C792" s="86" t="s">
        <v>294</v>
      </c>
      <c r="D792" s="86" t="s">
        <v>838</v>
      </c>
      <c r="E792" s="86" t="s">
        <v>839</v>
      </c>
      <c r="F792" s="86" t="s">
        <v>840</v>
      </c>
      <c r="G792" s="86" t="s">
        <v>551</v>
      </c>
      <c r="H792" s="86" t="s">
        <v>2542</v>
      </c>
      <c r="I792" s="87" t="s">
        <v>2543</v>
      </c>
      <c r="J792" s="84" t="s">
        <v>554</v>
      </c>
      <c r="K792" s="84" t="s">
        <v>555</v>
      </c>
    </row>
    <row r="793" spans="1:11" ht="15.75" x14ac:dyDescent="0.3">
      <c r="A793" s="86" t="s">
        <v>2544</v>
      </c>
      <c r="B793" s="86" t="s">
        <v>2545</v>
      </c>
      <c r="C793" s="86" t="s">
        <v>294</v>
      </c>
      <c r="D793" s="86" t="s">
        <v>591</v>
      </c>
      <c r="E793" s="86" t="s">
        <v>592</v>
      </c>
      <c r="F793" s="86" t="s">
        <v>593</v>
      </c>
      <c r="G793" s="86" t="s">
        <v>594</v>
      </c>
      <c r="H793" s="86" t="s">
        <v>1131</v>
      </c>
      <c r="I793" s="87" t="s">
        <v>2546</v>
      </c>
      <c r="J793" s="84" t="s">
        <v>554</v>
      </c>
      <c r="K793" s="84" t="s">
        <v>555</v>
      </c>
    </row>
    <row r="794" spans="1:11" ht="15.75" x14ac:dyDescent="0.3">
      <c r="A794" s="86" t="s">
        <v>2547</v>
      </c>
      <c r="B794" s="86" t="s">
        <v>2548</v>
      </c>
      <c r="C794" s="86" t="s">
        <v>293</v>
      </c>
      <c r="D794" s="86" t="s">
        <v>821</v>
      </c>
      <c r="E794" s="86" t="s">
        <v>822</v>
      </c>
      <c r="F794" s="86" t="s">
        <v>823</v>
      </c>
      <c r="G794" s="86" t="s">
        <v>824</v>
      </c>
      <c r="H794" s="86" t="s">
        <v>825</v>
      </c>
      <c r="I794" s="87" t="s">
        <v>2549</v>
      </c>
      <c r="J794" s="84" t="s">
        <v>554</v>
      </c>
      <c r="K794" s="84" t="s">
        <v>555</v>
      </c>
    </row>
    <row r="795" spans="1:11" ht="15.75" x14ac:dyDescent="0.3">
      <c r="A795" s="86" t="s">
        <v>2550</v>
      </c>
      <c r="B795" s="86" t="s">
        <v>2551</v>
      </c>
      <c r="C795" s="86" t="s">
        <v>292</v>
      </c>
      <c r="D795" s="86" t="s">
        <v>1433</v>
      </c>
      <c r="E795" s="86" t="s">
        <v>1434</v>
      </c>
      <c r="F795" s="86" t="s">
        <v>1435</v>
      </c>
      <c r="G795" s="86" t="s">
        <v>640</v>
      </c>
      <c r="H795" s="86" t="s">
        <v>1436</v>
      </c>
      <c r="I795" s="87" t="s">
        <v>2552</v>
      </c>
      <c r="J795" s="84" t="s">
        <v>554</v>
      </c>
      <c r="K795" s="84" t="s">
        <v>555</v>
      </c>
    </row>
    <row r="796" spans="1:11" ht="15.75" x14ac:dyDescent="0.3">
      <c r="A796" s="86" t="s">
        <v>2553</v>
      </c>
      <c r="B796" s="86" t="s">
        <v>2554</v>
      </c>
      <c r="C796" s="86" t="s">
        <v>292</v>
      </c>
      <c r="D796" s="86" t="s">
        <v>1433</v>
      </c>
      <c r="E796" s="86" t="s">
        <v>1434</v>
      </c>
      <c r="F796" s="86" t="s">
        <v>1435</v>
      </c>
      <c r="G796" s="86" t="s">
        <v>640</v>
      </c>
      <c r="H796" s="86" t="s">
        <v>1487</v>
      </c>
      <c r="I796" s="87" t="s">
        <v>2552</v>
      </c>
      <c r="J796" s="84" t="s">
        <v>554</v>
      </c>
      <c r="K796" s="84" t="s">
        <v>555</v>
      </c>
    </row>
    <row r="797" spans="1:11" ht="15.75" x14ac:dyDescent="0.3">
      <c r="A797" s="86" t="s">
        <v>2555</v>
      </c>
      <c r="B797" s="86" t="s">
        <v>2556</v>
      </c>
      <c r="C797" s="86" t="s">
        <v>293</v>
      </c>
      <c r="D797" s="86" t="s">
        <v>1954</v>
      </c>
      <c r="E797" s="86" t="s">
        <v>1955</v>
      </c>
      <c r="F797" s="86" t="s">
        <v>1956</v>
      </c>
      <c r="G797" s="86" t="s">
        <v>851</v>
      </c>
      <c r="H797" s="86" t="s">
        <v>1957</v>
      </c>
      <c r="I797" s="87" t="s">
        <v>2557</v>
      </c>
      <c r="J797" s="84" t="s">
        <v>554</v>
      </c>
      <c r="K797" s="84" t="s">
        <v>555</v>
      </c>
    </row>
    <row r="798" spans="1:11" ht="15.75" x14ac:dyDescent="0.3">
      <c r="A798" s="86" t="s">
        <v>2558</v>
      </c>
      <c r="B798" s="86" t="s">
        <v>2559</v>
      </c>
      <c r="C798" s="86" t="s">
        <v>294</v>
      </c>
      <c r="D798" s="86" t="s">
        <v>834</v>
      </c>
      <c r="E798" s="86" t="s">
        <v>185</v>
      </c>
      <c r="F798" s="86" t="s">
        <v>187</v>
      </c>
      <c r="G798" s="86" t="s">
        <v>675</v>
      </c>
      <c r="H798" s="86" t="s">
        <v>1476</v>
      </c>
      <c r="I798" s="87" t="s">
        <v>2276</v>
      </c>
      <c r="J798" s="84" t="s">
        <v>554</v>
      </c>
      <c r="K798" s="84" t="s">
        <v>555</v>
      </c>
    </row>
    <row r="799" spans="1:11" ht="15.75" x14ac:dyDescent="0.3">
      <c r="A799" s="86" t="s">
        <v>2560</v>
      </c>
      <c r="B799" s="86" t="s">
        <v>2561</v>
      </c>
      <c r="C799" s="86" t="s">
        <v>294</v>
      </c>
      <c r="D799" s="86" t="s">
        <v>834</v>
      </c>
      <c r="E799" s="86" t="s">
        <v>185</v>
      </c>
      <c r="F799" s="86" t="s">
        <v>187</v>
      </c>
      <c r="G799" s="86" t="s">
        <v>675</v>
      </c>
      <c r="H799" s="86" t="s">
        <v>1476</v>
      </c>
      <c r="I799" s="87" t="s">
        <v>2276</v>
      </c>
      <c r="J799" s="84" t="s">
        <v>554</v>
      </c>
      <c r="K799" s="84" t="s">
        <v>555</v>
      </c>
    </row>
    <row r="800" spans="1:11" ht="15.75" x14ac:dyDescent="0.3">
      <c r="A800" s="86" t="s">
        <v>2562</v>
      </c>
      <c r="B800" s="86" t="s">
        <v>2563</v>
      </c>
      <c r="C800" s="86" t="s">
        <v>292</v>
      </c>
      <c r="D800" s="86" t="s">
        <v>1459</v>
      </c>
      <c r="E800" s="86" t="s">
        <v>1460</v>
      </c>
      <c r="F800" s="86" t="s">
        <v>1461</v>
      </c>
      <c r="G800" s="86" t="s">
        <v>588</v>
      </c>
      <c r="H800" s="86" t="s">
        <v>1462</v>
      </c>
      <c r="I800" s="87" t="s">
        <v>2564</v>
      </c>
      <c r="J800" s="84" t="s">
        <v>554</v>
      </c>
      <c r="K800" s="84" t="s">
        <v>555</v>
      </c>
    </row>
    <row r="801" spans="1:11" ht="15.75" x14ac:dyDescent="0.3">
      <c r="A801" s="86" t="s">
        <v>2565</v>
      </c>
      <c r="B801" s="86" t="s">
        <v>2566</v>
      </c>
      <c r="C801" s="86" t="s">
        <v>292</v>
      </c>
      <c r="D801" s="86" t="s">
        <v>1481</v>
      </c>
      <c r="E801" s="86" t="s">
        <v>1482</v>
      </c>
      <c r="F801" s="86" t="s">
        <v>1483</v>
      </c>
      <c r="G801" s="86" t="s">
        <v>640</v>
      </c>
      <c r="H801" s="86" t="s">
        <v>2567</v>
      </c>
      <c r="I801" s="87" t="s">
        <v>2568</v>
      </c>
      <c r="J801" s="84" t="s">
        <v>554</v>
      </c>
      <c r="K801" s="84" t="s">
        <v>555</v>
      </c>
    </row>
    <row r="802" spans="1:11" ht="15.75" x14ac:dyDescent="0.3">
      <c r="A802" s="86" t="s">
        <v>2569</v>
      </c>
      <c r="B802" s="86" t="s">
        <v>2570</v>
      </c>
      <c r="C802" s="86" t="s">
        <v>294</v>
      </c>
      <c r="D802" s="86" t="s">
        <v>1466</v>
      </c>
      <c r="E802" s="86" t="s">
        <v>1467</v>
      </c>
      <c r="F802" s="86" t="s">
        <v>1468</v>
      </c>
      <c r="G802" s="86" t="s">
        <v>750</v>
      </c>
      <c r="H802" s="86" t="s">
        <v>1469</v>
      </c>
      <c r="I802" s="87" t="s">
        <v>2571</v>
      </c>
      <c r="J802" s="84" t="s">
        <v>554</v>
      </c>
      <c r="K802" s="84" t="s">
        <v>555</v>
      </c>
    </row>
    <row r="803" spans="1:11" ht="15.75" x14ac:dyDescent="0.3">
      <c r="A803" s="86" t="s">
        <v>2572</v>
      </c>
      <c r="B803" s="86" t="s">
        <v>2573</v>
      </c>
      <c r="C803" s="86" t="s">
        <v>293</v>
      </c>
      <c r="D803" s="86" t="s">
        <v>821</v>
      </c>
      <c r="E803" s="86" t="s">
        <v>822</v>
      </c>
      <c r="F803" s="86" t="s">
        <v>823</v>
      </c>
      <c r="G803" s="86" t="s">
        <v>824</v>
      </c>
      <c r="H803" s="86" t="s">
        <v>825</v>
      </c>
      <c r="I803" s="87" t="s">
        <v>2420</v>
      </c>
      <c r="J803" s="84" t="s">
        <v>554</v>
      </c>
      <c r="K803" s="84" t="s">
        <v>555</v>
      </c>
    </row>
    <row r="804" spans="1:11" ht="15.75" x14ac:dyDescent="0.3">
      <c r="A804" s="86" t="s">
        <v>2574</v>
      </c>
      <c r="B804" s="86" t="s">
        <v>2573</v>
      </c>
      <c r="C804" s="86" t="s">
        <v>292</v>
      </c>
      <c r="D804" s="86" t="s">
        <v>1025</v>
      </c>
      <c r="E804" s="86" t="s">
        <v>1202</v>
      </c>
      <c r="F804" s="86" t="s">
        <v>1027</v>
      </c>
      <c r="G804" s="86" t="s">
        <v>750</v>
      </c>
      <c r="H804" s="86" t="s">
        <v>2575</v>
      </c>
      <c r="I804" s="87" t="s">
        <v>731</v>
      </c>
      <c r="J804" s="84" t="s">
        <v>554</v>
      </c>
      <c r="K804" s="84" t="s">
        <v>555</v>
      </c>
    </row>
    <row r="805" spans="1:11" ht="15.75" x14ac:dyDescent="0.3">
      <c r="A805" s="86" t="s">
        <v>2576</v>
      </c>
      <c r="B805" s="86" t="s">
        <v>2573</v>
      </c>
      <c r="C805" s="86" t="s">
        <v>292</v>
      </c>
      <c r="D805" s="86" t="s">
        <v>1025</v>
      </c>
      <c r="E805" s="86" t="s">
        <v>1564</v>
      </c>
      <c r="F805" s="86" t="s">
        <v>1027</v>
      </c>
      <c r="G805" s="86" t="s">
        <v>551</v>
      </c>
      <c r="H805" s="86" t="s">
        <v>1565</v>
      </c>
      <c r="I805" s="87" t="s">
        <v>2420</v>
      </c>
      <c r="J805" s="84" t="s">
        <v>554</v>
      </c>
      <c r="K805" s="84" t="s">
        <v>555</v>
      </c>
    </row>
    <row r="806" spans="1:11" ht="15.75" x14ac:dyDescent="0.3">
      <c r="A806" s="86" t="s">
        <v>2577</v>
      </c>
      <c r="B806" s="86" t="s">
        <v>2578</v>
      </c>
      <c r="C806" s="86" t="s">
        <v>292</v>
      </c>
      <c r="D806" s="86" t="s">
        <v>1459</v>
      </c>
      <c r="E806" s="86" t="s">
        <v>1460</v>
      </c>
      <c r="F806" s="86" t="s">
        <v>1461</v>
      </c>
      <c r="G806" s="86" t="s">
        <v>588</v>
      </c>
      <c r="H806" s="86" t="s">
        <v>1462</v>
      </c>
      <c r="I806" s="87" t="s">
        <v>2579</v>
      </c>
      <c r="J806" s="84" t="s">
        <v>554</v>
      </c>
      <c r="K806" s="84" t="s">
        <v>555</v>
      </c>
    </row>
    <row r="807" spans="1:11" ht="15.75" x14ac:dyDescent="0.3">
      <c r="A807" s="86" t="s">
        <v>2580</v>
      </c>
      <c r="B807" s="86" t="s">
        <v>2581</v>
      </c>
      <c r="C807" s="86" t="s">
        <v>292</v>
      </c>
      <c r="D807" s="86" t="s">
        <v>1459</v>
      </c>
      <c r="E807" s="86" t="s">
        <v>1460</v>
      </c>
      <c r="F807" s="86" t="s">
        <v>1461</v>
      </c>
      <c r="G807" s="86" t="s">
        <v>588</v>
      </c>
      <c r="H807" s="86" t="s">
        <v>1462</v>
      </c>
      <c r="I807" s="87" t="s">
        <v>2582</v>
      </c>
      <c r="J807" s="84" t="s">
        <v>554</v>
      </c>
      <c r="K807" s="84" t="s">
        <v>555</v>
      </c>
    </row>
    <row r="808" spans="1:11" ht="15.75" x14ac:dyDescent="0.3">
      <c r="A808" s="86" t="s">
        <v>2583</v>
      </c>
      <c r="B808" s="86" t="s">
        <v>2584</v>
      </c>
      <c r="C808" s="86" t="s">
        <v>293</v>
      </c>
      <c r="D808" s="86" t="s">
        <v>768</v>
      </c>
      <c r="E808" s="86" t="s">
        <v>769</v>
      </c>
      <c r="F808" s="86" t="s">
        <v>770</v>
      </c>
      <c r="G808" s="86" t="s">
        <v>551</v>
      </c>
      <c r="H808" s="86" t="s">
        <v>771</v>
      </c>
      <c r="I808" s="87" t="s">
        <v>1588</v>
      </c>
      <c r="J808" s="84" t="s">
        <v>554</v>
      </c>
      <c r="K808" s="84" t="s">
        <v>555</v>
      </c>
    </row>
    <row r="809" spans="1:11" ht="15.75" x14ac:dyDescent="0.3">
      <c r="A809" s="86" t="s">
        <v>2585</v>
      </c>
      <c r="B809" s="86" t="s">
        <v>2586</v>
      </c>
      <c r="C809" s="86" t="s">
        <v>294</v>
      </c>
      <c r="D809" s="86" t="s">
        <v>752</v>
      </c>
      <c r="E809" s="86" t="s">
        <v>753</v>
      </c>
      <c r="F809" s="86" t="s">
        <v>217</v>
      </c>
      <c r="G809" s="86" t="s">
        <v>754</v>
      </c>
      <c r="H809" s="86" t="s">
        <v>755</v>
      </c>
      <c r="I809" s="87" t="s">
        <v>2587</v>
      </c>
      <c r="J809" s="84" t="s">
        <v>554</v>
      </c>
      <c r="K809" s="84" t="s">
        <v>555</v>
      </c>
    </row>
    <row r="810" spans="1:11" ht="15.75" x14ac:dyDescent="0.3">
      <c r="A810" s="86" t="s">
        <v>2588</v>
      </c>
      <c r="B810" s="86" t="s">
        <v>2586</v>
      </c>
      <c r="C810" s="86" t="s">
        <v>294</v>
      </c>
      <c r="D810" s="86" t="s">
        <v>1785</v>
      </c>
      <c r="E810" s="86" t="s">
        <v>1786</v>
      </c>
      <c r="F810" s="86" t="s">
        <v>1787</v>
      </c>
      <c r="G810" s="86" t="s">
        <v>754</v>
      </c>
      <c r="H810" s="86" t="s">
        <v>1788</v>
      </c>
      <c r="I810" s="87" t="s">
        <v>2587</v>
      </c>
      <c r="J810" s="84" t="s">
        <v>554</v>
      </c>
      <c r="K810" s="84" t="s">
        <v>555</v>
      </c>
    </row>
    <row r="811" spans="1:11" ht="15.75" x14ac:dyDescent="0.3">
      <c r="A811" s="86" t="s">
        <v>2589</v>
      </c>
      <c r="B811" s="86" t="s">
        <v>2586</v>
      </c>
      <c r="C811" s="86" t="s">
        <v>294</v>
      </c>
      <c r="D811" s="86" t="s">
        <v>838</v>
      </c>
      <c r="E811" s="86" t="s">
        <v>839</v>
      </c>
      <c r="F811" s="86" t="s">
        <v>840</v>
      </c>
      <c r="G811" s="86" t="s">
        <v>675</v>
      </c>
      <c r="H811" s="86" t="s">
        <v>1073</v>
      </c>
      <c r="I811" s="87" t="s">
        <v>2590</v>
      </c>
      <c r="J811" s="84" t="s">
        <v>554</v>
      </c>
      <c r="K811" s="84" t="s">
        <v>555</v>
      </c>
    </row>
    <row r="812" spans="1:11" ht="15.75" x14ac:dyDescent="0.3">
      <c r="A812" s="86" t="s">
        <v>2591</v>
      </c>
      <c r="B812" s="86" t="s">
        <v>2586</v>
      </c>
      <c r="C812" s="86" t="s">
        <v>294</v>
      </c>
      <c r="D812" s="86" t="s">
        <v>597</v>
      </c>
      <c r="E812" s="86" t="s">
        <v>598</v>
      </c>
      <c r="F812" s="86" t="s">
        <v>599</v>
      </c>
      <c r="G812" s="86" t="s">
        <v>551</v>
      </c>
      <c r="H812" s="86" t="s">
        <v>818</v>
      </c>
      <c r="I812" s="87" t="s">
        <v>2590</v>
      </c>
      <c r="J812" s="84" t="s">
        <v>554</v>
      </c>
      <c r="K812" s="84" t="s">
        <v>555</v>
      </c>
    </row>
    <row r="813" spans="1:11" ht="15.75" x14ac:dyDescent="0.3">
      <c r="A813" s="86" t="s">
        <v>2592</v>
      </c>
      <c r="B813" s="86" t="s">
        <v>2593</v>
      </c>
      <c r="C813" s="86" t="s">
        <v>294</v>
      </c>
      <c r="D813" s="86" t="s">
        <v>597</v>
      </c>
      <c r="E813" s="86" t="s">
        <v>598</v>
      </c>
      <c r="F813" s="86" t="s">
        <v>599</v>
      </c>
      <c r="G813" s="86" t="s">
        <v>551</v>
      </c>
      <c r="H813" s="86" t="s">
        <v>1507</v>
      </c>
      <c r="I813" s="87" t="s">
        <v>2594</v>
      </c>
      <c r="J813" s="84" t="s">
        <v>554</v>
      </c>
      <c r="K813" s="84" t="s">
        <v>555</v>
      </c>
    </row>
    <row r="814" spans="1:11" ht="15.75" x14ac:dyDescent="0.3">
      <c r="A814" s="86" t="s">
        <v>2595</v>
      </c>
      <c r="B814" s="86" t="s">
        <v>2596</v>
      </c>
      <c r="C814" s="86" t="s">
        <v>294</v>
      </c>
      <c r="D814" s="86" t="s">
        <v>591</v>
      </c>
      <c r="E814" s="86" t="s">
        <v>592</v>
      </c>
      <c r="F814" s="86" t="s">
        <v>593</v>
      </c>
      <c r="G814" s="86" t="s">
        <v>594</v>
      </c>
      <c r="H814" s="86" t="s">
        <v>1131</v>
      </c>
      <c r="I814" s="87" t="s">
        <v>2597</v>
      </c>
      <c r="J814" s="84" t="s">
        <v>554</v>
      </c>
      <c r="K814" s="84" t="s">
        <v>555</v>
      </c>
    </row>
    <row r="815" spans="1:11" ht="15.75" x14ac:dyDescent="0.3">
      <c r="A815" s="86" t="s">
        <v>2598</v>
      </c>
      <c r="B815" s="86" t="s">
        <v>2599</v>
      </c>
      <c r="C815" s="86" t="s">
        <v>294</v>
      </c>
      <c r="D815" s="86" t="s">
        <v>591</v>
      </c>
      <c r="E815" s="86" t="s">
        <v>592</v>
      </c>
      <c r="F815" s="86" t="s">
        <v>593</v>
      </c>
      <c r="G815" s="86" t="s">
        <v>594</v>
      </c>
      <c r="H815" s="86" t="s">
        <v>1131</v>
      </c>
      <c r="I815" s="87" t="s">
        <v>2600</v>
      </c>
      <c r="J815" s="84" t="s">
        <v>554</v>
      </c>
      <c r="K815" s="84" t="s">
        <v>555</v>
      </c>
    </row>
    <row r="816" spans="1:11" ht="15.75" x14ac:dyDescent="0.3">
      <c r="A816" s="86" t="s">
        <v>2601</v>
      </c>
      <c r="B816" s="86" t="s">
        <v>2602</v>
      </c>
      <c r="C816" s="86" t="s">
        <v>293</v>
      </c>
      <c r="D816" s="86" t="s">
        <v>821</v>
      </c>
      <c r="E816" s="86" t="s">
        <v>822</v>
      </c>
      <c r="F816" s="86" t="s">
        <v>823</v>
      </c>
      <c r="G816" s="86" t="s">
        <v>701</v>
      </c>
      <c r="H816" s="86" t="s">
        <v>2603</v>
      </c>
      <c r="I816" s="87" t="s">
        <v>2604</v>
      </c>
      <c r="J816" s="84" t="s">
        <v>554</v>
      </c>
      <c r="K816" s="84" t="s">
        <v>555</v>
      </c>
    </row>
    <row r="817" spans="1:11" ht="15.75" x14ac:dyDescent="0.3">
      <c r="A817" s="86" t="s">
        <v>2605</v>
      </c>
      <c r="B817" s="86" t="s">
        <v>2602</v>
      </c>
      <c r="C817" s="86" t="s">
        <v>292</v>
      </c>
      <c r="D817" s="86" t="s">
        <v>905</v>
      </c>
      <c r="E817" s="86" t="s">
        <v>139</v>
      </c>
      <c r="F817" s="86" t="s">
        <v>141</v>
      </c>
      <c r="G817" s="86" t="s">
        <v>851</v>
      </c>
      <c r="H817" s="86" t="s">
        <v>1184</v>
      </c>
      <c r="I817" s="87" t="s">
        <v>2606</v>
      </c>
      <c r="J817" s="84" t="s">
        <v>554</v>
      </c>
      <c r="K817" s="84" t="s">
        <v>555</v>
      </c>
    </row>
    <row r="818" spans="1:11" ht="15.75" x14ac:dyDescent="0.3">
      <c r="A818" s="86" t="s">
        <v>2607</v>
      </c>
      <c r="B818" s="86" t="s">
        <v>2602</v>
      </c>
      <c r="C818" s="86" t="s">
        <v>292</v>
      </c>
      <c r="D818" s="86" t="s">
        <v>695</v>
      </c>
      <c r="E818" s="86" t="s">
        <v>696</v>
      </c>
      <c r="F818" s="86" t="s">
        <v>697</v>
      </c>
      <c r="G818" s="86" t="s">
        <v>594</v>
      </c>
      <c r="H818" s="86" t="s">
        <v>1737</v>
      </c>
      <c r="I818" s="87" t="s">
        <v>2606</v>
      </c>
      <c r="J818" s="84" t="s">
        <v>554</v>
      </c>
      <c r="K818" s="84" t="s">
        <v>555</v>
      </c>
    </row>
    <row r="819" spans="1:11" ht="15.75" x14ac:dyDescent="0.3">
      <c r="A819" s="86" t="s">
        <v>2608</v>
      </c>
      <c r="B819" s="86" t="s">
        <v>2609</v>
      </c>
      <c r="C819" s="86" t="s">
        <v>293</v>
      </c>
      <c r="D819" s="86" t="s">
        <v>821</v>
      </c>
      <c r="E819" s="86" t="s">
        <v>822</v>
      </c>
      <c r="F819" s="86" t="s">
        <v>823</v>
      </c>
      <c r="G819" s="86" t="s">
        <v>824</v>
      </c>
      <c r="H819" s="86" t="s">
        <v>825</v>
      </c>
      <c r="I819" s="87" t="s">
        <v>2159</v>
      </c>
      <c r="J819" s="84" t="s">
        <v>554</v>
      </c>
      <c r="K819" s="84" t="s">
        <v>555</v>
      </c>
    </row>
    <row r="820" spans="1:11" ht="15.75" x14ac:dyDescent="0.3">
      <c r="A820" s="86" t="s">
        <v>2610</v>
      </c>
      <c r="B820" s="86" t="s">
        <v>2609</v>
      </c>
      <c r="C820" s="86" t="s">
        <v>293</v>
      </c>
      <c r="D820" s="86" t="s">
        <v>1413</v>
      </c>
      <c r="E820" s="86" t="s">
        <v>1414</v>
      </c>
      <c r="F820" s="86" t="s">
        <v>1415</v>
      </c>
      <c r="G820" s="86" t="s">
        <v>708</v>
      </c>
      <c r="H820" s="86" t="s">
        <v>2156</v>
      </c>
      <c r="I820" s="87" t="s">
        <v>731</v>
      </c>
      <c r="J820" s="84" t="s">
        <v>554</v>
      </c>
      <c r="K820" s="84" t="s">
        <v>555</v>
      </c>
    </row>
    <row r="821" spans="1:11" ht="15.75" x14ac:dyDescent="0.3">
      <c r="A821" s="86" t="s">
        <v>2611</v>
      </c>
      <c r="B821" s="86" t="s">
        <v>2609</v>
      </c>
      <c r="C821" s="86" t="s">
        <v>293</v>
      </c>
      <c r="D821" s="86" t="s">
        <v>621</v>
      </c>
      <c r="E821" s="86" t="s">
        <v>112</v>
      </c>
      <c r="F821" s="86" t="s">
        <v>114</v>
      </c>
      <c r="G821" s="86" t="s">
        <v>622</v>
      </c>
      <c r="H821" s="86" t="s">
        <v>1151</v>
      </c>
      <c r="I821" s="87" t="s">
        <v>2159</v>
      </c>
      <c r="J821" s="84" t="s">
        <v>554</v>
      </c>
      <c r="K821" s="84" t="s">
        <v>555</v>
      </c>
    </row>
    <row r="822" spans="1:11" ht="15.75" x14ac:dyDescent="0.3">
      <c r="A822" s="86" t="s">
        <v>2612</v>
      </c>
      <c r="B822" s="86" t="s">
        <v>2609</v>
      </c>
      <c r="C822" s="86" t="s">
        <v>293</v>
      </c>
      <c r="D822" s="86" t="s">
        <v>1344</v>
      </c>
      <c r="E822" s="86" t="s">
        <v>1345</v>
      </c>
      <c r="F822" s="86" t="s">
        <v>1346</v>
      </c>
      <c r="G822" s="86" t="s">
        <v>740</v>
      </c>
      <c r="H822" s="86" t="s">
        <v>1621</v>
      </c>
      <c r="I822" s="87" t="s">
        <v>2159</v>
      </c>
      <c r="J822" s="84" t="s">
        <v>554</v>
      </c>
      <c r="K822" s="84" t="s">
        <v>555</v>
      </c>
    </row>
    <row r="823" spans="1:11" ht="15.75" x14ac:dyDescent="0.3">
      <c r="A823" s="86" t="s">
        <v>2613</v>
      </c>
      <c r="B823" s="86" t="s">
        <v>2609</v>
      </c>
      <c r="C823" s="86" t="s">
        <v>294</v>
      </c>
      <c r="D823" s="86" t="s">
        <v>711</v>
      </c>
      <c r="E823" s="86" t="s">
        <v>278</v>
      </c>
      <c r="F823" s="86" t="s">
        <v>280</v>
      </c>
      <c r="G823" s="86" t="s">
        <v>851</v>
      </c>
      <c r="H823" s="86" t="s">
        <v>2614</v>
      </c>
      <c r="I823" s="87" t="s">
        <v>2159</v>
      </c>
      <c r="J823" s="84" t="s">
        <v>554</v>
      </c>
      <c r="K823" s="84" t="s">
        <v>555</v>
      </c>
    </row>
    <row r="824" spans="1:11" ht="15.75" x14ac:dyDescent="0.3">
      <c r="A824" s="86" t="s">
        <v>2615</v>
      </c>
      <c r="B824" s="86" t="s">
        <v>2609</v>
      </c>
      <c r="C824" s="86" t="s">
        <v>292</v>
      </c>
      <c r="D824" s="86" t="s">
        <v>752</v>
      </c>
      <c r="E824" s="86" t="s">
        <v>215</v>
      </c>
      <c r="F824" s="86" t="s">
        <v>217</v>
      </c>
      <c r="G824" s="86" t="s">
        <v>851</v>
      </c>
      <c r="H824" s="86" t="s">
        <v>1959</v>
      </c>
      <c r="I824" s="87" t="s">
        <v>2159</v>
      </c>
      <c r="J824" s="84" t="s">
        <v>554</v>
      </c>
      <c r="K824" s="84" t="s">
        <v>555</v>
      </c>
    </row>
    <row r="825" spans="1:11" ht="15.75" x14ac:dyDescent="0.3">
      <c r="A825" s="86" t="s">
        <v>2616</v>
      </c>
      <c r="B825" s="86" t="s">
        <v>2609</v>
      </c>
      <c r="C825" s="86" t="s">
        <v>293</v>
      </c>
      <c r="D825" s="86" t="s">
        <v>834</v>
      </c>
      <c r="E825" s="86" t="s">
        <v>929</v>
      </c>
      <c r="F825" s="86" t="s">
        <v>187</v>
      </c>
      <c r="G825" s="86" t="s">
        <v>588</v>
      </c>
      <c r="H825" s="86" t="s">
        <v>930</v>
      </c>
      <c r="I825" s="87" t="s">
        <v>731</v>
      </c>
      <c r="J825" s="84" t="s">
        <v>554</v>
      </c>
      <c r="K825" s="84" t="s">
        <v>555</v>
      </c>
    </row>
    <row r="826" spans="1:11" ht="15.75" x14ac:dyDescent="0.3">
      <c r="A826" s="86" t="s">
        <v>2617</v>
      </c>
      <c r="B826" s="86" t="s">
        <v>2609</v>
      </c>
      <c r="C826" s="86" t="s">
        <v>292</v>
      </c>
      <c r="D826" s="86" t="s">
        <v>905</v>
      </c>
      <c r="E826" s="86" t="s">
        <v>139</v>
      </c>
      <c r="F826" s="86" t="s">
        <v>141</v>
      </c>
      <c r="G826" s="86" t="s">
        <v>588</v>
      </c>
      <c r="H826" s="86" t="s">
        <v>906</v>
      </c>
      <c r="I826" s="87" t="s">
        <v>2618</v>
      </c>
      <c r="J826" s="84" t="s">
        <v>554</v>
      </c>
      <c r="K826" s="84" t="s">
        <v>555</v>
      </c>
    </row>
    <row r="827" spans="1:11" ht="15.75" x14ac:dyDescent="0.3">
      <c r="A827" s="86" t="s">
        <v>2619</v>
      </c>
      <c r="B827" s="86" t="s">
        <v>2609</v>
      </c>
      <c r="C827" s="86" t="s">
        <v>292</v>
      </c>
      <c r="D827" s="86" t="s">
        <v>695</v>
      </c>
      <c r="E827" s="86" t="s">
        <v>696</v>
      </c>
      <c r="F827" s="86" t="s">
        <v>697</v>
      </c>
      <c r="G827" s="86" t="s">
        <v>594</v>
      </c>
      <c r="H827" s="86" t="s">
        <v>1737</v>
      </c>
      <c r="I827" s="87" t="s">
        <v>2159</v>
      </c>
      <c r="J827" s="84" t="s">
        <v>554</v>
      </c>
      <c r="K827" s="84" t="s">
        <v>555</v>
      </c>
    </row>
    <row r="828" spans="1:11" ht="15.75" x14ac:dyDescent="0.3">
      <c r="A828" s="86" t="s">
        <v>2620</v>
      </c>
      <c r="B828" s="86" t="s">
        <v>2609</v>
      </c>
      <c r="C828" s="86" t="s">
        <v>292</v>
      </c>
      <c r="D828" s="86" t="s">
        <v>910</v>
      </c>
      <c r="E828" s="86" t="s">
        <v>911</v>
      </c>
      <c r="F828" s="86" t="s">
        <v>912</v>
      </c>
      <c r="G828" s="86" t="s">
        <v>745</v>
      </c>
      <c r="H828" s="86" t="s">
        <v>1575</v>
      </c>
      <c r="I828" s="87" t="s">
        <v>2159</v>
      </c>
      <c r="J828" s="84" t="s">
        <v>554</v>
      </c>
      <c r="K828" s="84" t="s">
        <v>555</v>
      </c>
    </row>
    <row r="829" spans="1:11" ht="15.75" x14ac:dyDescent="0.3">
      <c r="A829" s="86" t="s">
        <v>2621</v>
      </c>
      <c r="B829" s="86" t="s">
        <v>2609</v>
      </c>
      <c r="C829" s="86" t="s">
        <v>294</v>
      </c>
      <c r="D829" s="86" t="s">
        <v>752</v>
      </c>
      <c r="E829" s="86" t="s">
        <v>753</v>
      </c>
      <c r="F829" s="86" t="s">
        <v>217</v>
      </c>
      <c r="G829" s="86" t="s">
        <v>675</v>
      </c>
      <c r="H829" s="86" t="s">
        <v>2622</v>
      </c>
      <c r="I829" s="87" t="s">
        <v>2159</v>
      </c>
      <c r="J829" s="84" t="s">
        <v>554</v>
      </c>
      <c r="K829" s="84" t="s">
        <v>555</v>
      </c>
    </row>
    <row r="830" spans="1:11" ht="15.75" x14ac:dyDescent="0.3">
      <c r="A830" s="86" t="s">
        <v>2623</v>
      </c>
      <c r="B830" s="86" t="s">
        <v>2609</v>
      </c>
      <c r="C830" s="86" t="s">
        <v>294</v>
      </c>
      <c r="D830" s="86" t="s">
        <v>838</v>
      </c>
      <c r="E830" s="86" t="s">
        <v>839</v>
      </c>
      <c r="F830" s="86" t="s">
        <v>840</v>
      </c>
      <c r="G830" s="86" t="s">
        <v>675</v>
      </c>
      <c r="H830" s="86" t="s">
        <v>1073</v>
      </c>
      <c r="I830" s="87" t="s">
        <v>2159</v>
      </c>
      <c r="J830" s="84" t="s">
        <v>554</v>
      </c>
      <c r="K830" s="84" t="s">
        <v>555</v>
      </c>
    </row>
    <row r="831" spans="1:11" ht="15.75" x14ac:dyDescent="0.3">
      <c r="A831" s="86" t="s">
        <v>2624</v>
      </c>
      <c r="B831" s="86" t="s">
        <v>2609</v>
      </c>
      <c r="C831" s="86" t="s">
        <v>293</v>
      </c>
      <c r="D831" s="86" t="s">
        <v>1121</v>
      </c>
      <c r="E831" s="86" t="s">
        <v>1122</v>
      </c>
      <c r="F831" s="86" t="s">
        <v>1123</v>
      </c>
      <c r="G831" s="86" t="s">
        <v>675</v>
      </c>
      <c r="H831" s="86" t="s">
        <v>1124</v>
      </c>
      <c r="I831" s="87" t="s">
        <v>2159</v>
      </c>
      <c r="J831" s="84" t="s">
        <v>554</v>
      </c>
      <c r="K831" s="84" t="s">
        <v>555</v>
      </c>
    </row>
    <row r="832" spans="1:11" ht="15.75" x14ac:dyDescent="0.3">
      <c r="A832" s="86" t="s">
        <v>2625</v>
      </c>
      <c r="B832" s="86" t="s">
        <v>2609</v>
      </c>
      <c r="C832" s="86" t="s">
        <v>294</v>
      </c>
      <c r="D832" s="86" t="s">
        <v>804</v>
      </c>
      <c r="E832" s="86" t="s">
        <v>805</v>
      </c>
      <c r="F832" s="86" t="s">
        <v>806</v>
      </c>
      <c r="G832" s="86" t="s">
        <v>807</v>
      </c>
      <c r="H832" s="86" t="s">
        <v>808</v>
      </c>
      <c r="I832" s="87" t="s">
        <v>731</v>
      </c>
      <c r="J832" s="84" t="s">
        <v>554</v>
      </c>
      <c r="K832" s="84" t="s">
        <v>555</v>
      </c>
    </row>
    <row r="833" spans="1:11" ht="15.75" x14ac:dyDescent="0.3">
      <c r="A833" s="86" t="s">
        <v>2626</v>
      </c>
      <c r="B833" s="86" t="s">
        <v>2627</v>
      </c>
      <c r="C833" s="86" t="s">
        <v>294</v>
      </c>
      <c r="D833" s="86" t="s">
        <v>713</v>
      </c>
      <c r="E833" s="86" t="s">
        <v>714</v>
      </c>
      <c r="F833" s="86" t="s">
        <v>715</v>
      </c>
      <c r="G833" s="86" t="s">
        <v>622</v>
      </c>
      <c r="H833" s="86" t="s">
        <v>716</v>
      </c>
      <c r="I833" s="87" t="s">
        <v>2628</v>
      </c>
      <c r="J833" s="84" t="s">
        <v>554</v>
      </c>
      <c r="K833" s="84" t="s">
        <v>555</v>
      </c>
    </row>
    <row r="834" spans="1:11" ht="15.75" x14ac:dyDescent="0.3">
      <c r="A834" s="86" t="s">
        <v>2629</v>
      </c>
      <c r="B834" s="86" t="s">
        <v>2630</v>
      </c>
      <c r="C834" s="86" t="s">
        <v>294</v>
      </c>
      <c r="D834" s="86" t="s">
        <v>796</v>
      </c>
      <c r="E834" s="86" t="s">
        <v>797</v>
      </c>
      <c r="F834" s="86" t="s">
        <v>798</v>
      </c>
      <c r="G834" s="86" t="s">
        <v>588</v>
      </c>
      <c r="H834" s="86" t="s">
        <v>799</v>
      </c>
      <c r="I834" s="87" t="s">
        <v>2631</v>
      </c>
      <c r="J834" s="84" t="s">
        <v>554</v>
      </c>
      <c r="K834" s="84" t="s">
        <v>555</v>
      </c>
    </row>
    <row r="835" spans="1:11" ht="15.75" x14ac:dyDescent="0.3">
      <c r="A835" s="86" t="s">
        <v>2632</v>
      </c>
      <c r="B835" s="86" t="s">
        <v>2633</v>
      </c>
      <c r="C835" s="86" t="s">
        <v>294</v>
      </c>
      <c r="D835" s="86" t="s">
        <v>1608</v>
      </c>
      <c r="E835" s="86" t="s">
        <v>1609</v>
      </c>
      <c r="F835" s="86" t="s">
        <v>1610</v>
      </c>
      <c r="G835" s="86" t="s">
        <v>622</v>
      </c>
      <c r="H835" s="86" t="s">
        <v>1611</v>
      </c>
      <c r="I835" s="87" t="s">
        <v>2634</v>
      </c>
      <c r="J835" s="84" t="s">
        <v>554</v>
      </c>
      <c r="K835" s="84" t="s">
        <v>555</v>
      </c>
    </row>
    <row r="836" spans="1:11" ht="15.75" x14ac:dyDescent="0.3">
      <c r="A836" s="86" t="s">
        <v>2635</v>
      </c>
      <c r="B836" s="86" t="s">
        <v>2636</v>
      </c>
      <c r="C836" s="86" t="s">
        <v>292</v>
      </c>
      <c r="D836" s="86" t="s">
        <v>587</v>
      </c>
      <c r="E836" s="86" t="s">
        <v>135</v>
      </c>
      <c r="F836" s="86" t="s">
        <v>137</v>
      </c>
      <c r="G836" s="86" t="s">
        <v>588</v>
      </c>
      <c r="H836" s="86" t="s">
        <v>2637</v>
      </c>
      <c r="I836" s="87" t="s">
        <v>2638</v>
      </c>
      <c r="J836" s="84" t="s">
        <v>554</v>
      </c>
      <c r="K836" s="84" t="s">
        <v>555</v>
      </c>
    </row>
    <row r="837" spans="1:11" ht="15.75" x14ac:dyDescent="0.3">
      <c r="A837" s="86" t="s">
        <v>2639</v>
      </c>
      <c r="B837" s="86" t="s">
        <v>2640</v>
      </c>
      <c r="C837" s="86" t="s">
        <v>293</v>
      </c>
      <c r="D837" s="86" t="s">
        <v>1860</v>
      </c>
      <c r="E837" s="86" t="s">
        <v>1861</v>
      </c>
      <c r="F837" s="86" t="s">
        <v>1862</v>
      </c>
      <c r="G837" s="86" t="s">
        <v>708</v>
      </c>
      <c r="H837" s="86" t="s">
        <v>1863</v>
      </c>
      <c r="I837" s="87" t="s">
        <v>2641</v>
      </c>
      <c r="J837" s="84" t="s">
        <v>554</v>
      </c>
      <c r="K837" s="84" t="s">
        <v>555</v>
      </c>
    </row>
    <row r="838" spans="1:11" ht="15.75" x14ac:dyDescent="0.3">
      <c r="A838" s="86" t="s">
        <v>2642</v>
      </c>
      <c r="B838" s="86" t="s">
        <v>2643</v>
      </c>
      <c r="C838" s="86" t="s">
        <v>292</v>
      </c>
      <c r="D838" s="86" t="s">
        <v>587</v>
      </c>
      <c r="E838" s="86" t="s">
        <v>135</v>
      </c>
      <c r="F838" s="86" t="s">
        <v>137</v>
      </c>
      <c r="G838" s="86" t="s">
        <v>851</v>
      </c>
      <c r="H838" s="86" t="s">
        <v>2644</v>
      </c>
      <c r="I838" s="87" t="s">
        <v>2645</v>
      </c>
      <c r="J838" s="84" t="s">
        <v>554</v>
      </c>
      <c r="K838" s="84" t="s">
        <v>555</v>
      </c>
    </row>
    <row r="839" spans="1:11" ht="15.75" x14ac:dyDescent="0.3">
      <c r="A839" s="86" t="s">
        <v>2646</v>
      </c>
      <c r="B839" s="86" t="s">
        <v>2647</v>
      </c>
      <c r="C839" s="86" t="s">
        <v>293</v>
      </c>
      <c r="D839" s="86" t="s">
        <v>657</v>
      </c>
      <c r="E839" s="86" t="s">
        <v>48</v>
      </c>
      <c r="F839" s="86" t="s">
        <v>50</v>
      </c>
      <c r="G839" s="86" t="s">
        <v>615</v>
      </c>
      <c r="H839" s="86" t="s">
        <v>893</v>
      </c>
      <c r="I839" s="87" t="s">
        <v>2648</v>
      </c>
      <c r="J839" s="84" t="s">
        <v>554</v>
      </c>
      <c r="K839" s="84" t="s">
        <v>555</v>
      </c>
    </row>
    <row r="840" spans="1:11" ht="15.75" x14ac:dyDescent="0.3">
      <c r="A840" s="86" t="s">
        <v>2649</v>
      </c>
      <c r="B840" s="86" t="s">
        <v>2647</v>
      </c>
      <c r="C840" s="86" t="s">
        <v>292</v>
      </c>
      <c r="D840" s="86" t="s">
        <v>587</v>
      </c>
      <c r="E840" s="86" t="s">
        <v>135</v>
      </c>
      <c r="F840" s="86" t="s">
        <v>137</v>
      </c>
      <c r="G840" s="86" t="s">
        <v>851</v>
      </c>
      <c r="H840" s="86" t="s">
        <v>896</v>
      </c>
      <c r="I840" s="87" t="s">
        <v>2648</v>
      </c>
      <c r="J840" s="84" t="s">
        <v>554</v>
      </c>
      <c r="K840" s="84" t="s">
        <v>555</v>
      </c>
    </row>
    <row r="841" spans="1:11" ht="15.75" x14ac:dyDescent="0.3">
      <c r="A841" s="86" t="s">
        <v>2650</v>
      </c>
      <c r="B841" s="86" t="s">
        <v>2651</v>
      </c>
      <c r="C841" s="86" t="s">
        <v>293</v>
      </c>
      <c r="D841" s="86" t="s">
        <v>657</v>
      </c>
      <c r="E841" s="86" t="s">
        <v>48</v>
      </c>
      <c r="F841" s="86" t="s">
        <v>50</v>
      </c>
      <c r="G841" s="86" t="s">
        <v>615</v>
      </c>
      <c r="H841" s="86" t="s">
        <v>893</v>
      </c>
      <c r="I841" s="87" t="s">
        <v>2652</v>
      </c>
      <c r="J841" s="84" t="s">
        <v>554</v>
      </c>
      <c r="K841" s="84" t="s">
        <v>555</v>
      </c>
    </row>
    <row r="842" spans="1:11" ht="15.75" x14ac:dyDescent="0.3">
      <c r="A842" s="86" t="s">
        <v>2653</v>
      </c>
      <c r="B842" s="86" t="s">
        <v>2654</v>
      </c>
      <c r="C842" s="86" t="s">
        <v>293</v>
      </c>
      <c r="D842" s="86" t="s">
        <v>657</v>
      </c>
      <c r="E842" s="86" t="s">
        <v>48</v>
      </c>
      <c r="F842" s="86" t="s">
        <v>50</v>
      </c>
      <c r="G842" s="86" t="s">
        <v>615</v>
      </c>
      <c r="H842" s="86" t="s">
        <v>893</v>
      </c>
      <c r="I842" s="87" t="s">
        <v>2655</v>
      </c>
      <c r="J842" s="84" t="s">
        <v>554</v>
      </c>
      <c r="K842" s="84" t="s">
        <v>555</v>
      </c>
    </row>
    <row r="843" spans="1:11" ht="15.75" x14ac:dyDescent="0.3">
      <c r="A843" s="86" t="s">
        <v>2656</v>
      </c>
      <c r="B843" s="86" t="s">
        <v>2654</v>
      </c>
      <c r="C843" s="86" t="s">
        <v>292</v>
      </c>
      <c r="D843" s="86" t="s">
        <v>587</v>
      </c>
      <c r="E843" s="86" t="s">
        <v>135</v>
      </c>
      <c r="F843" s="86" t="s">
        <v>137</v>
      </c>
      <c r="G843" s="86" t="s">
        <v>851</v>
      </c>
      <c r="H843" s="86" t="s">
        <v>896</v>
      </c>
      <c r="I843" s="87" t="s">
        <v>2655</v>
      </c>
      <c r="J843" s="84" t="s">
        <v>554</v>
      </c>
      <c r="K843" s="84" t="s">
        <v>555</v>
      </c>
    </row>
    <row r="844" spans="1:11" ht="15.75" x14ac:dyDescent="0.3">
      <c r="A844" s="86" t="s">
        <v>2657</v>
      </c>
      <c r="B844" s="86" t="s">
        <v>2658</v>
      </c>
      <c r="C844" s="86" t="s">
        <v>293</v>
      </c>
      <c r="D844" s="86" t="s">
        <v>1107</v>
      </c>
      <c r="E844" s="86" t="s">
        <v>1108</v>
      </c>
      <c r="F844" s="86" t="s">
        <v>1109</v>
      </c>
      <c r="G844" s="86" t="s">
        <v>750</v>
      </c>
      <c r="H844" s="86" t="s">
        <v>1110</v>
      </c>
      <c r="I844" s="87" t="s">
        <v>2659</v>
      </c>
      <c r="J844" s="84" t="s">
        <v>554</v>
      </c>
      <c r="K844" s="84" t="s">
        <v>555</v>
      </c>
    </row>
    <row r="845" spans="1:11" ht="15.75" x14ac:dyDescent="0.3">
      <c r="A845" s="86" t="s">
        <v>2660</v>
      </c>
      <c r="B845" s="86" t="s">
        <v>2661</v>
      </c>
      <c r="C845" s="86" t="s">
        <v>294</v>
      </c>
      <c r="D845" s="86" t="s">
        <v>742</v>
      </c>
      <c r="E845" s="86" t="s">
        <v>743</v>
      </c>
      <c r="F845" s="86" t="s">
        <v>744</v>
      </c>
      <c r="G845" s="86" t="s">
        <v>745</v>
      </c>
      <c r="H845" s="86" t="s">
        <v>746</v>
      </c>
      <c r="I845" s="87" t="s">
        <v>2662</v>
      </c>
      <c r="J845" s="84" t="s">
        <v>554</v>
      </c>
      <c r="K845" s="84" t="s">
        <v>555</v>
      </c>
    </row>
    <row r="846" spans="1:11" ht="15.75" x14ac:dyDescent="0.3">
      <c r="A846" s="86" t="s">
        <v>2663</v>
      </c>
      <c r="B846" s="86" t="s">
        <v>2664</v>
      </c>
      <c r="C846" s="86" t="s">
        <v>294</v>
      </c>
      <c r="D846" s="86" t="s">
        <v>597</v>
      </c>
      <c r="E846" s="86" t="s">
        <v>598</v>
      </c>
      <c r="F846" s="86" t="s">
        <v>599</v>
      </c>
      <c r="G846" s="86" t="s">
        <v>551</v>
      </c>
      <c r="H846" s="86" t="s">
        <v>1099</v>
      </c>
      <c r="I846" s="87" t="s">
        <v>736</v>
      </c>
      <c r="J846" s="84" t="s">
        <v>554</v>
      </c>
      <c r="K846" s="84" t="s">
        <v>555</v>
      </c>
    </row>
    <row r="847" spans="1:11" ht="15.75" x14ac:dyDescent="0.3">
      <c r="A847" s="86" t="s">
        <v>2665</v>
      </c>
      <c r="B847" s="86" t="s">
        <v>2666</v>
      </c>
      <c r="C847" s="86" t="s">
        <v>294</v>
      </c>
      <c r="D847" s="86" t="s">
        <v>752</v>
      </c>
      <c r="E847" s="86" t="s">
        <v>753</v>
      </c>
      <c r="F847" s="86" t="s">
        <v>217</v>
      </c>
      <c r="G847" s="86" t="s">
        <v>754</v>
      </c>
      <c r="H847" s="86" t="s">
        <v>755</v>
      </c>
      <c r="I847" s="87" t="s">
        <v>2667</v>
      </c>
      <c r="J847" s="84" t="s">
        <v>554</v>
      </c>
      <c r="K847" s="84" t="s">
        <v>555</v>
      </c>
    </row>
    <row r="848" spans="1:11" ht="15.75" x14ac:dyDescent="0.3">
      <c r="A848" s="86" t="s">
        <v>2668</v>
      </c>
      <c r="B848" s="86" t="s">
        <v>2669</v>
      </c>
      <c r="C848" s="86" t="s">
        <v>292</v>
      </c>
      <c r="D848" s="86" t="s">
        <v>695</v>
      </c>
      <c r="E848" s="86" t="s">
        <v>696</v>
      </c>
      <c r="F848" s="86" t="s">
        <v>697</v>
      </c>
      <c r="G848" s="86" t="s">
        <v>594</v>
      </c>
      <c r="H848" s="86" t="s">
        <v>698</v>
      </c>
      <c r="I848" s="87" t="s">
        <v>1626</v>
      </c>
      <c r="J848" s="84" t="s">
        <v>554</v>
      </c>
      <c r="K848" s="84" t="s">
        <v>555</v>
      </c>
    </row>
    <row r="849" spans="1:11" ht="15.75" x14ac:dyDescent="0.3">
      <c r="A849" s="86" t="s">
        <v>2670</v>
      </c>
      <c r="B849" s="86" t="s">
        <v>2669</v>
      </c>
      <c r="C849" s="86" t="s">
        <v>293</v>
      </c>
      <c r="D849" s="86" t="s">
        <v>1107</v>
      </c>
      <c r="E849" s="86" t="s">
        <v>1108</v>
      </c>
      <c r="F849" s="86" t="s">
        <v>1109</v>
      </c>
      <c r="G849" s="86" t="s">
        <v>750</v>
      </c>
      <c r="H849" s="86" t="s">
        <v>1110</v>
      </c>
      <c r="I849" s="87" t="s">
        <v>1626</v>
      </c>
      <c r="J849" s="84" t="s">
        <v>554</v>
      </c>
      <c r="K849" s="84" t="s">
        <v>555</v>
      </c>
    </row>
    <row r="850" spans="1:11" ht="15.75" x14ac:dyDescent="0.3">
      <c r="A850" s="86" t="s">
        <v>2671</v>
      </c>
      <c r="B850" s="86" t="s">
        <v>2672</v>
      </c>
      <c r="C850" s="86" t="s">
        <v>292</v>
      </c>
      <c r="D850" s="86" t="s">
        <v>1025</v>
      </c>
      <c r="E850" s="86" t="s">
        <v>1202</v>
      </c>
      <c r="F850" s="86" t="s">
        <v>1027</v>
      </c>
      <c r="G850" s="86" t="s">
        <v>750</v>
      </c>
      <c r="H850" s="86" t="s">
        <v>1410</v>
      </c>
      <c r="I850" s="87" t="s">
        <v>731</v>
      </c>
      <c r="J850" s="84" t="s">
        <v>554</v>
      </c>
      <c r="K850" s="84" t="s">
        <v>555</v>
      </c>
    </row>
    <row r="851" spans="1:11" ht="15.75" x14ac:dyDescent="0.3">
      <c r="A851" s="86" t="s">
        <v>2673</v>
      </c>
      <c r="B851" s="86" t="s">
        <v>2672</v>
      </c>
      <c r="C851" s="86" t="s">
        <v>292</v>
      </c>
      <c r="D851" s="86" t="s">
        <v>1025</v>
      </c>
      <c r="E851" s="86" t="s">
        <v>1564</v>
      </c>
      <c r="F851" s="86" t="s">
        <v>1027</v>
      </c>
      <c r="G851" s="86" t="s">
        <v>551</v>
      </c>
      <c r="H851" s="86" t="s">
        <v>1565</v>
      </c>
      <c r="I851" s="87" t="s">
        <v>1218</v>
      </c>
      <c r="J851" s="84" t="s">
        <v>554</v>
      </c>
      <c r="K851" s="84" t="s">
        <v>555</v>
      </c>
    </row>
    <row r="852" spans="1:11" ht="15.75" x14ac:dyDescent="0.3">
      <c r="A852" s="86" t="s">
        <v>2674</v>
      </c>
      <c r="B852" s="86" t="s">
        <v>2675</v>
      </c>
      <c r="C852" s="86" t="s">
        <v>293</v>
      </c>
      <c r="D852" s="86" t="s">
        <v>672</v>
      </c>
      <c r="E852" s="86" t="s">
        <v>673</v>
      </c>
      <c r="F852" s="86" t="s">
        <v>674</v>
      </c>
      <c r="G852" s="86" t="s">
        <v>675</v>
      </c>
      <c r="H852" s="86" t="s">
        <v>1228</v>
      </c>
      <c r="I852" s="87" t="s">
        <v>2676</v>
      </c>
      <c r="J852" s="84" t="s">
        <v>554</v>
      </c>
      <c r="K852" s="84" t="s">
        <v>555</v>
      </c>
    </row>
    <row r="853" spans="1:11" ht="15.75" x14ac:dyDescent="0.3">
      <c r="A853" s="86" t="s">
        <v>2677</v>
      </c>
      <c r="B853" s="86" t="s">
        <v>2678</v>
      </c>
      <c r="C853" s="86" t="s">
        <v>293</v>
      </c>
      <c r="D853" s="86" t="s">
        <v>1169</v>
      </c>
      <c r="E853" s="86" t="s">
        <v>1170</v>
      </c>
      <c r="F853" s="86" t="s">
        <v>1171</v>
      </c>
      <c r="G853" s="86" t="s">
        <v>579</v>
      </c>
      <c r="H853" s="86" t="s">
        <v>2287</v>
      </c>
      <c r="I853" s="87" t="s">
        <v>2679</v>
      </c>
      <c r="J853" s="84" t="s">
        <v>554</v>
      </c>
      <c r="K853" s="84" t="s">
        <v>555</v>
      </c>
    </row>
    <row r="854" spans="1:11" ht="15.75" x14ac:dyDescent="0.3">
      <c r="A854" s="86" t="s">
        <v>2680</v>
      </c>
      <c r="B854" s="86" t="s">
        <v>2678</v>
      </c>
      <c r="C854" s="86" t="s">
        <v>293</v>
      </c>
      <c r="D854" s="86" t="s">
        <v>980</v>
      </c>
      <c r="E854" s="86" t="s">
        <v>224</v>
      </c>
      <c r="F854" s="86" t="s">
        <v>226</v>
      </c>
      <c r="G854" s="86" t="s">
        <v>652</v>
      </c>
      <c r="H854" s="86" t="s">
        <v>1033</v>
      </c>
      <c r="I854" s="87" t="s">
        <v>2679</v>
      </c>
      <c r="J854" s="84" t="s">
        <v>554</v>
      </c>
      <c r="K854" s="84" t="s">
        <v>555</v>
      </c>
    </row>
    <row r="855" spans="1:11" ht="15.75" x14ac:dyDescent="0.3">
      <c r="A855" s="86" t="s">
        <v>2681</v>
      </c>
      <c r="B855" s="86" t="s">
        <v>2682</v>
      </c>
      <c r="C855" s="86" t="s">
        <v>292</v>
      </c>
      <c r="D855" s="86" t="s">
        <v>883</v>
      </c>
      <c r="E855" s="86" t="s">
        <v>75</v>
      </c>
      <c r="F855" s="86" t="s">
        <v>77</v>
      </c>
      <c r="G855" s="86" t="s">
        <v>807</v>
      </c>
      <c r="H855" s="86" t="s">
        <v>959</v>
      </c>
      <c r="I855" s="87" t="s">
        <v>2683</v>
      </c>
      <c r="J855" s="84" t="s">
        <v>554</v>
      </c>
      <c r="K855" s="84" t="s">
        <v>555</v>
      </c>
    </row>
    <row r="856" spans="1:11" ht="15.75" x14ac:dyDescent="0.3">
      <c r="A856" s="86" t="s">
        <v>2684</v>
      </c>
      <c r="B856" s="86" t="s">
        <v>2685</v>
      </c>
      <c r="C856" s="86" t="s">
        <v>293</v>
      </c>
      <c r="D856" s="86" t="s">
        <v>621</v>
      </c>
      <c r="E856" s="86" t="s">
        <v>112</v>
      </c>
      <c r="F856" s="86" t="s">
        <v>114</v>
      </c>
      <c r="G856" s="86" t="s">
        <v>622</v>
      </c>
      <c r="H856" s="86" t="s">
        <v>1151</v>
      </c>
      <c r="I856" s="87" t="s">
        <v>2686</v>
      </c>
      <c r="J856" s="84" t="s">
        <v>554</v>
      </c>
      <c r="K856" s="84" t="s">
        <v>555</v>
      </c>
    </row>
    <row r="857" spans="1:11" ht="15.75" x14ac:dyDescent="0.3">
      <c r="A857" s="86" t="s">
        <v>2687</v>
      </c>
      <c r="B857" s="86" t="s">
        <v>2688</v>
      </c>
      <c r="C857" s="86" t="s">
        <v>292</v>
      </c>
      <c r="D857" s="86" t="s">
        <v>1189</v>
      </c>
      <c r="E857" s="86" t="s">
        <v>156</v>
      </c>
      <c r="F857" s="86" t="s">
        <v>158</v>
      </c>
      <c r="G857" s="86" t="s">
        <v>745</v>
      </c>
      <c r="H857" s="86" t="s">
        <v>2689</v>
      </c>
      <c r="I857" s="87" t="s">
        <v>2690</v>
      </c>
      <c r="J857" s="84" t="s">
        <v>554</v>
      </c>
      <c r="K857" s="84" t="s">
        <v>555</v>
      </c>
    </row>
    <row r="858" spans="1:11" ht="15.75" x14ac:dyDescent="0.3">
      <c r="A858" s="86" t="s">
        <v>2691</v>
      </c>
      <c r="B858" s="86" t="s">
        <v>2692</v>
      </c>
      <c r="C858" s="86" t="s">
        <v>294</v>
      </c>
      <c r="D858" s="86" t="s">
        <v>1322</v>
      </c>
      <c r="E858" s="86" t="s">
        <v>1323</v>
      </c>
      <c r="F858" s="86" t="s">
        <v>1324</v>
      </c>
      <c r="G858" s="86" t="s">
        <v>652</v>
      </c>
      <c r="H858" s="86" t="s">
        <v>1325</v>
      </c>
      <c r="I858" s="87" t="s">
        <v>2693</v>
      </c>
      <c r="J858" s="84" t="s">
        <v>554</v>
      </c>
      <c r="K858" s="84" t="s">
        <v>555</v>
      </c>
    </row>
    <row r="859" spans="1:11" ht="15.75" x14ac:dyDescent="0.3">
      <c r="A859" s="86" t="s">
        <v>2694</v>
      </c>
      <c r="B859" s="86" t="s">
        <v>2695</v>
      </c>
      <c r="C859" s="86" t="s">
        <v>294</v>
      </c>
      <c r="D859" s="86" t="s">
        <v>838</v>
      </c>
      <c r="E859" s="86" t="s">
        <v>839</v>
      </c>
      <c r="F859" s="86" t="s">
        <v>840</v>
      </c>
      <c r="G859" s="86" t="s">
        <v>630</v>
      </c>
      <c r="H859" s="86" t="s">
        <v>2301</v>
      </c>
      <c r="I859" s="87" t="s">
        <v>2696</v>
      </c>
      <c r="J859" s="84" t="s">
        <v>554</v>
      </c>
      <c r="K859" s="84" t="s">
        <v>555</v>
      </c>
    </row>
    <row r="860" spans="1:11" ht="15.75" x14ac:dyDescent="0.3">
      <c r="A860" s="86" t="s">
        <v>2697</v>
      </c>
      <c r="B860" s="86" t="s">
        <v>2698</v>
      </c>
      <c r="C860" s="86" t="s">
        <v>294</v>
      </c>
      <c r="D860" s="86" t="s">
        <v>791</v>
      </c>
      <c r="E860" s="86" t="s">
        <v>792</v>
      </c>
      <c r="F860" s="86" t="s">
        <v>793</v>
      </c>
      <c r="G860" s="86" t="s">
        <v>740</v>
      </c>
      <c r="H860" s="86" t="s">
        <v>829</v>
      </c>
      <c r="I860" s="87" t="s">
        <v>2699</v>
      </c>
      <c r="J860" s="84" t="s">
        <v>554</v>
      </c>
      <c r="K860" s="84" t="s">
        <v>555</v>
      </c>
    </row>
    <row r="861" spans="1:11" ht="15.75" x14ac:dyDescent="0.3">
      <c r="A861" s="86" t="s">
        <v>2700</v>
      </c>
      <c r="B861" s="86" t="s">
        <v>2701</v>
      </c>
      <c r="C861" s="86" t="s">
        <v>294</v>
      </c>
      <c r="D861" s="86" t="s">
        <v>737</v>
      </c>
      <c r="E861" s="86" t="s">
        <v>738</v>
      </c>
      <c r="F861" s="86" t="s">
        <v>739</v>
      </c>
      <c r="G861" s="86" t="s">
        <v>740</v>
      </c>
      <c r="H861" s="86" t="s">
        <v>1308</v>
      </c>
      <c r="I861" s="87" t="s">
        <v>2702</v>
      </c>
      <c r="J861" s="84" t="s">
        <v>554</v>
      </c>
      <c r="K861" s="84" t="s">
        <v>555</v>
      </c>
    </row>
    <row r="862" spans="1:11" ht="15.75" x14ac:dyDescent="0.3">
      <c r="A862" s="86" t="s">
        <v>2703</v>
      </c>
      <c r="B862" s="86" t="s">
        <v>2704</v>
      </c>
      <c r="C862" s="86" t="s">
        <v>294</v>
      </c>
      <c r="D862" s="86" t="s">
        <v>591</v>
      </c>
      <c r="E862" s="86" t="s">
        <v>592</v>
      </c>
      <c r="F862" s="86" t="s">
        <v>593</v>
      </c>
      <c r="G862" s="86" t="s">
        <v>594</v>
      </c>
      <c r="H862" s="86" t="s">
        <v>2705</v>
      </c>
      <c r="I862" s="87" t="s">
        <v>1297</v>
      </c>
      <c r="J862" s="84" t="s">
        <v>554</v>
      </c>
      <c r="K862" s="84" t="s">
        <v>555</v>
      </c>
    </row>
    <row r="863" spans="1:11" ht="15.75" x14ac:dyDescent="0.3">
      <c r="A863" s="86" t="s">
        <v>2706</v>
      </c>
      <c r="B863" s="86" t="s">
        <v>2707</v>
      </c>
      <c r="C863" s="86" t="s">
        <v>294</v>
      </c>
      <c r="D863" s="86" t="s">
        <v>791</v>
      </c>
      <c r="E863" s="86" t="s">
        <v>792</v>
      </c>
      <c r="F863" s="86" t="s">
        <v>793</v>
      </c>
      <c r="G863" s="86" t="s">
        <v>740</v>
      </c>
      <c r="H863" s="86" t="s">
        <v>829</v>
      </c>
      <c r="I863" s="87" t="s">
        <v>2298</v>
      </c>
      <c r="J863" s="84" t="s">
        <v>554</v>
      </c>
      <c r="K863" s="84" t="s">
        <v>555</v>
      </c>
    </row>
    <row r="864" spans="1:11" ht="15.75" x14ac:dyDescent="0.3">
      <c r="A864" s="86" t="s">
        <v>2708</v>
      </c>
      <c r="B864" s="86" t="s">
        <v>2709</v>
      </c>
      <c r="C864" s="86" t="s">
        <v>294</v>
      </c>
      <c r="D864" s="86" t="s">
        <v>791</v>
      </c>
      <c r="E864" s="86" t="s">
        <v>792</v>
      </c>
      <c r="F864" s="86" t="s">
        <v>793</v>
      </c>
      <c r="G864" s="86" t="s">
        <v>740</v>
      </c>
      <c r="H864" s="86" t="s">
        <v>829</v>
      </c>
      <c r="I864" s="87" t="s">
        <v>1303</v>
      </c>
      <c r="J864" s="84" t="s">
        <v>554</v>
      </c>
      <c r="K864" s="84" t="s">
        <v>555</v>
      </c>
    </row>
    <row r="865" spans="1:11" ht="15.75" x14ac:dyDescent="0.3">
      <c r="A865" s="86" t="s">
        <v>2710</v>
      </c>
      <c r="B865" s="86" t="s">
        <v>2711</v>
      </c>
      <c r="C865" s="86" t="s">
        <v>294</v>
      </c>
      <c r="D865" s="86" t="s">
        <v>791</v>
      </c>
      <c r="E865" s="86" t="s">
        <v>792</v>
      </c>
      <c r="F865" s="86" t="s">
        <v>793</v>
      </c>
      <c r="G865" s="86" t="s">
        <v>740</v>
      </c>
      <c r="H865" s="86" t="s">
        <v>829</v>
      </c>
      <c r="I865" s="87" t="s">
        <v>2712</v>
      </c>
      <c r="J865" s="84" t="s">
        <v>554</v>
      </c>
      <c r="K865" s="84" t="s">
        <v>555</v>
      </c>
    </row>
    <row r="866" spans="1:11" ht="15.75" x14ac:dyDescent="0.3">
      <c r="A866" s="86" t="s">
        <v>2713</v>
      </c>
      <c r="B866" s="86" t="s">
        <v>2714</v>
      </c>
      <c r="C866" s="86" t="s">
        <v>294</v>
      </c>
      <c r="D866" s="86" t="s">
        <v>752</v>
      </c>
      <c r="E866" s="86" t="s">
        <v>753</v>
      </c>
      <c r="F866" s="86" t="s">
        <v>217</v>
      </c>
      <c r="G866" s="86" t="s">
        <v>754</v>
      </c>
      <c r="H866" s="86" t="s">
        <v>755</v>
      </c>
      <c r="I866" s="87" t="s">
        <v>2715</v>
      </c>
      <c r="J866" s="84" t="s">
        <v>554</v>
      </c>
      <c r="K866" s="84" t="s">
        <v>555</v>
      </c>
    </row>
    <row r="867" spans="1:11" ht="15.75" x14ac:dyDescent="0.3">
      <c r="A867" s="86" t="s">
        <v>2716</v>
      </c>
      <c r="B867" s="86" t="s">
        <v>2717</v>
      </c>
      <c r="C867" s="86" t="s">
        <v>294</v>
      </c>
      <c r="D867" s="86" t="s">
        <v>791</v>
      </c>
      <c r="E867" s="86" t="s">
        <v>792</v>
      </c>
      <c r="F867" s="86" t="s">
        <v>793</v>
      </c>
      <c r="G867" s="86" t="s">
        <v>740</v>
      </c>
      <c r="H867" s="86" t="s">
        <v>829</v>
      </c>
      <c r="I867" s="87" t="s">
        <v>731</v>
      </c>
      <c r="J867" s="84" t="s">
        <v>554</v>
      </c>
      <c r="K867" s="84" t="s">
        <v>555</v>
      </c>
    </row>
    <row r="868" spans="1:11" ht="15.75" x14ac:dyDescent="0.3">
      <c r="A868" s="86" t="s">
        <v>2718</v>
      </c>
      <c r="B868" s="86" t="s">
        <v>2719</v>
      </c>
      <c r="C868" s="86" t="s">
        <v>294</v>
      </c>
      <c r="D868" s="86" t="s">
        <v>717</v>
      </c>
      <c r="E868" s="86" t="s">
        <v>718</v>
      </c>
      <c r="F868" s="86" t="s">
        <v>719</v>
      </c>
      <c r="G868" s="86" t="s">
        <v>579</v>
      </c>
      <c r="H868" s="86" t="s">
        <v>1272</v>
      </c>
      <c r="I868" s="87" t="s">
        <v>2720</v>
      </c>
      <c r="J868" s="84" t="s">
        <v>554</v>
      </c>
      <c r="K868" s="84" t="s">
        <v>555</v>
      </c>
    </row>
    <row r="869" spans="1:11" ht="15.75" x14ac:dyDescent="0.3">
      <c r="A869" s="86" t="s">
        <v>2721</v>
      </c>
      <c r="B869" s="86" t="s">
        <v>2719</v>
      </c>
      <c r="C869" s="86" t="s">
        <v>294</v>
      </c>
      <c r="D869" s="86" t="s">
        <v>1785</v>
      </c>
      <c r="E869" s="86" t="s">
        <v>1786</v>
      </c>
      <c r="F869" s="86" t="s">
        <v>1787</v>
      </c>
      <c r="G869" s="86" t="s">
        <v>754</v>
      </c>
      <c r="H869" s="86" t="s">
        <v>1788</v>
      </c>
      <c r="I869" s="87" t="s">
        <v>2720</v>
      </c>
      <c r="J869" s="84" t="s">
        <v>554</v>
      </c>
      <c r="K869" s="84" t="s">
        <v>555</v>
      </c>
    </row>
    <row r="870" spans="1:11" ht="15.75" x14ac:dyDescent="0.3">
      <c r="A870" s="86" t="s">
        <v>2722</v>
      </c>
      <c r="B870" s="86" t="s">
        <v>2723</v>
      </c>
      <c r="C870" s="86" t="s">
        <v>294</v>
      </c>
      <c r="D870" s="86" t="s">
        <v>591</v>
      </c>
      <c r="E870" s="86" t="s">
        <v>592</v>
      </c>
      <c r="F870" s="86" t="s">
        <v>593</v>
      </c>
      <c r="G870" s="86" t="s">
        <v>594</v>
      </c>
      <c r="H870" s="86" t="s">
        <v>2724</v>
      </c>
      <c r="I870" s="87" t="s">
        <v>2725</v>
      </c>
      <c r="J870" s="84" t="s">
        <v>554</v>
      </c>
      <c r="K870" s="84" t="s">
        <v>555</v>
      </c>
    </row>
    <row r="871" spans="1:11" ht="15.75" x14ac:dyDescent="0.3">
      <c r="A871" s="86" t="s">
        <v>2726</v>
      </c>
      <c r="B871" s="86" t="s">
        <v>2727</v>
      </c>
      <c r="C871" s="86" t="s">
        <v>294</v>
      </c>
      <c r="D871" s="86" t="s">
        <v>705</v>
      </c>
      <c r="E871" s="86" t="s">
        <v>706</v>
      </c>
      <c r="F871" s="86" t="s">
        <v>707</v>
      </c>
      <c r="G871" s="86" t="s">
        <v>708</v>
      </c>
      <c r="H871" s="86" t="s">
        <v>709</v>
      </c>
      <c r="I871" s="87" t="s">
        <v>2728</v>
      </c>
      <c r="J871" s="84" t="s">
        <v>554</v>
      </c>
      <c r="K871" s="84" t="s">
        <v>555</v>
      </c>
    </row>
    <row r="872" spans="1:11" ht="15.75" x14ac:dyDescent="0.3">
      <c r="A872" s="86" t="s">
        <v>2729</v>
      </c>
      <c r="B872" s="86" t="s">
        <v>2730</v>
      </c>
      <c r="C872" s="86" t="s">
        <v>294</v>
      </c>
      <c r="D872" s="86" t="s">
        <v>711</v>
      </c>
      <c r="E872" s="86" t="s">
        <v>278</v>
      </c>
      <c r="F872" s="86" t="s">
        <v>280</v>
      </c>
      <c r="G872" s="86" t="s">
        <v>708</v>
      </c>
      <c r="H872" s="86" t="s">
        <v>712</v>
      </c>
      <c r="I872" s="87" t="s">
        <v>2720</v>
      </c>
      <c r="J872" s="84" t="s">
        <v>554</v>
      </c>
      <c r="K872" s="84" t="s">
        <v>555</v>
      </c>
    </row>
    <row r="873" spans="1:11" ht="15.75" x14ac:dyDescent="0.3">
      <c r="A873" s="86" t="s">
        <v>2731</v>
      </c>
      <c r="B873" s="86" t="s">
        <v>2732</v>
      </c>
      <c r="C873" s="86" t="s">
        <v>294</v>
      </c>
      <c r="D873" s="86" t="s">
        <v>591</v>
      </c>
      <c r="E873" s="86" t="s">
        <v>592</v>
      </c>
      <c r="F873" s="86" t="s">
        <v>593</v>
      </c>
      <c r="G873" s="86" t="s">
        <v>594</v>
      </c>
      <c r="H873" s="86" t="s">
        <v>1131</v>
      </c>
      <c r="I873" s="87" t="s">
        <v>731</v>
      </c>
      <c r="J873" s="84" t="s">
        <v>554</v>
      </c>
      <c r="K873" s="84" t="s">
        <v>555</v>
      </c>
    </row>
    <row r="874" spans="1:11" ht="15.75" x14ac:dyDescent="0.3">
      <c r="A874" s="86" t="s">
        <v>2733</v>
      </c>
      <c r="B874" s="86" t="s">
        <v>2734</v>
      </c>
      <c r="C874" s="86" t="s">
        <v>294</v>
      </c>
      <c r="D874" s="86" t="s">
        <v>1336</v>
      </c>
      <c r="E874" s="86" t="s">
        <v>1337</v>
      </c>
      <c r="F874" s="86" t="s">
        <v>237</v>
      </c>
      <c r="G874" s="86" t="s">
        <v>683</v>
      </c>
      <c r="H874" s="86" t="s">
        <v>2735</v>
      </c>
      <c r="I874" s="87" t="s">
        <v>1277</v>
      </c>
      <c r="J874" s="84" t="s">
        <v>554</v>
      </c>
      <c r="K874" s="84" t="s">
        <v>555</v>
      </c>
    </row>
    <row r="875" spans="1:11" ht="15.75" x14ac:dyDescent="0.3">
      <c r="A875" s="86" t="s">
        <v>2736</v>
      </c>
      <c r="B875" s="86" t="s">
        <v>2737</v>
      </c>
      <c r="C875" s="86" t="s">
        <v>292</v>
      </c>
      <c r="D875" s="86" t="s">
        <v>587</v>
      </c>
      <c r="E875" s="86" t="s">
        <v>1661</v>
      </c>
      <c r="F875" s="86" t="s">
        <v>137</v>
      </c>
      <c r="G875" s="86" t="s">
        <v>824</v>
      </c>
      <c r="H875" s="86" t="s">
        <v>1662</v>
      </c>
      <c r="I875" s="87" t="s">
        <v>2347</v>
      </c>
      <c r="J875" s="84" t="s">
        <v>554</v>
      </c>
      <c r="K875" s="84" t="s">
        <v>555</v>
      </c>
    </row>
    <row r="876" spans="1:11" ht="15.75" x14ac:dyDescent="0.3">
      <c r="A876" s="86" t="s">
        <v>2738</v>
      </c>
      <c r="B876" s="86" t="s">
        <v>2739</v>
      </c>
      <c r="C876" s="86" t="s">
        <v>293</v>
      </c>
      <c r="D876" s="86" t="s">
        <v>1107</v>
      </c>
      <c r="E876" s="86" t="s">
        <v>1108</v>
      </c>
      <c r="F876" s="86" t="s">
        <v>1109</v>
      </c>
      <c r="G876" s="86" t="s">
        <v>750</v>
      </c>
      <c r="H876" s="86" t="s">
        <v>1110</v>
      </c>
      <c r="I876" s="87" t="s">
        <v>2740</v>
      </c>
      <c r="J876" s="84" t="s">
        <v>554</v>
      </c>
      <c r="K876" s="84" t="s">
        <v>555</v>
      </c>
    </row>
    <row r="877" spans="1:11" ht="15.75" x14ac:dyDescent="0.3">
      <c r="A877" s="86" t="s">
        <v>2741</v>
      </c>
      <c r="B877" s="86" t="s">
        <v>2742</v>
      </c>
      <c r="C877" s="86" t="s">
        <v>293</v>
      </c>
      <c r="D877" s="86" t="s">
        <v>821</v>
      </c>
      <c r="E877" s="86" t="s">
        <v>822</v>
      </c>
      <c r="F877" s="86" t="s">
        <v>823</v>
      </c>
      <c r="G877" s="86" t="s">
        <v>701</v>
      </c>
      <c r="H877" s="86" t="s">
        <v>1008</v>
      </c>
      <c r="I877" s="87" t="s">
        <v>2743</v>
      </c>
      <c r="J877" s="84" t="s">
        <v>554</v>
      </c>
      <c r="K877" s="84" t="s">
        <v>555</v>
      </c>
    </row>
    <row r="878" spans="1:11" ht="15.75" x14ac:dyDescent="0.3">
      <c r="A878" s="86" t="s">
        <v>2744</v>
      </c>
      <c r="B878" s="86" t="s">
        <v>2742</v>
      </c>
      <c r="C878" s="86" t="s">
        <v>292</v>
      </c>
      <c r="D878" s="86" t="s">
        <v>905</v>
      </c>
      <c r="E878" s="86" t="s">
        <v>139</v>
      </c>
      <c r="F878" s="86" t="s">
        <v>141</v>
      </c>
      <c r="G878" s="86" t="s">
        <v>851</v>
      </c>
      <c r="H878" s="86" t="s">
        <v>1184</v>
      </c>
      <c r="I878" s="87" t="s">
        <v>2743</v>
      </c>
      <c r="J878" s="84" t="s">
        <v>554</v>
      </c>
      <c r="K878" s="84" t="s">
        <v>555</v>
      </c>
    </row>
    <row r="879" spans="1:11" ht="15.75" x14ac:dyDescent="0.3">
      <c r="A879" s="86" t="s">
        <v>2745</v>
      </c>
      <c r="B879" s="86" t="s">
        <v>2742</v>
      </c>
      <c r="C879" s="86" t="s">
        <v>292</v>
      </c>
      <c r="D879" s="86" t="s">
        <v>695</v>
      </c>
      <c r="E879" s="86" t="s">
        <v>696</v>
      </c>
      <c r="F879" s="86" t="s">
        <v>697</v>
      </c>
      <c r="G879" s="86" t="s">
        <v>594</v>
      </c>
      <c r="H879" s="86" t="s">
        <v>1737</v>
      </c>
      <c r="I879" s="87" t="s">
        <v>2743</v>
      </c>
      <c r="J879" s="84" t="s">
        <v>554</v>
      </c>
      <c r="K879" s="84" t="s">
        <v>555</v>
      </c>
    </row>
    <row r="880" spans="1:11" ht="15.75" x14ac:dyDescent="0.3">
      <c r="A880" s="86" t="s">
        <v>2746</v>
      </c>
      <c r="B880" s="86" t="s">
        <v>2742</v>
      </c>
      <c r="C880" s="86" t="s">
        <v>293</v>
      </c>
      <c r="D880" s="86" t="s">
        <v>1192</v>
      </c>
      <c r="E880" s="86" t="s">
        <v>94</v>
      </c>
      <c r="F880" s="86" t="s">
        <v>96</v>
      </c>
      <c r="G880" s="86" t="s">
        <v>754</v>
      </c>
      <c r="H880" s="86" t="s">
        <v>1193</v>
      </c>
      <c r="I880" s="87" t="s">
        <v>2743</v>
      </c>
      <c r="J880" s="84" t="s">
        <v>554</v>
      </c>
      <c r="K880" s="84" t="s">
        <v>555</v>
      </c>
    </row>
    <row r="881" spans="1:11" ht="15.75" x14ac:dyDescent="0.3">
      <c r="A881" s="86" t="s">
        <v>2747</v>
      </c>
      <c r="B881" s="86" t="s">
        <v>2742</v>
      </c>
      <c r="C881" s="86" t="s">
        <v>293</v>
      </c>
      <c r="D881" s="86" t="s">
        <v>768</v>
      </c>
      <c r="E881" s="86" t="s">
        <v>769</v>
      </c>
      <c r="F881" s="86" t="s">
        <v>770</v>
      </c>
      <c r="G881" s="86" t="s">
        <v>990</v>
      </c>
      <c r="H881" s="86" t="s">
        <v>1769</v>
      </c>
      <c r="I881" s="87" t="s">
        <v>2743</v>
      </c>
      <c r="J881" s="84" t="s">
        <v>554</v>
      </c>
      <c r="K881" s="84" t="s">
        <v>555</v>
      </c>
    </row>
    <row r="882" spans="1:11" ht="15.75" x14ac:dyDescent="0.3">
      <c r="A882" s="86" t="s">
        <v>2748</v>
      </c>
      <c r="B882" s="86" t="s">
        <v>2749</v>
      </c>
      <c r="C882" s="86" t="s">
        <v>292</v>
      </c>
      <c r="D882" s="86" t="s">
        <v>1366</v>
      </c>
      <c r="E882" s="86" t="s">
        <v>231</v>
      </c>
      <c r="F882" s="86" t="s">
        <v>233</v>
      </c>
      <c r="G882" s="86" t="s">
        <v>1367</v>
      </c>
      <c r="H882" s="86" t="s">
        <v>1625</v>
      </c>
      <c r="I882" s="87" t="s">
        <v>2408</v>
      </c>
      <c r="J882" s="84" t="s">
        <v>554</v>
      </c>
      <c r="K882" s="84" t="s">
        <v>555</v>
      </c>
    </row>
    <row r="883" spans="1:11" ht="15.75" x14ac:dyDescent="0.3">
      <c r="A883" s="86" t="s">
        <v>2750</v>
      </c>
      <c r="B883" s="86" t="s">
        <v>2749</v>
      </c>
      <c r="C883" s="86" t="s">
        <v>292</v>
      </c>
      <c r="D883" s="86" t="s">
        <v>639</v>
      </c>
      <c r="E883" s="86" t="s">
        <v>22</v>
      </c>
      <c r="F883" s="86" t="s">
        <v>24</v>
      </c>
      <c r="G883" s="86" t="s">
        <v>701</v>
      </c>
      <c r="H883" s="86" t="s">
        <v>977</v>
      </c>
      <c r="I883" s="87" t="s">
        <v>2408</v>
      </c>
      <c r="J883" s="84" t="s">
        <v>554</v>
      </c>
      <c r="K883" s="84" t="s">
        <v>555</v>
      </c>
    </row>
    <row r="884" spans="1:11" ht="15.75" x14ac:dyDescent="0.3">
      <c r="A884" s="86" t="s">
        <v>2751</v>
      </c>
      <c r="B884" s="86" t="s">
        <v>2749</v>
      </c>
      <c r="C884" s="86" t="s">
        <v>293</v>
      </c>
      <c r="D884" s="86" t="s">
        <v>1650</v>
      </c>
      <c r="E884" s="86" t="s">
        <v>1651</v>
      </c>
      <c r="F884" s="86" t="s">
        <v>1652</v>
      </c>
      <c r="G884" s="86" t="s">
        <v>640</v>
      </c>
      <c r="H884" s="86" t="s">
        <v>1653</v>
      </c>
      <c r="I884" s="87" t="s">
        <v>2408</v>
      </c>
      <c r="J884" s="84" t="s">
        <v>554</v>
      </c>
      <c r="K884" s="84" t="s">
        <v>555</v>
      </c>
    </row>
    <row r="885" spans="1:11" ht="15.75" x14ac:dyDescent="0.3">
      <c r="A885" s="86" t="s">
        <v>2752</v>
      </c>
      <c r="B885" s="86" t="s">
        <v>2749</v>
      </c>
      <c r="C885" s="86" t="s">
        <v>292</v>
      </c>
      <c r="D885" s="86" t="s">
        <v>1146</v>
      </c>
      <c r="E885" s="86" t="s">
        <v>239</v>
      </c>
      <c r="F885" s="86" t="s">
        <v>241</v>
      </c>
      <c r="G885" s="86" t="s">
        <v>824</v>
      </c>
      <c r="H885" s="86" t="s">
        <v>1147</v>
      </c>
      <c r="I885" s="87" t="s">
        <v>2408</v>
      </c>
      <c r="J885" s="84" t="s">
        <v>554</v>
      </c>
      <c r="K885" s="84" t="s">
        <v>555</v>
      </c>
    </row>
    <row r="886" spans="1:11" ht="15.75" x14ac:dyDescent="0.3">
      <c r="A886" s="86" t="s">
        <v>2753</v>
      </c>
      <c r="B886" s="86" t="s">
        <v>2749</v>
      </c>
      <c r="C886" s="86" t="s">
        <v>292</v>
      </c>
      <c r="D886" s="86" t="s">
        <v>1656</v>
      </c>
      <c r="E886" s="86" t="s">
        <v>1657</v>
      </c>
      <c r="F886" s="86" t="s">
        <v>1658</v>
      </c>
      <c r="G886" s="86" t="s">
        <v>824</v>
      </c>
      <c r="H886" s="86" t="s">
        <v>1659</v>
      </c>
      <c r="I886" s="87" t="s">
        <v>2408</v>
      </c>
      <c r="J886" s="84" t="s">
        <v>554</v>
      </c>
      <c r="K886" s="84" t="s">
        <v>555</v>
      </c>
    </row>
    <row r="887" spans="1:11" ht="15.75" x14ac:dyDescent="0.3">
      <c r="A887" s="86" t="s">
        <v>2754</v>
      </c>
      <c r="B887" s="86" t="s">
        <v>2749</v>
      </c>
      <c r="C887" s="86" t="s">
        <v>292</v>
      </c>
      <c r="D887" s="86" t="s">
        <v>587</v>
      </c>
      <c r="E887" s="86" t="s">
        <v>1661</v>
      </c>
      <c r="F887" s="86" t="s">
        <v>137</v>
      </c>
      <c r="G887" s="86" t="s">
        <v>824</v>
      </c>
      <c r="H887" s="86" t="s">
        <v>1662</v>
      </c>
      <c r="I887" s="87" t="s">
        <v>2408</v>
      </c>
      <c r="J887" s="84" t="s">
        <v>554</v>
      </c>
      <c r="K887" s="84" t="s">
        <v>555</v>
      </c>
    </row>
    <row r="888" spans="1:11" ht="15.75" x14ac:dyDescent="0.3">
      <c r="A888" s="86" t="s">
        <v>2755</v>
      </c>
      <c r="B888" s="86" t="s">
        <v>2749</v>
      </c>
      <c r="C888" s="86" t="s">
        <v>292</v>
      </c>
      <c r="D888" s="86" t="s">
        <v>1159</v>
      </c>
      <c r="E888" s="86" t="s">
        <v>121</v>
      </c>
      <c r="F888" s="86" t="s">
        <v>123</v>
      </c>
      <c r="G888" s="86" t="s">
        <v>645</v>
      </c>
      <c r="H888" s="86" t="s">
        <v>1160</v>
      </c>
      <c r="I888" s="87" t="s">
        <v>2408</v>
      </c>
      <c r="J888" s="84" t="s">
        <v>554</v>
      </c>
      <c r="K888" s="84" t="s">
        <v>555</v>
      </c>
    </row>
    <row r="889" spans="1:11" ht="15.75" x14ac:dyDescent="0.3">
      <c r="A889" s="86" t="s">
        <v>2756</v>
      </c>
      <c r="B889" s="86" t="s">
        <v>2749</v>
      </c>
      <c r="C889" s="86" t="s">
        <v>293</v>
      </c>
      <c r="D889" s="86" t="s">
        <v>1359</v>
      </c>
      <c r="E889" s="86" t="s">
        <v>1360</v>
      </c>
      <c r="F889" s="86" t="s">
        <v>1361</v>
      </c>
      <c r="G889" s="86" t="s">
        <v>645</v>
      </c>
      <c r="H889" s="86" t="s">
        <v>1362</v>
      </c>
      <c r="I889" s="87" t="s">
        <v>2408</v>
      </c>
      <c r="J889" s="84" t="s">
        <v>554</v>
      </c>
      <c r="K889" s="84" t="s">
        <v>555</v>
      </c>
    </row>
    <row r="890" spans="1:11" ht="15.75" x14ac:dyDescent="0.3">
      <c r="A890" s="86" t="s">
        <v>2757</v>
      </c>
      <c r="B890" s="86" t="s">
        <v>2749</v>
      </c>
      <c r="C890" s="86" t="s">
        <v>293</v>
      </c>
      <c r="D890" s="86" t="s">
        <v>1162</v>
      </c>
      <c r="E890" s="86" t="s">
        <v>1163</v>
      </c>
      <c r="F890" s="86" t="s">
        <v>1164</v>
      </c>
      <c r="G890" s="86" t="s">
        <v>579</v>
      </c>
      <c r="H890" s="86" t="s">
        <v>1165</v>
      </c>
      <c r="I890" s="87" t="s">
        <v>2408</v>
      </c>
      <c r="J890" s="84" t="s">
        <v>554</v>
      </c>
      <c r="K890" s="84" t="s">
        <v>555</v>
      </c>
    </row>
    <row r="891" spans="1:11" ht="15.75" x14ac:dyDescent="0.3">
      <c r="A891" s="86" t="s">
        <v>2758</v>
      </c>
      <c r="B891" s="86" t="s">
        <v>2749</v>
      </c>
      <c r="C891" s="86" t="s">
        <v>293</v>
      </c>
      <c r="D891" s="86" t="s">
        <v>1017</v>
      </c>
      <c r="E891" s="86" t="s">
        <v>259</v>
      </c>
      <c r="F891" s="86" t="s">
        <v>261</v>
      </c>
      <c r="G891" s="86" t="s">
        <v>579</v>
      </c>
      <c r="H891" s="86" t="s">
        <v>1167</v>
      </c>
      <c r="I891" s="87" t="s">
        <v>2408</v>
      </c>
      <c r="J891" s="84" t="s">
        <v>554</v>
      </c>
      <c r="K891" s="84" t="s">
        <v>555</v>
      </c>
    </row>
    <row r="892" spans="1:11" ht="15.75" x14ac:dyDescent="0.3">
      <c r="A892" s="86" t="s">
        <v>2759</v>
      </c>
      <c r="B892" s="86" t="s">
        <v>2749</v>
      </c>
      <c r="C892" s="86" t="s">
        <v>293</v>
      </c>
      <c r="D892" s="86" t="s">
        <v>1169</v>
      </c>
      <c r="E892" s="86" t="s">
        <v>1170</v>
      </c>
      <c r="F892" s="86" t="s">
        <v>1171</v>
      </c>
      <c r="G892" s="86" t="s">
        <v>579</v>
      </c>
      <c r="H892" s="86" t="s">
        <v>1172</v>
      </c>
      <c r="I892" s="87" t="s">
        <v>2408</v>
      </c>
      <c r="J892" s="84" t="s">
        <v>554</v>
      </c>
      <c r="K892" s="84" t="s">
        <v>555</v>
      </c>
    </row>
    <row r="893" spans="1:11" ht="15.75" x14ac:dyDescent="0.3">
      <c r="A893" s="86" t="s">
        <v>2760</v>
      </c>
      <c r="B893" s="86" t="s">
        <v>2749</v>
      </c>
      <c r="C893" s="86" t="s">
        <v>293</v>
      </c>
      <c r="D893" s="86" t="s">
        <v>980</v>
      </c>
      <c r="E893" s="86" t="s">
        <v>224</v>
      </c>
      <c r="F893" s="86" t="s">
        <v>226</v>
      </c>
      <c r="G893" s="86" t="s">
        <v>652</v>
      </c>
      <c r="H893" s="86" t="s">
        <v>2106</v>
      </c>
      <c r="I893" s="87" t="s">
        <v>2408</v>
      </c>
      <c r="J893" s="84" t="s">
        <v>554</v>
      </c>
      <c r="K893" s="84" t="s">
        <v>555</v>
      </c>
    </row>
    <row r="894" spans="1:11" ht="15.75" x14ac:dyDescent="0.3">
      <c r="A894" s="86" t="s">
        <v>2761</v>
      </c>
      <c r="B894" s="86" t="s">
        <v>2749</v>
      </c>
      <c r="C894" s="86" t="s">
        <v>293</v>
      </c>
      <c r="D894" s="86" t="s">
        <v>1021</v>
      </c>
      <c r="E894" s="86" t="s">
        <v>263</v>
      </c>
      <c r="F894" s="86" t="s">
        <v>265</v>
      </c>
      <c r="G894" s="86" t="s">
        <v>584</v>
      </c>
      <c r="H894" s="86" t="s">
        <v>1179</v>
      </c>
      <c r="I894" s="87" t="s">
        <v>2408</v>
      </c>
      <c r="J894" s="84" t="s">
        <v>554</v>
      </c>
      <c r="K894" s="84" t="s">
        <v>555</v>
      </c>
    </row>
    <row r="895" spans="1:11" ht="15.75" x14ac:dyDescent="0.3">
      <c r="A895" s="86" t="s">
        <v>2762</v>
      </c>
      <c r="B895" s="86" t="s">
        <v>2749</v>
      </c>
      <c r="C895" s="86" t="s">
        <v>292</v>
      </c>
      <c r="D895" s="86" t="s">
        <v>869</v>
      </c>
      <c r="E895" s="86" t="s">
        <v>57</v>
      </c>
      <c r="F895" s="86" t="s">
        <v>59</v>
      </c>
      <c r="G895" s="86" t="s">
        <v>584</v>
      </c>
      <c r="H895" s="86" t="s">
        <v>1705</v>
      </c>
      <c r="I895" s="87" t="s">
        <v>2408</v>
      </c>
      <c r="J895" s="84" t="s">
        <v>554</v>
      </c>
      <c r="K895" s="84" t="s">
        <v>555</v>
      </c>
    </row>
    <row r="896" spans="1:11" ht="15.75" x14ac:dyDescent="0.3">
      <c r="A896" s="86" t="s">
        <v>2763</v>
      </c>
      <c r="B896" s="86" t="s">
        <v>2749</v>
      </c>
      <c r="C896" s="86" t="s">
        <v>292</v>
      </c>
      <c r="D896" s="86" t="s">
        <v>583</v>
      </c>
      <c r="E896" s="86" t="s">
        <v>53</v>
      </c>
      <c r="F896" s="86" t="s">
        <v>55</v>
      </c>
      <c r="G896" s="86" t="s">
        <v>661</v>
      </c>
      <c r="H896" s="86" t="s">
        <v>670</v>
      </c>
      <c r="I896" s="87" t="s">
        <v>2408</v>
      </c>
      <c r="J896" s="84" t="s">
        <v>554</v>
      </c>
      <c r="K896" s="84" t="s">
        <v>555</v>
      </c>
    </row>
    <row r="897" spans="1:11" ht="15.75" x14ac:dyDescent="0.3">
      <c r="A897" s="86" t="s">
        <v>2764</v>
      </c>
      <c r="B897" s="86" t="s">
        <v>2749</v>
      </c>
      <c r="C897" s="86" t="s">
        <v>292</v>
      </c>
      <c r="D897" s="86" t="s">
        <v>947</v>
      </c>
      <c r="E897" s="86" t="s">
        <v>131</v>
      </c>
      <c r="F897" s="86" t="s">
        <v>133</v>
      </c>
      <c r="G897" s="86" t="s">
        <v>740</v>
      </c>
      <c r="H897" s="86" t="s">
        <v>1710</v>
      </c>
      <c r="I897" s="87" t="s">
        <v>2408</v>
      </c>
      <c r="J897" s="84" t="s">
        <v>554</v>
      </c>
      <c r="K897" s="84" t="s">
        <v>555</v>
      </c>
    </row>
    <row r="898" spans="1:11" ht="15.75" x14ac:dyDescent="0.3">
      <c r="A898" s="86" t="s">
        <v>2765</v>
      </c>
      <c r="B898" s="86" t="s">
        <v>2749</v>
      </c>
      <c r="C898" s="86" t="s">
        <v>292</v>
      </c>
      <c r="D898" s="86" t="s">
        <v>1729</v>
      </c>
      <c r="E898" s="86" t="s">
        <v>144</v>
      </c>
      <c r="F898" s="86" t="s">
        <v>146</v>
      </c>
      <c r="G898" s="86" t="s">
        <v>588</v>
      </c>
      <c r="H898" s="86" t="s">
        <v>1730</v>
      </c>
      <c r="I898" s="87" t="s">
        <v>2408</v>
      </c>
      <c r="J898" s="84" t="s">
        <v>554</v>
      </c>
      <c r="K898" s="84" t="s">
        <v>555</v>
      </c>
    </row>
    <row r="899" spans="1:11" ht="15.75" x14ac:dyDescent="0.3">
      <c r="A899" s="86" t="s">
        <v>2766</v>
      </c>
      <c r="B899" s="86" t="s">
        <v>2749</v>
      </c>
      <c r="C899" s="86" t="s">
        <v>293</v>
      </c>
      <c r="D899" s="86" t="s">
        <v>1732</v>
      </c>
      <c r="E899" s="86" t="s">
        <v>1733</v>
      </c>
      <c r="F899" s="86" t="s">
        <v>1734</v>
      </c>
      <c r="G899" s="86" t="s">
        <v>594</v>
      </c>
      <c r="H899" s="86" t="s">
        <v>1735</v>
      </c>
      <c r="I899" s="87" t="s">
        <v>2408</v>
      </c>
      <c r="J899" s="84" t="s">
        <v>554</v>
      </c>
      <c r="K899" s="84" t="s">
        <v>555</v>
      </c>
    </row>
    <row r="900" spans="1:11" ht="15.75" x14ac:dyDescent="0.3">
      <c r="A900" s="86" t="s">
        <v>2767</v>
      </c>
      <c r="B900" s="86" t="s">
        <v>2749</v>
      </c>
      <c r="C900" s="86" t="s">
        <v>293</v>
      </c>
      <c r="D900" s="86" t="s">
        <v>1739</v>
      </c>
      <c r="E900" s="86" t="s">
        <v>148</v>
      </c>
      <c r="F900" s="86" t="s">
        <v>150</v>
      </c>
      <c r="G900" s="86" t="s">
        <v>594</v>
      </c>
      <c r="H900" s="86" t="s">
        <v>1740</v>
      </c>
      <c r="I900" s="87" t="s">
        <v>2408</v>
      </c>
      <c r="J900" s="84" t="s">
        <v>554</v>
      </c>
      <c r="K900" s="84" t="s">
        <v>555</v>
      </c>
    </row>
    <row r="901" spans="1:11" ht="15.75" x14ac:dyDescent="0.3">
      <c r="A901" s="86" t="s">
        <v>2768</v>
      </c>
      <c r="B901" s="86" t="s">
        <v>2749</v>
      </c>
      <c r="C901" s="86" t="s">
        <v>292</v>
      </c>
      <c r="D901" s="86" t="s">
        <v>687</v>
      </c>
      <c r="E901" s="86" t="s">
        <v>152</v>
      </c>
      <c r="F901" s="86" t="s">
        <v>154</v>
      </c>
      <c r="G901" s="86" t="s">
        <v>594</v>
      </c>
      <c r="H901" s="86" t="s">
        <v>2121</v>
      </c>
      <c r="I901" s="87" t="s">
        <v>2408</v>
      </c>
      <c r="J901" s="84" t="s">
        <v>554</v>
      </c>
      <c r="K901" s="84" t="s">
        <v>555</v>
      </c>
    </row>
    <row r="902" spans="1:11" ht="15.75" x14ac:dyDescent="0.3">
      <c r="A902" s="86" t="s">
        <v>2769</v>
      </c>
      <c r="B902" s="86" t="s">
        <v>2749</v>
      </c>
      <c r="C902" s="86" t="s">
        <v>293</v>
      </c>
      <c r="D902" s="86" t="s">
        <v>1385</v>
      </c>
      <c r="E902" s="86" t="s">
        <v>89</v>
      </c>
      <c r="F902" s="86" t="s">
        <v>91</v>
      </c>
      <c r="G902" s="86" t="s">
        <v>667</v>
      </c>
      <c r="H902" s="86" t="s">
        <v>1386</v>
      </c>
      <c r="I902" s="87" t="s">
        <v>2408</v>
      </c>
      <c r="J902" s="84" t="s">
        <v>554</v>
      </c>
      <c r="K902" s="84" t="s">
        <v>555</v>
      </c>
    </row>
    <row r="903" spans="1:11" ht="15.75" x14ac:dyDescent="0.3">
      <c r="A903" s="86" t="s">
        <v>2770</v>
      </c>
      <c r="B903" s="86" t="s">
        <v>2749</v>
      </c>
      <c r="C903" s="86" t="s">
        <v>292</v>
      </c>
      <c r="D903" s="86" t="s">
        <v>1011</v>
      </c>
      <c r="E903" s="86" t="s">
        <v>1012</v>
      </c>
      <c r="F903" s="86" t="s">
        <v>1013</v>
      </c>
      <c r="G903" s="86" t="s">
        <v>745</v>
      </c>
      <c r="H903" s="86" t="s">
        <v>1014</v>
      </c>
      <c r="I903" s="87" t="s">
        <v>2408</v>
      </c>
      <c r="J903" s="84" t="s">
        <v>554</v>
      </c>
      <c r="K903" s="84" t="s">
        <v>555</v>
      </c>
    </row>
    <row r="904" spans="1:11" ht="15.75" x14ac:dyDescent="0.3">
      <c r="A904" s="86" t="s">
        <v>2771</v>
      </c>
      <c r="B904" s="86" t="s">
        <v>2749</v>
      </c>
      <c r="C904" s="86" t="s">
        <v>293</v>
      </c>
      <c r="D904" s="86" t="s">
        <v>951</v>
      </c>
      <c r="E904" s="86" t="s">
        <v>267</v>
      </c>
      <c r="F904" s="86" t="s">
        <v>269</v>
      </c>
      <c r="G904" s="86" t="s">
        <v>745</v>
      </c>
      <c r="H904" s="86" t="s">
        <v>952</v>
      </c>
      <c r="I904" s="87" t="s">
        <v>2408</v>
      </c>
      <c r="J904" s="84" t="s">
        <v>554</v>
      </c>
      <c r="K904" s="84" t="s">
        <v>555</v>
      </c>
    </row>
    <row r="905" spans="1:11" ht="15.75" x14ac:dyDescent="0.3">
      <c r="A905" s="86" t="s">
        <v>2772</v>
      </c>
      <c r="B905" s="86" t="s">
        <v>2749</v>
      </c>
      <c r="C905" s="86" t="s">
        <v>292</v>
      </c>
      <c r="D905" s="86" t="s">
        <v>1189</v>
      </c>
      <c r="E905" s="86" t="s">
        <v>156</v>
      </c>
      <c r="F905" s="86" t="s">
        <v>158</v>
      </c>
      <c r="G905" s="86" t="s">
        <v>745</v>
      </c>
      <c r="H905" s="86" t="s">
        <v>1190</v>
      </c>
      <c r="I905" s="87" t="s">
        <v>995</v>
      </c>
      <c r="J905" s="84" t="s">
        <v>554</v>
      </c>
      <c r="K905" s="84" t="s">
        <v>555</v>
      </c>
    </row>
    <row r="906" spans="1:11" ht="15.75" x14ac:dyDescent="0.3">
      <c r="A906" s="86" t="s">
        <v>2773</v>
      </c>
      <c r="B906" s="86" t="s">
        <v>2749</v>
      </c>
      <c r="C906" s="86" t="s">
        <v>292</v>
      </c>
      <c r="D906" s="86" t="s">
        <v>940</v>
      </c>
      <c r="E906" s="86" t="s">
        <v>161</v>
      </c>
      <c r="F906" s="86" t="s">
        <v>163</v>
      </c>
      <c r="G906" s="86" t="s">
        <v>675</v>
      </c>
      <c r="H906" s="86" t="s">
        <v>941</v>
      </c>
      <c r="I906" s="87" t="s">
        <v>2408</v>
      </c>
      <c r="J906" s="84" t="s">
        <v>554</v>
      </c>
      <c r="K906" s="84" t="s">
        <v>555</v>
      </c>
    </row>
    <row r="907" spans="1:11" ht="15.75" x14ac:dyDescent="0.3">
      <c r="A907" s="86" t="s">
        <v>2774</v>
      </c>
      <c r="B907" s="86" t="s">
        <v>2749</v>
      </c>
      <c r="C907" s="86" t="s">
        <v>293</v>
      </c>
      <c r="D907" s="86" t="s">
        <v>1195</v>
      </c>
      <c r="E907" s="86" t="s">
        <v>272</v>
      </c>
      <c r="F907" s="86" t="s">
        <v>274</v>
      </c>
      <c r="G907" s="86" t="s">
        <v>675</v>
      </c>
      <c r="H907" s="86" t="s">
        <v>1196</v>
      </c>
      <c r="I907" s="87" t="s">
        <v>2408</v>
      </c>
      <c r="J907" s="84" t="s">
        <v>554</v>
      </c>
      <c r="K907" s="84" t="s">
        <v>555</v>
      </c>
    </row>
    <row r="908" spans="1:11" ht="15.75" x14ac:dyDescent="0.3">
      <c r="A908" s="86" t="s">
        <v>2775</v>
      </c>
      <c r="B908" s="86" t="s">
        <v>2749</v>
      </c>
      <c r="C908" s="86" t="s">
        <v>292</v>
      </c>
      <c r="D908" s="86" t="s">
        <v>1040</v>
      </c>
      <c r="E908" s="86" t="s">
        <v>248</v>
      </c>
      <c r="F908" s="86" t="s">
        <v>250</v>
      </c>
      <c r="G908" s="86" t="s">
        <v>807</v>
      </c>
      <c r="H908" s="86" t="s">
        <v>1763</v>
      </c>
      <c r="I908" s="87" t="s">
        <v>2408</v>
      </c>
      <c r="J908" s="84" t="s">
        <v>554</v>
      </c>
      <c r="K908" s="84" t="s">
        <v>555</v>
      </c>
    </row>
    <row r="909" spans="1:11" ht="15.75" x14ac:dyDescent="0.3">
      <c r="A909" s="86" t="s">
        <v>2776</v>
      </c>
      <c r="B909" s="86" t="s">
        <v>2749</v>
      </c>
      <c r="C909" s="86" t="s">
        <v>292</v>
      </c>
      <c r="D909" s="86" t="s">
        <v>880</v>
      </c>
      <c r="E909" s="86" t="s">
        <v>71</v>
      </c>
      <c r="F909" s="86" t="s">
        <v>73</v>
      </c>
      <c r="G909" s="86" t="s">
        <v>807</v>
      </c>
      <c r="H909" s="86" t="s">
        <v>1198</v>
      </c>
      <c r="I909" s="87" t="s">
        <v>2408</v>
      </c>
      <c r="J909" s="84" t="s">
        <v>554</v>
      </c>
      <c r="K909" s="84" t="s">
        <v>555</v>
      </c>
    </row>
    <row r="910" spans="1:11" ht="15.75" x14ac:dyDescent="0.3">
      <c r="A910" s="86" t="s">
        <v>2777</v>
      </c>
      <c r="B910" s="86" t="s">
        <v>2749</v>
      </c>
      <c r="C910" s="86" t="s">
        <v>293</v>
      </c>
      <c r="D910" s="86" t="s">
        <v>985</v>
      </c>
      <c r="E910" s="86" t="s">
        <v>106</v>
      </c>
      <c r="F910" s="86" t="s">
        <v>108</v>
      </c>
      <c r="G910" s="86" t="s">
        <v>807</v>
      </c>
      <c r="H910" s="86" t="s">
        <v>986</v>
      </c>
      <c r="I910" s="87" t="s">
        <v>2408</v>
      </c>
      <c r="J910" s="84" t="s">
        <v>554</v>
      </c>
      <c r="K910" s="84" t="s">
        <v>555</v>
      </c>
    </row>
    <row r="911" spans="1:11" ht="15.75" x14ac:dyDescent="0.3">
      <c r="A911" s="86" t="s">
        <v>2778</v>
      </c>
      <c r="B911" s="86" t="s">
        <v>2749</v>
      </c>
      <c r="C911" s="86" t="s">
        <v>293</v>
      </c>
      <c r="D911" s="86" t="s">
        <v>1388</v>
      </c>
      <c r="E911" s="86" t="s">
        <v>101</v>
      </c>
      <c r="F911" s="86" t="s">
        <v>103</v>
      </c>
      <c r="G911" s="86" t="s">
        <v>807</v>
      </c>
      <c r="H911" s="86" t="s">
        <v>1766</v>
      </c>
      <c r="I911" s="87" t="s">
        <v>2408</v>
      </c>
      <c r="J911" s="84" t="s">
        <v>554</v>
      </c>
      <c r="K911" s="84" t="s">
        <v>555</v>
      </c>
    </row>
    <row r="912" spans="1:11" ht="15.75" x14ac:dyDescent="0.3">
      <c r="A912" s="86" t="s">
        <v>2779</v>
      </c>
      <c r="B912" s="86" t="s">
        <v>2749</v>
      </c>
      <c r="C912" s="86" t="s">
        <v>292</v>
      </c>
      <c r="D912" s="86" t="s">
        <v>883</v>
      </c>
      <c r="E912" s="86" t="s">
        <v>75</v>
      </c>
      <c r="F912" s="86" t="s">
        <v>77</v>
      </c>
      <c r="G912" s="86" t="s">
        <v>807</v>
      </c>
      <c r="H912" s="86" t="s">
        <v>959</v>
      </c>
      <c r="I912" s="87" t="s">
        <v>2408</v>
      </c>
      <c r="J912" s="84" t="s">
        <v>554</v>
      </c>
      <c r="K912" s="84" t="s">
        <v>555</v>
      </c>
    </row>
    <row r="913" spans="1:11" ht="15.75" x14ac:dyDescent="0.3">
      <c r="A913" s="86" t="s">
        <v>2780</v>
      </c>
      <c r="B913" s="86" t="s">
        <v>2749</v>
      </c>
      <c r="C913" s="86" t="s">
        <v>293</v>
      </c>
      <c r="D913" s="86" t="s">
        <v>2018</v>
      </c>
      <c r="E913" s="86" t="s">
        <v>2019</v>
      </c>
      <c r="F913" s="86" t="s">
        <v>2020</v>
      </c>
      <c r="G913" s="86" t="s">
        <v>990</v>
      </c>
      <c r="H913" s="86" t="s">
        <v>2021</v>
      </c>
      <c r="I913" s="87" t="s">
        <v>2408</v>
      </c>
      <c r="J913" s="84" t="s">
        <v>554</v>
      </c>
      <c r="K913" s="84" t="s">
        <v>555</v>
      </c>
    </row>
    <row r="914" spans="1:11" ht="15.75" x14ac:dyDescent="0.3">
      <c r="A914" s="86" t="s">
        <v>2781</v>
      </c>
      <c r="B914" s="86" t="s">
        <v>2749</v>
      </c>
      <c r="C914" s="86" t="s">
        <v>292</v>
      </c>
      <c r="D914" s="86" t="s">
        <v>989</v>
      </c>
      <c r="E914" s="86" t="s">
        <v>252</v>
      </c>
      <c r="F914" s="86" t="s">
        <v>254</v>
      </c>
      <c r="G914" s="86" t="s">
        <v>990</v>
      </c>
      <c r="H914" s="86" t="s">
        <v>991</v>
      </c>
      <c r="I914" s="87" t="s">
        <v>2408</v>
      </c>
      <c r="J914" s="84" t="s">
        <v>554</v>
      </c>
      <c r="K914" s="84" t="s">
        <v>555</v>
      </c>
    </row>
    <row r="915" spans="1:11" ht="15.75" x14ac:dyDescent="0.3">
      <c r="A915" s="86" t="s">
        <v>2782</v>
      </c>
      <c r="B915" s="86" t="s">
        <v>2783</v>
      </c>
      <c r="C915" s="86" t="s">
        <v>293</v>
      </c>
      <c r="D915" s="86" t="s">
        <v>1608</v>
      </c>
      <c r="E915" s="86" t="s">
        <v>1664</v>
      </c>
      <c r="F915" s="86" t="s">
        <v>1610</v>
      </c>
      <c r="G915" s="86" t="s">
        <v>708</v>
      </c>
      <c r="H915" s="86" t="s">
        <v>1665</v>
      </c>
      <c r="I915" s="87" t="s">
        <v>2784</v>
      </c>
      <c r="J915" s="84" t="s">
        <v>554</v>
      </c>
      <c r="K915" s="84" t="s">
        <v>555</v>
      </c>
    </row>
    <row r="916" spans="1:11" ht="15.75" x14ac:dyDescent="0.3">
      <c r="A916" s="86" t="s">
        <v>2785</v>
      </c>
      <c r="B916" s="86" t="s">
        <v>2783</v>
      </c>
      <c r="C916" s="86" t="s">
        <v>292</v>
      </c>
      <c r="D916" s="86" t="s">
        <v>970</v>
      </c>
      <c r="E916" s="86" t="s">
        <v>971</v>
      </c>
      <c r="F916" s="86" t="s">
        <v>972</v>
      </c>
      <c r="G916" s="86" t="s">
        <v>708</v>
      </c>
      <c r="H916" s="86" t="s">
        <v>1149</v>
      </c>
      <c r="I916" s="87" t="s">
        <v>2784</v>
      </c>
      <c r="J916" s="84" t="s">
        <v>554</v>
      </c>
      <c r="K916" s="84" t="s">
        <v>555</v>
      </c>
    </row>
    <row r="917" spans="1:11" ht="15.75" x14ac:dyDescent="0.3">
      <c r="A917" s="86" t="s">
        <v>2786</v>
      </c>
      <c r="B917" s="86" t="s">
        <v>2783</v>
      </c>
      <c r="C917" s="86" t="s">
        <v>293</v>
      </c>
      <c r="D917" s="86" t="s">
        <v>955</v>
      </c>
      <c r="E917" s="86" t="s">
        <v>38</v>
      </c>
      <c r="F917" s="86" t="s">
        <v>40</v>
      </c>
      <c r="G917" s="86" t="s">
        <v>622</v>
      </c>
      <c r="H917" s="86" t="s">
        <v>956</v>
      </c>
      <c r="I917" s="87" t="s">
        <v>2784</v>
      </c>
      <c r="J917" s="84" t="s">
        <v>554</v>
      </c>
      <c r="K917" s="84" t="s">
        <v>555</v>
      </c>
    </row>
    <row r="918" spans="1:11" ht="15.75" x14ac:dyDescent="0.3">
      <c r="A918" s="86" t="s">
        <v>2787</v>
      </c>
      <c r="B918" s="86" t="s">
        <v>2783</v>
      </c>
      <c r="C918" s="86" t="s">
        <v>293</v>
      </c>
      <c r="D918" s="86" t="s">
        <v>621</v>
      </c>
      <c r="E918" s="86" t="s">
        <v>112</v>
      </c>
      <c r="F918" s="86" t="s">
        <v>114</v>
      </c>
      <c r="G918" s="86" t="s">
        <v>622</v>
      </c>
      <c r="H918" s="86" t="s">
        <v>1151</v>
      </c>
      <c r="I918" s="87" t="s">
        <v>2784</v>
      </c>
      <c r="J918" s="84" t="s">
        <v>554</v>
      </c>
      <c r="K918" s="84" t="s">
        <v>555</v>
      </c>
    </row>
    <row r="919" spans="1:11" ht="15.75" x14ac:dyDescent="0.3">
      <c r="A919" s="86" t="s">
        <v>2788</v>
      </c>
      <c r="B919" s="86" t="s">
        <v>2783</v>
      </c>
      <c r="C919" s="86" t="s">
        <v>293</v>
      </c>
      <c r="D919" s="86" t="s">
        <v>1153</v>
      </c>
      <c r="E919" s="86" t="s">
        <v>207</v>
      </c>
      <c r="F919" s="86" t="s">
        <v>209</v>
      </c>
      <c r="G919" s="86" t="s">
        <v>683</v>
      </c>
      <c r="H919" s="86" t="s">
        <v>1154</v>
      </c>
      <c r="I919" s="87" t="s">
        <v>2784</v>
      </c>
      <c r="J919" s="84" t="s">
        <v>554</v>
      </c>
      <c r="K919" s="84" t="s">
        <v>555</v>
      </c>
    </row>
    <row r="920" spans="1:11" ht="15.75" x14ac:dyDescent="0.3">
      <c r="A920" s="86" t="s">
        <v>2789</v>
      </c>
      <c r="B920" s="86" t="s">
        <v>2783</v>
      </c>
      <c r="C920" s="86" t="s">
        <v>293</v>
      </c>
      <c r="D920" s="86" t="s">
        <v>1156</v>
      </c>
      <c r="E920" s="86" t="s">
        <v>117</v>
      </c>
      <c r="F920" s="86" t="s">
        <v>119</v>
      </c>
      <c r="G920" s="86" t="s">
        <v>683</v>
      </c>
      <c r="H920" s="86" t="s">
        <v>1157</v>
      </c>
      <c r="I920" s="87" t="s">
        <v>2784</v>
      </c>
      <c r="J920" s="84" t="s">
        <v>554</v>
      </c>
      <c r="K920" s="84" t="s">
        <v>555</v>
      </c>
    </row>
    <row r="921" spans="1:11" ht="15.75" x14ac:dyDescent="0.3">
      <c r="A921" s="86" t="s">
        <v>2790</v>
      </c>
      <c r="B921" s="86" t="s">
        <v>2783</v>
      </c>
      <c r="C921" s="86" t="s">
        <v>293</v>
      </c>
      <c r="D921" s="86" t="s">
        <v>1678</v>
      </c>
      <c r="E921" s="86" t="s">
        <v>1679</v>
      </c>
      <c r="F921" s="86" t="s">
        <v>1680</v>
      </c>
      <c r="G921" s="86" t="s">
        <v>965</v>
      </c>
      <c r="H921" s="86" t="s">
        <v>1681</v>
      </c>
      <c r="I921" s="87" t="s">
        <v>2784</v>
      </c>
      <c r="J921" s="84" t="s">
        <v>554</v>
      </c>
      <c r="K921" s="84" t="s">
        <v>555</v>
      </c>
    </row>
    <row r="922" spans="1:11" ht="15.75" x14ac:dyDescent="0.3">
      <c r="A922" s="86" t="s">
        <v>2791</v>
      </c>
      <c r="B922" s="86" t="s">
        <v>2783</v>
      </c>
      <c r="C922" s="86" t="s">
        <v>293</v>
      </c>
      <c r="D922" s="86" t="s">
        <v>962</v>
      </c>
      <c r="E922" s="86" t="s">
        <v>963</v>
      </c>
      <c r="F922" s="86" t="s">
        <v>964</v>
      </c>
      <c r="G922" s="86" t="s">
        <v>965</v>
      </c>
      <c r="H922" s="86" t="s">
        <v>966</v>
      </c>
      <c r="I922" s="87" t="s">
        <v>2784</v>
      </c>
      <c r="J922" s="84" t="s">
        <v>554</v>
      </c>
      <c r="K922" s="84" t="s">
        <v>555</v>
      </c>
    </row>
    <row r="923" spans="1:11" ht="15.75" x14ac:dyDescent="0.3">
      <c r="A923" s="86" t="s">
        <v>2792</v>
      </c>
      <c r="B923" s="86" t="s">
        <v>2783</v>
      </c>
      <c r="C923" s="86" t="s">
        <v>293</v>
      </c>
      <c r="D923" s="86" t="s">
        <v>924</v>
      </c>
      <c r="E923" s="86" t="s">
        <v>126</v>
      </c>
      <c r="F923" s="86" t="s">
        <v>128</v>
      </c>
      <c r="G923" s="86" t="s">
        <v>579</v>
      </c>
      <c r="H923" s="86" t="s">
        <v>1696</v>
      </c>
      <c r="I923" s="87" t="s">
        <v>2784</v>
      </c>
      <c r="J923" s="84" t="s">
        <v>554</v>
      </c>
      <c r="K923" s="84" t="s">
        <v>555</v>
      </c>
    </row>
    <row r="924" spans="1:11" ht="15.75" x14ac:dyDescent="0.3">
      <c r="A924" s="86" t="s">
        <v>2793</v>
      </c>
      <c r="B924" s="86" t="s">
        <v>2783</v>
      </c>
      <c r="C924" s="86" t="s">
        <v>293</v>
      </c>
      <c r="D924" s="86" t="s">
        <v>1717</v>
      </c>
      <c r="E924" s="86" t="s">
        <v>67</v>
      </c>
      <c r="F924" s="86" t="s">
        <v>69</v>
      </c>
      <c r="G924" s="86" t="s">
        <v>691</v>
      </c>
      <c r="H924" s="86" t="s">
        <v>1718</v>
      </c>
      <c r="I924" s="87" t="s">
        <v>2784</v>
      </c>
      <c r="J924" s="84" t="s">
        <v>554</v>
      </c>
      <c r="K924" s="84" t="s">
        <v>555</v>
      </c>
    </row>
    <row r="925" spans="1:11" ht="15.75" x14ac:dyDescent="0.3">
      <c r="A925" s="86" t="s">
        <v>2794</v>
      </c>
      <c r="B925" s="86" t="s">
        <v>2783</v>
      </c>
      <c r="C925" s="86" t="s">
        <v>293</v>
      </c>
      <c r="D925" s="86" t="s">
        <v>838</v>
      </c>
      <c r="E925" s="86" t="s">
        <v>1382</v>
      </c>
      <c r="F925" s="86" t="s">
        <v>840</v>
      </c>
      <c r="G925" s="86" t="s">
        <v>851</v>
      </c>
      <c r="H925" s="86" t="s">
        <v>1725</v>
      </c>
      <c r="I925" s="87" t="s">
        <v>2784</v>
      </c>
      <c r="J925" s="84" t="s">
        <v>554</v>
      </c>
      <c r="K925" s="84" t="s">
        <v>555</v>
      </c>
    </row>
    <row r="926" spans="1:11" ht="15.75" x14ac:dyDescent="0.3">
      <c r="A926" s="86" t="s">
        <v>2795</v>
      </c>
      <c r="B926" s="86" t="s">
        <v>2783</v>
      </c>
      <c r="C926" s="86" t="s">
        <v>293</v>
      </c>
      <c r="D926" s="86" t="s">
        <v>834</v>
      </c>
      <c r="E926" s="86" t="s">
        <v>929</v>
      </c>
      <c r="F926" s="86" t="s">
        <v>187</v>
      </c>
      <c r="G926" s="86" t="s">
        <v>588</v>
      </c>
      <c r="H926" s="86" t="s">
        <v>930</v>
      </c>
      <c r="I926" s="87" t="s">
        <v>2784</v>
      </c>
      <c r="J926" s="84" t="s">
        <v>554</v>
      </c>
      <c r="K926" s="84" t="s">
        <v>555</v>
      </c>
    </row>
    <row r="927" spans="1:11" ht="15.75" x14ac:dyDescent="0.3">
      <c r="A927" s="86" t="s">
        <v>2796</v>
      </c>
      <c r="B927" s="86" t="s">
        <v>2797</v>
      </c>
      <c r="C927" s="86" t="s">
        <v>293</v>
      </c>
      <c r="D927" s="86" t="s">
        <v>621</v>
      </c>
      <c r="E927" s="86" t="s">
        <v>112</v>
      </c>
      <c r="F927" s="86" t="s">
        <v>114</v>
      </c>
      <c r="G927" s="86" t="s">
        <v>622</v>
      </c>
      <c r="H927" s="86" t="s">
        <v>1151</v>
      </c>
      <c r="I927" s="87" t="s">
        <v>2798</v>
      </c>
      <c r="J927" s="84" t="s">
        <v>554</v>
      </c>
      <c r="K927" s="84" t="s">
        <v>555</v>
      </c>
    </row>
    <row r="928" spans="1:11" ht="15.75" x14ac:dyDescent="0.3">
      <c r="A928" s="86" t="s">
        <v>2799</v>
      </c>
      <c r="B928" s="86" t="s">
        <v>2797</v>
      </c>
      <c r="C928" s="86" t="s">
        <v>292</v>
      </c>
      <c r="D928" s="86" t="s">
        <v>1011</v>
      </c>
      <c r="E928" s="86" t="s">
        <v>1012</v>
      </c>
      <c r="F928" s="86" t="s">
        <v>1013</v>
      </c>
      <c r="G928" s="86" t="s">
        <v>745</v>
      </c>
      <c r="H928" s="86" t="s">
        <v>1014</v>
      </c>
      <c r="I928" s="87" t="s">
        <v>2798</v>
      </c>
      <c r="J928" s="84" t="s">
        <v>554</v>
      </c>
      <c r="K928" s="84" t="s">
        <v>555</v>
      </c>
    </row>
    <row r="929" spans="1:11" ht="15.75" x14ac:dyDescent="0.3">
      <c r="A929" s="86" t="s">
        <v>2800</v>
      </c>
      <c r="B929" s="86" t="s">
        <v>2797</v>
      </c>
      <c r="C929" s="86" t="s">
        <v>292</v>
      </c>
      <c r="D929" s="86" t="s">
        <v>880</v>
      </c>
      <c r="E929" s="86" t="s">
        <v>71</v>
      </c>
      <c r="F929" s="86" t="s">
        <v>73</v>
      </c>
      <c r="G929" s="86" t="s">
        <v>807</v>
      </c>
      <c r="H929" s="86" t="s">
        <v>1198</v>
      </c>
      <c r="I929" s="87" t="s">
        <v>2798</v>
      </c>
      <c r="J929" s="84" t="s">
        <v>554</v>
      </c>
      <c r="K929" s="84" t="s">
        <v>555</v>
      </c>
    </row>
    <row r="930" spans="1:11" ht="15.75" x14ac:dyDescent="0.3">
      <c r="A930" s="86" t="s">
        <v>2801</v>
      </c>
      <c r="B930" s="86" t="s">
        <v>2802</v>
      </c>
      <c r="C930" s="86" t="s">
        <v>293</v>
      </c>
      <c r="D930" s="86" t="s">
        <v>1678</v>
      </c>
      <c r="E930" s="86" t="s">
        <v>1679</v>
      </c>
      <c r="F930" s="86" t="s">
        <v>1680</v>
      </c>
      <c r="G930" s="86" t="s">
        <v>965</v>
      </c>
      <c r="H930" s="86" t="s">
        <v>1681</v>
      </c>
      <c r="I930" s="87" t="s">
        <v>949</v>
      </c>
      <c r="J930" s="84" t="s">
        <v>554</v>
      </c>
      <c r="K930" s="84" t="s">
        <v>1354</v>
      </c>
    </row>
    <row r="931" spans="1:11" ht="15.75" x14ac:dyDescent="0.3">
      <c r="A931" s="86" t="s">
        <v>2803</v>
      </c>
      <c r="B931" s="86" t="s">
        <v>2804</v>
      </c>
      <c r="C931" s="86" t="s">
        <v>293</v>
      </c>
      <c r="D931" s="86" t="s">
        <v>1650</v>
      </c>
      <c r="E931" s="86" t="s">
        <v>1651</v>
      </c>
      <c r="F931" s="86" t="s">
        <v>1652</v>
      </c>
      <c r="G931" s="86" t="s">
        <v>640</v>
      </c>
      <c r="H931" s="86" t="s">
        <v>1653</v>
      </c>
      <c r="I931" s="87" t="s">
        <v>2805</v>
      </c>
      <c r="J931" s="84" t="s">
        <v>554</v>
      </c>
      <c r="K931" s="84" t="s">
        <v>1354</v>
      </c>
    </row>
    <row r="932" spans="1:11" ht="15.75" x14ac:dyDescent="0.3">
      <c r="A932" s="86" t="s">
        <v>2806</v>
      </c>
      <c r="B932" s="86" t="s">
        <v>2804</v>
      </c>
      <c r="C932" s="86" t="s">
        <v>293</v>
      </c>
      <c r="D932" s="86" t="s">
        <v>1717</v>
      </c>
      <c r="E932" s="86" t="s">
        <v>67</v>
      </c>
      <c r="F932" s="86" t="s">
        <v>69</v>
      </c>
      <c r="G932" s="86" t="s">
        <v>691</v>
      </c>
      <c r="H932" s="86" t="s">
        <v>1718</v>
      </c>
      <c r="I932" s="87" t="s">
        <v>2805</v>
      </c>
      <c r="J932" s="84" t="s">
        <v>554</v>
      </c>
      <c r="K932" s="84" t="s">
        <v>1354</v>
      </c>
    </row>
    <row r="933" spans="1:11" ht="15.75" x14ac:dyDescent="0.3">
      <c r="A933" s="86" t="s">
        <v>2807</v>
      </c>
      <c r="B933" s="86" t="s">
        <v>2804</v>
      </c>
      <c r="C933" s="86" t="s">
        <v>292</v>
      </c>
      <c r="D933" s="86" t="s">
        <v>905</v>
      </c>
      <c r="E933" s="86" t="s">
        <v>139</v>
      </c>
      <c r="F933" s="86" t="s">
        <v>141</v>
      </c>
      <c r="G933" s="86" t="s">
        <v>588</v>
      </c>
      <c r="H933" s="86" t="s">
        <v>2440</v>
      </c>
      <c r="I933" s="87" t="s">
        <v>2805</v>
      </c>
      <c r="J933" s="84" t="s">
        <v>554</v>
      </c>
      <c r="K933" s="84" t="s">
        <v>1354</v>
      </c>
    </row>
    <row r="934" spans="1:11" ht="15.75" x14ac:dyDescent="0.3">
      <c r="A934" s="86" t="s">
        <v>2808</v>
      </c>
      <c r="B934" s="86" t="s">
        <v>2804</v>
      </c>
      <c r="C934" s="86" t="s">
        <v>293</v>
      </c>
      <c r="D934" s="86" t="s">
        <v>1192</v>
      </c>
      <c r="E934" s="86" t="s">
        <v>94</v>
      </c>
      <c r="F934" s="86" t="s">
        <v>96</v>
      </c>
      <c r="G934" s="86" t="s">
        <v>754</v>
      </c>
      <c r="H934" s="86" t="s">
        <v>1193</v>
      </c>
      <c r="I934" s="87" t="s">
        <v>2805</v>
      </c>
      <c r="J934" s="84" t="s">
        <v>554</v>
      </c>
      <c r="K934" s="84" t="s">
        <v>1354</v>
      </c>
    </row>
    <row r="935" spans="1:11" ht="15.75" x14ac:dyDescent="0.3">
      <c r="A935" s="86" t="s">
        <v>2809</v>
      </c>
      <c r="B935" s="86" t="s">
        <v>2804</v>
      </c>
      <c r="C935" s="86" t="s">
        <v>293</v>
      </c>
      <c r="D935" s="86" t="s">
        <v>1195</v>
      </c>
      <c r="E935" s="86" t="s">
        <v>272</v>
      </c>
      <c r="F935" s="86" t="s">
        <v>274</v>
      </c>
      <c r="G935" s="86" t="s">
        <v>675</v>
      </c>
      <c r="H935" s="86" t="s">
        <v>2810</v>
      </c>
      <c r="I935" s="87" t="s">
        <v>2805</v>
      </c>
      <c r="J935" s="84" t="s">
        <v>554</v>
      </c>
      <c r="K935" s="84" t="s">
        <v>1354</v>
      </c>
    </row>
    <row r="936" spans="1:11" ht="15.75" x14ac:dyDescent="0.3">
      <c r="A936" s="86" t="s">
        <v>2811</v>
      </c>
      <c r="B936" s="86" t="s">
        <v>2804</v>
      </c>
      <c r="C936" s="86" t="s">
        <v>293</v>
      </c>
      <c r="D936" s="86" t="s">
        <v>985</v>
      </c>
      <c r="E936" s="86" t="s">
        <v>106</v>
      </c>
      <c r="F936" s="86" t="s">
        <v>108</v>
      </c>
      <c r="G936" s="86" t="s">
        <v>807</v>
      </c>
      <c r="H936" s="86" t="s">
        <v>2812</v>
      </c>
      <c r="I936" s="87" t="s">
        <v>2805</v>
      </c>
      <c r="J936" s="84" t="s">
        <v>554</v>
      </c>
      <c r="K936" s="84" t="s">
        <v>1354</v>
      </c>
    </row>
    <row r="937" spans="1:11" ht="15.75" x14ac:dyDescent="0.3">
      <c r="A937" s="86" t="s">
        <v>2813</v>
      </c>
      <c r="B937" s="86" t="s">
        <v>2814</v>
      </c>
      <c r="C937" s="86" t="s">
        <v>294</v>
      </c>
      <c r="D937" s="86" t="s">
        <v>1067</v>
      </c>
      <c r="E937" s="86" t="s">
        <v>1068</v>
      </c>
      <c r="F937" s="86" t="s">
        <v>1069</v>
      </c>
      <c r="G937" s="86" t="s">
        <v>588</v>
      </c>
      <c r="H937" s="86" t="s">
        <v>1070</v>
      </c>
      <c r="I937" s="87" t="s">
        <v>2815</v>
      </c>
      <c r="J937" s="84" t="s">
        <v>554</v>
      </c>
      <c r="K937" s="84" t="s">
        <v>555</v>
      </c>
    </row>
    <row r="938" spans="1:11" ht="15.75" x14ac:dyDescent="0.3">
      <c r="A938" s="86" t="s">
        <v>2816</v>
      </c>
      <c r="B938" s="86" t="s">
        <v>2817</v>
      </c>
      <c r="C938" s="86" t="s">
        <v>294</v>
      </c>
      <c r="D938" s="86" t="s">
        <v>713</v>
      </c>
      <c r="E938" s="86" t="s">
        <v>714</v>
      </c>
      <c r="F938" s="86" t="s">
        <v>715</v>
      </c>
      <c r="G938" s="86" t="s">
        <v>622</v>
      </c>
      <c r="H938" s="86" t="s">
        <v>716</v>
      </c>
      <c r="I938" s="87" t="s">
        <v>2818</v>
      </c>
      <c r="J938" s="84" t="s">
        <v>554</v>
      </c>
      <c r="K938" s="84" t="s">
        <v>555</v>
      </c>
    </row>
    <row r="939" spans="1:11" ht="15.75" x14ac:dyDescent="0.3">
      <c r="A939" s="86" t="s">
        <v>2819</v>
      </c>
      <c r="B939" s="86" t="s">
        <v>2817</v>
      </c>
      <c r="C939" s="86" t="s">
        <v>294</v>
      </c>
      <c r="D939" s="86" t="s">
        <v>597</v>
      </c>
      <c r="E939" s="86" t="s">
        <v>598</v>
      </c>
      <c r="F939" s="86" t="s">
        <v>599</v>
      </c>
      <c r="G939" s="86" t="s">
        <v>551</v>
      </c>
      <c r="H939" s="86" t="s">
        <v>1099</v>
      </c>
      <c r="I939" s="87" t="s">
        <v>2818</v>
      </c>
      <c r="J939" s="84" t="s">
        <v>554</v>
      </c>
      <c r="K939" s="84" t="s">
        <v>555</v>
      </c>
    </row>
    <row r="940" spans="1:11" ht="15.75" x14ac:dyDescent="0.3">
      <c r="A940" s="86" t="s">
        <v>2820</v>
      </c>
      <c r="B940" s="86" t="s">
        <v>2821</v>
      </c>
      <c r="C940" s="86" t="s">
        <v>294</v>
      </c>
      <c r="D940" s="86" t="s">
        <v>737</v>
      </c>
      <c r="E940" s="86" t="s">
        <v>738</v>
      </c>
      <c r="F940" s="86" t="s">
        <v>739</v>
      </c>
      <c r="G940" s="86" t="s">
        <v>740</v>
      </c>
      <c r="H940" s="86" t="s">
        <v>1308</v>
      </c>
      <c r="I940" s="87" t="s">
        <v>1333</v>
      </c>
      <c r="J940" s="84" t="s">
        <v>554</v>
      </c>
      <c r="K940" s="84" t="s">
        <v>555</v>
      </c>
    </row>
    <row r="941" spans="1:11" ht="15.75" x14ac:dyDescent="0.3">
      <c r="A941" s="86" t="s">
        <v>2822</v>
      </c>
      <c r="B941" s="86" t="s">
        <v>2823</v>
      </c>
      <c r="C941" s="86" t="s">
        <v>292</v>
      </c>
      <c r="D941" s="86" t="s">
        <v>639</v>
      </c>
      <c r="E941" s="86" t="s">
        <v>22</v>
      </c>
      <c r="F941" s="86" t="s">
        <v>24</v>
      </c>
      <c r="G941" s="86" t="s">
        <v>701</v>
      </c>
      <c r="H941" s="86" t="s">
        <v>977</v>
      </c>
      <c r="I941" s="87" t="s">
        <v>2824</v>
      </c>
      <c r="J941" s="84" t="s">
        <v>554</v>
      </c>
      <c r="K941" s="84" t="s">
        <v>555</v>
      </c>
    </row>
    <row r="942" spans="1:11" ht="15.75" x14ac:dyDescent="0.3">
      <c r="A942" s="86" t="s">
        <v>2825</v>
      </c>
      <c r="B942" s="86" t="s">
        <v>2823</v>
      </c>
      <c r="C942" s="86" t="s">
        <v>293</v>
      </c>
      <c r="D942" s="86" t="s">
        <v>821</v>
      </c>
      <c r="E942" s="86" t="s">
        <v>822</v>
      </c>
      <c r="F942" s="86" t="s">
        <v>823</v>
      </c>
      <c r="G942" s="86" t="s">
        <v>701</v>
      </c>
      <c r="H942" s="86" t="s">
        <v>1008</v>
      </c>
      <c r="I942" s="87" t="s">
        <v>2824</v>
      </c>
      <c r="J942" s="84" t="s">
        <v>554</v>
      </c>
      <c r="K942" s="84" t="s">
        <v>555</v>
      </c>
    </row>
    <row r="943" spans="1:11" ht="15.75" x14ac:dyDescent="0.3">
      <c r="A943" s="86" t="s">
        <v>2826</v>
      </c>
      <c r="B943" s="86" t="s">
        <v>2823</v>
      </c>
      <c r="C943" s="86" t="s">
        <v>293</v>
      </c>
      <c r="D943" s="86" t="s">
        <v>955</v>
      </c>
      <c r="E943" s="86" t="s">
        <v>38</v>
      </c>
      <c r="F943" s="86" t="s">
        <v>40</v>
      </c>
      <c r="G943" s="86" t="s">
        <v>622</v>
      </c>
      <c r="H943" s="86" t="s">
        <v>956</v>
      </c>
      <c r="I943" s="87" t="s">
        <v>2824</v>
      </c>
      <c r="J943" s="84" t="s">
        <v>554</v>
      </c>
      <c r="K943" s="84" t="s">
        <v>555</v>
      </c>
    </row>
    <row r="944" spans="1:11" ht="15.75" x14ac:dyDescent="0.3">
      <c r="A944" s="86" t="s">
        <v>2827</v>
      </c>
      <c r="B944" s="86" t="s">
        <v>2823</v>
      </c>
      <c r="C944" s="86" t="s">
        <v>294</v>
      </c>
      <c r="D944" s="86" t="s">
        <v>1322</v>
      </c>
      <c r="E944" s="86" t="s">
        <v>1323</v>
      </c>
      <c r="F944" s="86" t="s">
        <v>1324</v>
      </c>
      <c r="G944" s="86" t="s">
        <v>729</v>
      </c>
      <c r="H944" s="86" t="s">
        <v>2828</v>
      </c>
      <c r="I944" s="87" t="s">
        <v>2824</v>
      </c>
      <c r="J944" s="84" t="s">
        <v>554</v>
      </c>
      <c r="K944" s="84" t="s">
        <v>555</v>
      </c>
    </row>
    <row r="945" spans="1:11" ht="15.75" x14ac:dyDescent="0.3">
      <c r="A945" s="86" t="s">
        <v>2829</v>
      </c>
      <c r="B945" s="86" t="s">
        <v>2823</v>
      </c>
      <c r="C945" s="86" t="s">
        <v>294</v>
      </c>
      <c r="D945" s="86" t="s">
        <v>737</v>
      </c>
      <c r="E945" s="86" t="s">
        <v>738</v>
      </c>
      <c r="F945" s="86" t="s">
        <v>739</v>
      </c>
      <c r="G945" s="86" t="s">
        <v>740</v>
      </c>
      <c r="H945" s="86" t="s">
        <v>1308</v>
      </c>
      <c r="I945" s="87" t="s">
        <v>2824</v>
      </c>
      <c r="J945" s="84" t="s">
        <v>554</v>
      </c>
      <c r="K945" s="84" t="s">
        <v>555</v>
      </c>
    </row>
    <row r="946" spans="1:11" ht="15.75" x14ac:dyDescent="0.3">
      <c r="A946" s="86" t="s">
        <v>2830</v>
      </c>
      <c r="B946" s="86" t="s">
        <v>2823</v>
      </c>
      <c r="C946" s="86" t="s">
        <v>293</v>
      </c>
      <c r="D946" s="86" t="s">
        <v>1717</v>
      </c>
      <c r="E946" s="86" t="s">
        <v>67</v>
      </c>
      <c r="F946" s="86" t="s">
        <v>69</v>
      </c>
      <c r="G946" s="86" t="s">
        <v>691</v>
      </c>
      <c r="H946" s="86" t="s">
        <v>1718</v>
      </c>
      <c r="I946" s="87" t="s">
        <v>2824</v>
      </c>
      <c r="J946" s="84" t="s">
        <v>554</v>
      </c>
      <c r="K946" s="84" t="s">
        <v>555</v>
      </c>
    </row>
    <row r="947" spans="1:11" ht="15.75" x14ac:dyDescent="0.3">
      <c r="A947" s="86" t="s">
        <v>2831</v>
      </c>
      <c r="B947" s="86" t="s">
        <v>2823</v>
      </c>
      <c r="C947" s="86" t="s">
        <v>293</v>
      </c>
      <c r="D947" s="86" t="s">
        <v>838</v>
      </c>
      <c r="E947" s="86" t="s">
        <v>1382</v>
      </c>
      <c r="F947" s="86" t="s">
        <v>840</v>
      </c>
      <c r="G947" s="86" t="s">
        <v>851</v>
      </c>
      <c r="H947" s="86" t="s">
        <v>1725</v>
      </c>
      <c r="I947" s="87" t="s">
        <v>2824</v>
      </c>
      <c r="J947" s="84" t="s">
        <v>554</v>
      </c>
      <c r="K947" s="84" t="s">
        <v>555</v>
      </c>
    </row>
    <row r="948" spans="1:11" ht="15.75" x14ac:dyDescent="0.3">
      <c r="A948" s="86" t="s">
        <v>2832</v>
      </c>
      <c r="B948" s="86" t="s">
        <v>2823</v>
      </c>
      <c r="C948" s="86" t="s">
        <v>292</v>
      </c>
      <c r="D948" s="86" t="s">
        <v>905</v>
      </c>
      <c r="E948" s="86" t="s">
        <v>139</v>
      </c>
      <c r="F948" s="86" t="s">
        <v>141</v>
      </c>
      <c r="G948" s="86" t="s">
        <v>851</v>
      </c>
      <c r="H948" s="86" t="s">
        <v>1184</v>
      </c>
      <c r="I948" s="87" t="s">
        <v>2824</v>
      </c>
      <c r="J948" s="84" t="s">
        <v>554</v>
      </c>
      <c r="K948" s="84" t="s">
        <v>555</v>
      </c>
    </row>
    <row r="949" spans="1:11" ht="15.75" x14ac:dyDescent="0.3">
      <c r="A949" s="86" t="s">
        <v>2833</v>
      </c>
      <c r="B949" s="86" t="s">
        <v>2823</v>
      </c>
      <c r="C949" s="86" t="s">
        <v>293</v>
      </c>
      <c r="D949" s="86" t="s">
        <v>834</v>
      </c>
      <c r="E949" s="86" t="s">
        <v>929</v>
      </c>
      <c r="F949" s="86" t="s">
        <v>187</v>
      </c>
      <c r="G949" s="86" t="s">
        <v>588</v>
      </c>
      <c r="H949" s="86" t="s">
        <v>930</v>
      </c>
      <c r="I949" s="87" t="s">
        <v>731</v>
      </c>
      <c r="J949" s="84" t="s">
        <v>554</v>
      </c>
      <c r="K949" s="84" t="s">
        <v>555</v>
      </c>
    </row>
    <row r="950" spans="1:11" ht="15.75" x14ac:dyDescent="0.3">
      <c r="A950" s="86" t="s">
        <v>2834</v>
      </c>
      <c r="B950" s="86" t="s">
        <v>2823</v>
      </c>
      <c r="C950" s="86" t="s">
        <v>292</v>
      </c>
      <c r="D950" s="86" t="s">
        <v>1729</v>
      </c>
      <c r="E950" s="86" t="s">
        <v>144</v>
      </c>
      <c r="F950" s="86" t="s">
        <v>146</v>
      </c>
      <c r="G950" s="86" t="s">
        <v>588</v>
      </c>
      <c r="H950" s="86" t="s">
        <v>1730</v>
      </c>
      <c r="I950" s="87" t="s">
        <v>2824</v>
      </c>
      <c r="J950" s="84" t="s">
        <v>554</v>
      </c>
      <c r="K950" s="84" t="s">
        <v>555</v>
      </c>
    </row>
    <row r="951" spans="1:11" ht="15.75" x14ac:dyDescent="0.3">
      <c r="A951" s="86" t="s">
        <v>2835</v>
      </c>
      <c r="B951" s="86" t="s">
        <v>2823</v>
      </c>
      <c r="C951" s="86" t="s">
        <v>294</v>
      </c>
      <c r="D951" s="86" t="s">
        <v>591</v>
      </c>
      <c r="E951" s="86" t="s">
        <v>592</v>
      </c>
      <c r="F951" s="86" t="s">
        <v>593</v>
      </c>
      <c r="G951" s="86" t="s">
        <v>594</v>
      </c>
      <c r="H951" s="86" t="s">
        <v>801</v>
      </c>
      <c r="I951" s="87" t="s">
        <v>2824</v>
      </c>
      <c r="J951" s="84" t="s">
        <v>554</v>
      </c>
      <c r="K951" s="84" t="s">
        <v>555</v>
      </c>
    </row>
    <row r="952" spans="1:11" ht="15.75" x14ac:dyDescent="0.3">
      <c r="A952" s="86" t="s">
        <v>2836</v>
      </c>
      <c r="B952" s="86" t="s">
        <v>2823</v>
      </c>
      <c r="C952" s="86" t="s">
        <v>293</v>
      </c>
      <c r="D952" s="86" t="s">
        <v>1739</v>
      </c>
      <c r="E952" s="86" t="s">
        <v>148</v>
      </c>
      <c r="F952" s="86" t="s">
        <v>150</v>
      </c>
      <c r="G952" s="86" t="s">
        <v>594</v>
      </c>
      <c r="H952" s="86" t="s">
        <v>1740</v>
      </c>
      <c r="I952" s="87" t="s">
        <v>2824</v>
      </c>
      <c r="J952" s="84" t="s">
        <v>554</v>
      </c>
      <c r="K952" s="84" t="s">
        <v>555</v>
      </c>
    </row>
    <row r="953" spans="1:11" ht="15.75" x14ac:dyDescent="0.3">
      <c r="A953" s="86" t="s">
        <v>2837</v>
      </c>
      <c r="B953" s="86" t="s">
        <v>2823</v>
      </c>
      <c r="C953" s="86" t="s">
        <v>292</v>
      </c>
      <c r="D953" s="86" t="s">
        <v>1011</v>
      </c>
      <c r="E953" s="86" t="s">
        <v>1012</v>
      </c>
      <c r="F953" s="86" t="s">
        <v>1013</v>
      </c>
      <c r="G953" s="86" t="s">
        <v>745</v>
      </c>
      <c r="H953" s="86" t="s">
        <v>1014</v>
      </c>
      <c r="I953" s="87" t="s">
        <v>2824</v>
      </c>
      <c r="J953" s="84" t="s">
        <v>554</v>
      </c>
      <c r="K953" s="84" t="s">
        <v>555</v>
      </c>
    </row>
    <row r="954" spans="1:11" ht="15.75" x14ac:dyDescent="0.3">
      <c r="A954" s="86" t="s">
        <v>2838</v>
      </c>
      <c r="B954" s="86" t="s">
        <v>2823</v>
      </c>
      <c r="C954" s="86" t="s">
        <v>294</v>
      </c>
      <c r="D954" s="86" t="s">
        <v>742</v>
      </c>
      <c r="E954" s="86" t="s">
        <v>743</v>
      </c>
      <c r="F954" s="86" t="s">
        <v>744</v>
      </c>
      <c r="G954" s="86" t="s">
        <v>745</v>
      </c>
      <c r="H954" s="86" t="s">
        <v>746</v>
      </c>
      <c r="I954" s="87" t="s">
        <v>2824</v>
      </c>
      <c r="J954" s="84" t="s">
        <v>554</v>
      </c>
      <c r="K954" s="84" t="s">
        <v>555</v>
      </c>
    </row>
    <row r="955" spans="1:11" ht="15.75" x14ac:dyDescent="0.3">
      <c r="A955" s="86" t="s">
        <v>2839</v>
      </c>
      <c r="B955" s="86" t="s">
        <v>2823</v>
      </c>
      <c r="C955" s="86" t="s">
        <v>293</v>
      </c>
      <c r="D955" s="86" t="s">
        <v>951</v>
      </c>
      <c r="E955" s="86" t="s">
        <v>267</v>
      </c>
      <c r="F955" s="86" t="s">
        <v>269</v>
      </c>
      <c r="G955" s="86" t="s">
        <v>745</v>
      </c>
      <c r="H955" s="86" t="s">
        <v>952</v>
      </c>
      <c r="I955" s="87" t="s">
        <v>2824</v>
      </c>
      <c r="J955" s="84" t="s">
        <v>554</v>
      </c>
      <c r="K955" s="84" t="s">
        <v>555</v>
      </c>
    </row>
    <row r="956" spans="1:11" ht="15.75" x14ac:dyDescent="0.3">
      <c r="A956" s="86" t="s">
        <v>2840</v>
      </c>
      <c r="B956" s="86" t="s">
        <v>2823</v>
      </c>
      <c r="C956" s="86" t="s">
        <v>292</v>
      </c>
      <c r="D956" s="86" t="s">
        <v>1189</v>
      </c>
      <c r="E956" s="86" t="s">
        <v>156</v>
      </c>
      <c r="F956" s="86" t="s">
        <v>158</v>
      </c>
      <c r="G956" s="86" t="s">
        <v>745</v>
      </c>
      <c r="H956" s="86" t="s">
        <v>1190</v>
      </c>
      <c r="I956" s="87" t="s">
        <v>2824</v>
      </c>
      <c r="J956" s="84" t="s">
        <v>554</v>
      </c>
      <c r="K956" s="84" t="s">
        <v>555</v>
      </c>
    </row>
    <row r="957" spans="1:11" ht="15.75" x14ac:dyDescent="0.3">
      <c r="A957" s="86" t="s">
        <v>2841</v>
      </c>
      <c r="B957" s="86" t="s">
        <v>2823</v>
      </c>
      <c r="C957" s="86" t="s">
        <v>294</v>
      </c>
      <c r="D957" s="86" t="s">
        <v>747</v>
      </c>
      <c r="E957" s="86" t="s">
        <v>748</v>
      </c>
      <c r="F957" s="86" t="s">
        <v>749</v>
      </c>
      <c r="G957" s="86" t="s">
        <v>750</v>
      </c>
      <c r="H957" s="86" t="s">
        <v>2842</v>
      </c>
      <c r="I957" s="87" t="s">
        <v>2824</v>
      </c>
      <c r="J957" s="84" t="s">
        <v>554</v>
      </c>
      <c r="K957" s="84" t="s">
        <v>555</v>
      </c>
    </row>
    <row r="958" spans="1:11" ht="15.75" x14ac:dyDescent="0.3">
      <c r="A958" s="86" t="s">
        <v>2843</v>
      </c>
      <c r="B958" s="86" t="s">
        <v>2823</v>
      </c>
      <c r="C958" s="86" t="s">
        <v>294</v>
      </c>
      <c r="D958" s="86" t="s">
        <v>1785</v>
      </c>
      <c r="E958" s="86" t="s">
        <v>1786</v>
      </c>
      <c r="F958" s="86" t="s">
        <v>1787</v>
      </c>
      <c r="G958" s="86" t="s">
        <v>754</v>
      </c>
      <c r="H958" s="86" t="s">
        <v>1788</v>
      </c>
      <c r="I958" s="87" t="s">
        <v>2824</v>
      </c>
      <c r="J958" s="84" t="s">
        <v>554</v>
      </c>
      <c r="K958" s="84" t="s">
        <v>555</v>
      </c>
    </row>
    <row r="959" spans="1:11" ht="15.75" x14ac:dyDescent="0.3">
      <c r="A959" s="86" t="s">
        <v>2844</v>
      </c>
      <c r="B959" s="86" t="s">
        <v>2823</v>
      </c>
      <c r="C959" s="86" t="s">
        <v>292</v>
      </c>
      <c r="D959" s="86" t="s">
        <v>940</v>
      </c>
      <c r="E959" s="86" t="s">
        <v>161</v>
      </c>
      <c r="F959" s="86" t="s">
        <v>163</v>
      </c>
      <c r="G959" s="86" t="s">
        <v>675</v>
      </c>
      <c r="H959" s="86" t="s">
        <v>941</v>
      </c>
      <c r="I959" s="87" t="s">
        <v>2824</v>
      </c>
      <c r="J959" s="84" t="s">
        <v>554</v>
      </c>
      <c r="K959" s="84" t="s">
        <v>555</v>
      </c>
    </row>
    <row r="960" spans="1:11" ht="15.75" x14ac:dyDescent="0.3">
      <c r="A960" s="86" t="s">
        <v>2845</v>
      </c>
      <c r="B960" s="86" t="s">
        <v>2823</v>
      </c>
      <c r="C960" s="86" t="s">
        <v>294</v>
      </c>
      <c r="D960" s="86" t="s">
        <v>752</v>
      </c>
      <c r="E960" s="86" t="s">
        <v>753</v>
      </c>
      <c r="F960" s="86" t="s">
        <v>217</v>
      </c>
      <c r="G960" s="86" t="s">
        <v>675</v>
      </c>
      <c r="H960" s="86" t="s">
        <v>2622</v>
      </c>
      <c r="I960" s="87" t="s">
        <v>2824</v>
      </c>
      <c r="J960" s="84" t="s">
        <v>554</v>
      </c>
      <c r="K960" s="84" t="s">
        <v>555</v>
      </c>
    </row>
    <row r="961" spans="1:11" ht="15.75" x14ac:dyDescent="0.3">
      <c r="A961" s="86" t="s">
        <v>2846</v>
      </c>
      <c r="B961" s="86" t="s">
        <v>2823</v>
      </c>
      <c r="C961" s="86" t="s">
        <v>294</v>
      </c>
      <c r="D961" s="86" t="s">
        <v>838</v>
      </c>
      <c r="E961" s="86" t="s">
        <v>839</v>
      </c>
      <c r="F961" s="86" t="s">
        <v>840</v>
      </c>
      <c r="G961" s="86" t="s">
        <v>675</v>
      </c>
      <c r="H961" s="86" t="s">
        <v>1073</v>
      </c>
      <c r="I961" s="87" t="s">
        <v>2824</v>
      </c>
      <c r="J961" s="84" t="s">
        <v>554</v>
      </c>
      <c r="K961" s="84" t="s">
        <v>555</v>
      </c>
    </row>
    <row r="962" spans="1:11" ht="15.75" x14ac:dyDescent="0.3">
      <c r="A962" s="86" t="s">
        <v>2847</v>
      </c>
      <c r="B962" s="86" t="s">
        <v>2823</v>
      </c>
      <c r="C962" s="86" t="s">
        <v>294</v>
      </c>
      <c r="D962" s="86" t="s">
        <v>834</v>
      </c>
      <c r="E962" s="86" t="s">
        <v>185</v>
      </c>
      <c r="F962" s="86" t="s">
        <v>187</v>
      </c>
      <c r="G962" s="86" t="s">
        <v>675</v>
      </c>
      <c r="H962" s="86" t="s">
        <v>1091</v>
      </c>
      <c r="I962" s="87" t="s">
        <v>2824</v>
      </c>
      <c r="J962" s="84" t="s">
        <v>554</v>
      </c>
      <c r="K962" s="84" t="s">
        <v>555</v>
      </c>
    </row>
    <row r="963" spans="1:11" ht="15.75" x14ac:dyDescent="0.3">
      <c r="A963" s="86" t="s">
        <v>2848</v>
      </c>
      <c r="B963" s="86" t="s">
        <v>2823</v>
      </c>
      <c r="C963" s="86" t="s">
        <v>294</v>
      </c>
      <c r="D963" s="86" t="s">
        <v>804</v>
      </c>
      <c r="E963" s="86" t="s">
        <v>805</v>
      </c>
      <c r="F963" s="86" t="s">
        <v>806</v>
      </c>
      <c r="G963" s="86" t="s">
        <v>807</v>
      </c>
      <c r="H963" s="86" t="s">
        <v>808</v>
      </c>
      <c r="I963" s="87" t="s">
        <v>731</v>
      </c>
      <c r="J963" s="84" t="s">
        <v>554</v>
      </c>
      <c r="K963" s="84" t="s">
        <v>555</v>
      </c>
    </row>
    <row r="964" spans="1:11" ht="15.75" x14ac:dyDescent="0.3">
      <c r="A964" s="86" t="s">
        <v>2849</v>
      </c>
      <c r="B964" s="86" t="s">
        <v>2823</v>
      </c>
      <c r="C964" s="86" t="s">
        <v>292</v>
      </c>
      <c r="D964" s="86" t="s">
        <v>883</v>
      </c>
      <c r="E964" s="86" t="s">
        <v>75</v>
      </c>
      <c r="F964" s="86" t="s">
        <v>77</v>
      </c>
      <c r="G964" s="86" t="s">
        <v>807</v>
      </c>
      <c r="H964" s="86" t="s">
        <v>959</v>
      </c>
      <c r="I964" s="87" t="s">
        <v>2824</v>
      </c>
      <c r="J964" s="84" t="s">
        <v>554</v>
      </c>
      <c r="K964" s="84" t="s">
        <v>555</v>
      </c>
    </row>
    <row r="965" spans="1:11" ht="15.75" x14ac:dyDescent="0.3">
      <c r="A965" s="86" t="s">
        <v>2850</v>
      </c>
      <c r="B965" s="86" t="s">
        <v>2823</v>
      </c>
      <c r="C965" s="86" t="s">
        <v>293</v>
      </c>
      <c r="D965" s="86" t="s">
        <v>768</v>
      </c>
      <c r="E965" s="86" t="s">
        <v>769</v>
      </c>
      <c r="F965" s="86" t="s">
        <v>770</v>
      </c>
      <c r="G965" s="86" t="s">
        <v>990</v>
      </c>
      <c r="H965" s="86" t="s">
        <v>1769</v>
      </c>
      <c r="I965" s="87" t="s">
        <v>2824</v>
      </c>
      <c r="J965" s="84" t="s">
        <v>554</v>
      </c>
      <c r="K965" s="84" t="s">
        <v>555</v>
      </c>
    </row>
    <row r="966" spans="1:11" ht="15.75" x14ac:dyDescent="0.3">
      <c r="A966" s="86" t="s">
        <v>2851</v>
      </c>
      <c r="B966" s="86" t="s">
        <v>2823</v>
      </c>
      <c r="C966" s="86" t="s">
        <v>294</v>
      </c>
      <c r="D966" s="86" t="s">
        <v>1094</v>
      </c>
      <c r="E966" s="86" t="s">
        <v>1095</v>
      </c>
      <c r="F966" s="86" t="s">
        <v>1096</v>
      </c>
      <c r="G966" s="86" t="s">
        <v>990</v>
      </c>
      <c r="H966" s="86" t="s">
        <v>1097</v>
      </c>
      <c r="I966" s="87" t="s">
        <v>731</v>
      </c>
      <c r="J966" s="84" t="s">
        <v>554</v>
      </c>
      <c r="K966" s="84" t="s">
        <v>555</v>
      </c>
    </row>
    <row r="967" spans="1:11" ht="15.75" x14ac:dyDescent="0.3">
      <c r="A967" s="86" t="s">
        <v>2852</v>
      </c>
      <c r="B967" s="86" t="s">
        <v>2823</v>
      </c>
      <c r="C967" s="86" t="s">
        <v>294</v>
      </c>
      <c r="D967" s="86" t="s">
        <v>597</v>
      </c>
      <c r="E967" s="86" t="s">
        <v>598</v>
      </c>
      <c r="F967" s="86" t="s">
        <v>599</v>
      </c>
      <c r="G967" s="86" t="s">
        <v>551</v>
      </c>
      <c r="H967" s="86" t="s">
        <v>1507</v>
      </c>
      <c r="I967" s="87" t="s">
        <v>2824</v>
      </c>
      <c r="J967" s="84" t="s">
        <v>554</v>
      </c>
      <c r="K967" s="84" t="s">
        <v>555</v>
      </c>
    </row>
    <row r="968" spans="1:11" ht="15.75" x14ac:dyDescent="0.3">
      <c r="A968" s="86" t="s">
        <v>2853</v>
      </c>
      <c r="B968" s="86" t="s">
        <v>2854</v>
      </c>
      <c r="C968" s="86" t="s">
        <v>293</v>
      </c>
      <c r="D968" s="86" t="s">
        <v>1388</v>
      </c>
      <c r="E968" s="86" t="s">
        <v>101</v>
      </c>
      <c r="F968" s="86" t="s">
        <v>103</v>
      </c>
      <c r="G968" s="86" t="s">
        <v>807</v>
      </c>
      <c r="H968" s="86" t="s">
        <v>1766</v>
      </c>
      <c r="I968" s="87" t="s">
        <v>1125</v>
      </c>
      <c r="J968" s="84" t="s">
        <v>554</v>
      </c>
      <c r="K968" s="84" t="s">
        <v>555</v>
      </c>
    </row>
    <row r="969" spans="1:11" ht="15.75" x14ac:dyDescent="0.3">
      <c r="A969" s="86" t="s">
        <v>2855</v>
      </c>
      <c r="B969" s="86" t="s">
        <v>2856</v>
      </c>
      <c r="C969" s="86" t="s">
        <v>292</v>
      </c>
      <c r="D969" s="86" t="s">
        <v>752</v>
      </c>
      <c r="E969" s="86" t="s">
        <v>215</v>
      </c>
      <c r="F969" s="86" t="s">
        <v>217</v>
      </c>
      <c r="G969" s="86" t="s">
        <v>691</v>
      </c>
      <c r="H969" s="86" t="s">
        <v>1927</v>
      </c>
      <c r="I969" s="87" t="s">
        <v>2857</v>
      </c>
      <c r="J969" s="84" t="s">
        <v>554</v>
      </c>
      <c r="K969" s="84" t="s">
        <v>555</v>
      </c>
    </row>
    <row r="970" spans="1:11" ht="15.75" x14ac:dyDescent="0.3">
      <c r="A970" s="86" t="s">
        <v>2858</v>
      </c>
      <c r="B970" s="86" t="s">
        <v>2859</v>
      </c>
      <c r="C970" s="86" t="s">
        <v>293</v>
      </c>
      <c r="D970" s="86" t="s">
        <v>821</v>
      </c>
      <c r="E970" s="86" t="s">
        <v>822</v>
      </c>
      <c r="F970" s="86" t="s">
        <v>823</v>
      </c>
      <c r="G970" s="86" t="s">
        <v>824</v>
      </c>
      <c r="H970" s="86" t="s">
        <v>825</v>
      </c>
      <c r="I970" s="87" t="s">
        <v>2860</v>
      </c>
      <c r="J970" s="84" t="s">
        <v>554</v>
      </c>
      <c r="K970" s="84" t="s">
        <v>555</v>
      </c>
    </row>
    <row r="971" spans="1:11" ht="15.75" x14ac:dyDescent="0.3">
      <c r="A971" s="86" t="s">
        <v>2861</v>
      </c>
      <c r="B971" s="86" t="s">
        <v>2862</v>
      </c>
      <c r="C971" s="86" t="s">
        <v>294</v>
      </c>
      <c r="D971" s="86" t="s">
        <v>2863</v>
      </c>
      <c r="E971" s="86" t="s">
        <v>2864</v>
      </c>
      <c r="F971" s="86" t="s">
        <v>2865</v>
      </c>
      <c r="G971" s="86" t="s">
        <v>824</v>
      </c>
      <c r="H971" s="86" t="s">
        <v>2866</v>
      </c>
      <c r="I971" s="87" t="s">
        <v>2867</v>
      </c>
      <c r="J971" s="84" t="s">
        <v>554</v>
      </c>
      <c r="K971" s="84" t="s">
        <v>555</v>
      </c>
    </row>
    <row r="972" spans="1:11" ht="15.75" x14ac:dyDescent="0.3">
      <c r="A972" s="86" t="s">
        <v>2868</v>
      </c>
      <c r="B972" s="86" t="s">
        <v>2869</v>
      </c>
      <c r="C972" s="86" t="s">
        <v>294</v>
      </c>
      <c r="D972" s="86" t="s">
        <v>597</v>
      </c>
      <c r="E972" s="86" t="s">
        <v>598</v>
      </c>
      <c r="F972" s="86" t="s">
        <v>599</v>
      </c>
      <c r="G972" s="86" t="s">
        <v>551</v>
      </c>
      <c r="H972" s="86" t="s">
        <v>1507</v>
      </c>
      <c r="I972" s="87" t="s">
        <v>2870</v>
      </c>
      <c r="J972" s="84" t="s">
        <v>554</v>
      </c>
      <c r="K972" s="84" t="s">
        <v>555</v>
      </c>
    </row>
    <row r="973" spans="1:11" ht="15.75" x14ac:dyDescent="0.3">
      <c r="A973" s="86" t="s">
        <v>2871</v>
      </c>
      <c r="B973" s="86" t="s">
        <v>2872</v>
      </c>
      <c r="C973" s="86" t="s">
        <v>292</v>
      </c>
      <c r="D973" s="86" t="s">
        <v>1025</v>
      </c>
      <c r="E973" s="86" t="s">
        <v>1202</v>
      </c>
      <c r="F973" s="86" t="s">
        <v>1027</v>
      </c>
      <c r="G973" s="86" t="s">
        <v>750</v>
      </c>
      <c r="H973" s="86" t="s">
        <v>1410</v>
      </c>
      <c r="I973" s="87" t="s">
        <v>731</v>
      </c>
      <c r="J973" s="84" t="s">
        <v>554</v>
      </c>
      <c r="K973" s="84" t="s">
        <v>555</v>
      </c>
    </row>
    <row r="974" spans="1:11" ht="15.75" x14ac:dyDescent="0.3">
      <c r="A974" s="86" t="s">
        <v>2873</v>
      </c>
      <c r="B974" s="86" t="s">
        <v>2872</v>
      </c>
      <c r="C974" s="86" t="s">
        <v>292</v>
      </c>
      <c r="D974" s="86" t="s">
        <v>1025</v>
      </c>
      <c r="E974" s="86" t="s">
        <v>1564</v>
      </c>
      <c r="F974" s="86" t="s">
        <v>1027</v>
      </c>
      <c r="G974" s="86" t="s">
        <v>551</v>
      </c>
      <c r="H974" s="86" t="s">
        <v>1565</v>
      </c>
      <c r="I974" s="87" t="s">
        <v>2874</v>
      </c>
      <c r="J974" s="84" t="s">
        <v>554</v>
      </c>
      <c r="K974" s="84" t="s">
        <v>555</v>
      </c>
    </row>
    <row r="975" spans="1:11" ht="15.75" x14ac:dyDescent="0.3">
      <c r="A975" s="86" t="s">
        <v>2875</v>
      </c>
      <c r="B975" s="86" t="s">
        <v>2876</v>
      </c>
      <c r="C975" s="86" t="s">
        <v>293</v>
      </c>
      <c r="D975" s="86" t="s">
        <v>2877</v>
      </c>
      <c r="E975" s="86" t="s">
        <v>2878</v>
      </c>
      <c r="F975" s="86" t="s">
        <v>2879</v>
      </c>
      <c r="G975" s="86" t="s">
        <v>645</v>
      </c>
      <c r="H975" s="86" t="s">
        <v>2880</v>
      </c>
      <c r="I975" s="87" t="s">
        <v>2881</v>
      </c>
      <c r="J975" s="84" t="s">
        <v>554</v>
      </c>
      <c r="K975" s="84" t="s">
        <v>555</v>
      </c>
    </row>
    <row r="976" spans="1:11" ht="15.75" x14ac:dyDescent="0.3">
      <c r="A976" s="86" t="s">
        <v>2882</v>
      </c>
      <c r="B976" s="86" t="s">
        <v>2883</v>
      </c>
      <c r="C976" s="86" t="s">
        <v>293</v>
      </c>
      <c r="D976" s="86" t="s">
        <v>1344</v>
      </c>
      <c r="E976" s="86" t="s">
        <v>1345</v>
      </c>
      <c r="F976" s="86" t="s">
        <v>1346</v>
      </c>
      <c r="G976" s="86" t="s">
        <v>740</v>
      </c>
      <c r="H976" s="86" t="s">
        <v>1621</v>
      </c>
      <c r="I976" s="87" t="s">
        <v>2884</v>
      </c>
      <c r="J976" s="84" t="s">
        <v>554</v>
      </c>
      <c r="K976" s="84" t="s">
        <v>555</v>
      </c>
    </row>
    <row r="977" spans="1:11" ht="15.75" x14ac:dyDescent="0.3">
      <c r="A977" s="86" t="s">
        <v>2885</v>
      </c>
      <c r="B977" s="86" t="s">
        <v>2886</v>
      </c>
      <c r="C977" s="86" t="s">
        <v>292</v>
      </c>
      <c r="D977" s="86" t="s">
        <v>639</v>
      </c>
      <c r="E977" s="86" t="s">
        <v>22</v>
      </c>
      <c r="F977" s="86" t="s">
        <v>24</v>
      </c>
      <c r="G977" s="86" t="s">
        <v>701</v>
      </c>
      <c r="H977" s="86" t="s">
        <v>702</v>
      </c>
      <c r="I977" s="87" t="s">
        <v>2887</v>
      </c>
      <c r="J977" s="84" t="s">
        <v>554</v>
      </c>
      <c r="K977" s="84" t="s">
        <v>555</v>
      </c>
    </row>
    <row r="978" spans="1:11" ht="15.75" x14ac:dyDescent="0.3">
      <c r="A978" s="86" t="s">
        <v>2888</v>
      </c>
      <c r="B978" s="86" t="s">
        <v>2886</v>
      </c>
      <c r="C978" s="86" t="s">
        <v>293</v>
      </c>
      <c r="D978" s="86" t="s">
        <v>821</v>
      </c>
      <c r="E978" s="86" t="s">
        <v>822</v>
      </c>
      <c r="F978" s="86" t="s">
        <v>823</v>
      </c>
      <c r="G978" s="86" t="s">
        <v>824</v>
      </c>
      <c r="H978" s="86" t="s">
        <v>825</v>
      </c>
      <c r="I978" s="87" t="s">
        <v>2887</v>
      </c>
      <c r="J978" s="84" t="s">
        <v>554</v>
      </c>
      <c r="K978" s="84" t="s">
        <v>555</v>
      </c>
    </row>
    <row r="979" spans="1:11" ht="15.75" x14ac:dyDescent="0.3">
      <c r="A979" s="86" t="s">
        <v>2889</v>
      </c>
      <c r="B979" s="86" t="s">
        <v>2886</v>
      </c>
      <c r="C979" s="86" t="s">
        <v>292</v>
      </c>
      <c r="D979" s="86" t="s">
        <v>583</v>
      </c>
      <c r="E979" s="86" t="s">
        <v>53</v>
      </c>
      <c r="F979" s="86" t="s">
        <v>55</v>
      </c>
      <c r="G979" s="86" t="s">
        <v>661</v>
      </c>
      <c r="H979" s="86" t="s">
        <v>670</v>
      </c>
      <c r="I979" s="87" t="s">
        <v>2887</v>
      </c>
      <c r="J979" s="84" t="s">
        <v>554</v>
      </c>
      <c r="K979" s="84" t="s">
        <v>555</v>
      </c>
    </row>
    <row r="980" spans="1:11" ht="15.75" x14ac:dyDescent="0.3">
      <c r="A980" s="86" t="s">
        <v>2890</v>
      </c>
      <c r="B980" s="86" t="s">
        <v>2886</v>
      </c>
      <c r="C980" s="86" t="s">
        <v>294</v>
      </c>
      <c r="D980" s="86" t="s">
        <v>834</v>
      </c>
      <c r="E980" s="86" t="s">
        <v>185</v>
      </c>
      <c r="F980" s="86" t="s">
        <v>187</v>
      </c>
      <c r="G980" s="86" t="s">
        <v>745</v>
      </c>
      <c r="H980" s="86" t="s">
        <v>2062</v>
      </c>
      <c r="I980" s="87" t="s">
        <v>2887</v>
      </c>
      <c r="J980" s="84" t="s">
        <v>554</v>
      </c>
      <c r="K980" s="84" t="s">
        <v>555</v>
      </c>
    </row>
    <row r="981" spans="1:11" ht="15.75" x14ac:dyDescent="0.3">
      <c r="A981" s="86" t="s">
        <v>2891</v>
      </c>
      <c r="B981" s="86" t="s">
        <v>2886</v>
      </c>
      <c r="C981" s="86" t="s">
        <v>293</v>
      </c>
      <c r="D981" s="86" t="s">
        <v>1121</v>
      </c>
      <c r="E981" s="86" t="s">
        <v>1122</v>
      </c>
      <c r="F981" s="86" t="s">
        <v>1123</v>
      </c>
      <c r="G981" s="86" t="s">
        <v>675</v>
      </c>
      <c r="H981" s="86" t="s">
        <v>1124</v>
      </c>
      <c r="I981" s="87" t="s">
        <v>2887</v>
      </c>
      <c r="J981" s="84" t="s">
        <v>554</v>
      </c>
      <c r="K981" s="84" t="s">
        <v>555</v>
      </c>
    </row>
    <row r="982" spans="1:11" ht="15.75" x14ac:dyDescent="0.3">
      <c r="A982" s="86" t="s">
        <v>2892</v>
      </c>
      <c r="B982" s="86" t="s">
        <v>2893</v>
      </c>
      <c r="C982" s="86" t="s">
        <v>292</v>
      </c>
      <c r="D982" s="86" t="s">
        <v>1366</v>
      </c>
      <c r="E982" s="86" t="s">
        <v>231</v>
      </c>
      <c r="F982" s="86" t="s">
        <v>233</v>
      </c>
      <c r="G982" s="86" t="s">
        <v>1367</v>
      </c>
      <c r="H982" s="86" t="s">
        <v>1625</v>
      </c>
      <c r="I982" s="87" t="s">
        <v>2894</v>
      </c>
      <c r="J982" s="84" t="s">
        <v>554</v>
      </c>
      <c r="K982" s="84" t="s">
        <v>555</v>
      </c>
    </row>
    <row r="983" spans="1:11" ht="15.75" x14ac:dyDescent="0.3">
      <c r="A983" s="86" t="s">
        <v>2895</v>
      </c>
      <c r="B983" s="86" t="s">
        <v>2893</v>
      </c>
      <c r="C983" s="86" t="s">
        <v>292</v>
      </c>
      <c r="D983" s="86" t="s">
        <v>1628</v>
      </c>
      <c r="E983" s="86" t="s">
        <v>1629</v>
      </c>
      <c r="F983" s="86" t="s">
        <v>1630</v>
      </c>
      <c r="G983" s="86" t="s">
        <v>701</v>
      </c>
      <c r="H983" s="86" t="s">
        <v>1631</v>
      </c>
      <c r="I983" s="87" t="s">
        <v>2894</v>
      </c>
      <c r="J983" s="84" t="s">
        <v>554</v>
      </c>
      <c r="K983" s="84" t="s">
        <v>555</v>
      </c>
    </row>
    <row r="984" spans="1:11" ht="15.75" x14ac:dyDescent="0.3">
      <c r="A984" s="86" t="s">
        <v>2896</v>
      </c>
      <c r="B984" s="86" t="s">
        <v>2893</v>
      </c>
      <c r="C984" s="86" t="s">
        <v>292</v>
      </c>
      <c r="D984" s="86" t="s">
        <v>639</v>
      </c>
      <c r="E984" s="86" t="s">
        <v>22</v>
      </c>
      <c r="F984" s="86" t="s">
        <v>24</v>
      </c>
      <c r="G984" s="86" t="s">
        <v>701</v>
      </c>
      <c r="H984" s="86" t="s">
        <v>977</v>
      </c>
      <c r="I984" s="87" t="s">
        <v>2894</v>
      </c>
      <c r="J984" s="84" t="s">
        <v>554</v>
      </c>
      <c r="K984" s="84" t="s">
        <v>555</v>
      </c>
    </row>
    <row r="985" spans="1:11" ht="15.75" x14ac:dyDescent="0.3">
      <c r="A985" s="86" t="s">
        <v>2897</v>
      </c>
      <c r="B985" s="86" t="s">
        <v>2893</v>
      </c>
      <c r="C985" s="86" t="s">
        <v>292</v>
      </c>
      <c r="D985" s="86" t="s">
        <v>1633</v>
      </c>
      <c r="E985" s="86" t="s">
        <v>1634</v>
      </c>
      <c r="F985" s="86" t="s">
        <v>1635</v>
      </c>
      <c r="G985" s="86" t="s">
        <v>701</v>
      </c>
      <c r="H985" s="86" t="s">
        <v>1636</v>
      </c>
      <c r="I985" s="87" t="s">
        <v>2894</v>
      </c>
      <c r="J985" s="84" t="s">
        <v>554</v>
      </c>
      <c r="K985" s="84" t="s">
        <v>555</v>
      </c>
    </row>
    <row r="986" spans="1:11" ht="15.75" x14ac:dyDescent="0.3">
      <c r="A986" s="86" t="s">
        <v>2898</v>
      </c>
      <c r="B986" s="86" t="s">
        <v>2893</v>
      </c>
      <c r="C986" s="86" t="s">
        <v>293</v>
      </c>
      <c r="D986" s="86" t="s">
        <v>821</v>
      </c>
      <c r="E986" s="86" t="s">
        <v>822</v>
      </c>
      <c r="F986" s="86" t="s">
        <v>823</v>
      </c>
      <c r="G986" s="86" t="s">
        <v>701</v>
      </c>
      <c r="H986" s="86" t="s">
        <v>1008</v>
      </c>
      <c r="I986" s="87" t="s">
        <v>2894</v>
      </c>
      <c r="J986" s="84" t="s">
        <v>554</v>
      </c>
      <c r="K986" s="84" t="s">
        <v>555</v>
      </c>
    </row>
    <row r="987" spans="1:11" ht="15.75" x14ac:dyDescent="0.3">
      <c r="A987" s="86" t="s">
        <v>2899</v>
      </c>
      <c r="B987" s="86" t="s">
        <v>2893</v>
      </c>
      <c r="C987" s="86" t="s">
        <v>292</v>
      </c>
      <c r="D987" s="86" t="s">
        <v>1640</v>
      </c>
      <c r="E987" s="86" t="s">
        <v>1641</v>
      </c>
      <c r="F987" s="86" t="s">
        <v>1642</v>
      </c>
      <c r="G987" s="86" t="s">
        <v>640</v>
      </c>
      <c r="H987" s="86" t="s">
        <v>1643</v>
      </c>
      <c r="I987" s="87" t="s">
        <v>2894</v>
      </c>
      <c r="J987" s="84" t="s">
        <v>554</v>
      </c>
      <c r="K987" s="84" t="s">
        <v>555</v>
      </c>
    </row>
    <row r="988" spans="1:11" ht="15.75" x14ac:dyDescent="0.3">
      <c r="A988" s="86" t="s">
        <v>2900</v>
      </c>
      <c r="B988" s="86" t="s">
        <v>2893</v>
      </c>
      <c r="C988" s="86" t="s">
        <v>292</v>
      </c>
      <c r="D988" s="86" t="s">
        <v>1645</v>
      </c>
      <c r="E988" s="86" t="s">
        <v>1646</v>
      </c>
      <c r="F988" s="86" t="s">
        <v>1647</v>
      </c>
      <c r="G988" s="86" t="s">
        <v>640</v>
      </c>
      <c r="H988" s="86" t="s">
        <v>1648</v>
      </c>
      <c r="I988" s="87" t="s">
        <v>2894</v>
      </c>
      <c r="J988" s="84" t="s">
        <v>554</v>
      </c>
      <c r="K988" s="84" t="s">
        <v>555</v>
      </c>
    </row>
    <row r="989" spans="1:11" ht="15.75" x14ac:dyDescent="0.3">
      <c r="A989" s="86" t="s">
        <v>2901</v>
      </c>
      <c r="B989" s="86" t="s">
        <v>2893</v>
      </c>
      <c r="C989" s="86" t="s">
        <v>293</v>
      </c>
      <c r="D989" s="86" t="s">
        <v>1650</v>
      </c>
      <c r="E989" s="86" t="s">
        <v>1651</v>
      </c>
      <c r="F989" s="86" t="s">
        <v>1652</v>
      </c>
      <c r="G989" s="86" t="s">
        <v>640</v>
      </c>
      <c r="H989" s="86" t="s">
        <v>1653</v>
      </c>
      <c r="I989" s="87" t="s">
        <v>2894</v>
      </c>
      <c r="J989" s="84" t="s">
        <v>554</v>
      </c>
      <c r="K989" s="84" t="s">
        <v>555</v>
      </c>
    </row>
    <row r="990" spans="1:11" ht="15.75" x14ac:dyDescent="0.3">
      <c r="A990" s="86" t="s">
        <v>2902</v>
      </c>
      <c r="B990" s="86" t="s">
        <v>2893</v>
      </c>
      <c r="C990" s="86" t="s">
        <v>292</v>
      </c>
      <c r="D990" s="86" t="s">
        <v>1146</v>
      </c>
      <c r="E990" s="86" t="s">
        <v>239</v>
      </c>
      <c r="F990" s="86" t="s">
        <v>241</v>
      </c>
      <c r="G990" s="86" t="s">
        <v>824</v>
      </c>
      <c r="H990" s="86" t="s">
        <v>1147</v>
      </c>
      <c r="I990" s="87" t="s">
        <v>2894</v>
      </c>
      <c r="J990" s="84" t="s">
        <v>554</v>
      </c>
      <c r="K990" s="84" t="s">
        <v>555</v>
      </c>
    </row>
    <row r="991" spans="1:11" ht="15.75" x14ac:dyDescent="0.3">
      <c r="A991" s="86" t="s">
        <v>2903</v>
      </c>
      <c r="B991" s="86" t="s">
        <v>2893</v>
      </c>
      <c r="C991" s="86" t="s">
        <v>292</v>
      </c>
      <c r="D991" s="86" t="s">
        <v>1656</v>
      </c>
      <c r="E991" s="86" t="s">
        <v>1657</v>
      </c>
      <c r="F991" s="86" t="s">
        <v>1658</v>
      </c>
      <c r="G991" s="86" t="s">
        <v>824</v>
      </c>
      <c r="H991" s="86" t="s">
        <v>1659</v>
      </c>
      <c r="I991" s="87" t="s">
        <v>2894</v>
      </c>
      <c r="J991" s="84" t="s">
        <v>554</v>
      </c>
      <c r="K991" s="84" t="s">
        <v>555</v>
      </c>
    </row>
    <row r="992" spans="1:11" ht="15.75" x14ac:dyDescent="0.3">
      <c r="A992" s="86" t="s">
        <v>2904</v>
      </c>
      <c r="B992" s="86" t="s">
        <v>2893</v>
      </c>
      <c r="C992" s="86" t="s">
        <v>292</v>
      </c>
      <c r="D992" s="86" t="s">
        <v>587</v>
      </c>
      <c r="E992" s="86" t="s">
        <v>1661</v>
      </c>
      <c r="F992" s="86" t="s">
        <v>137</v>
      </c>
      <c r="G992" s="86" t="s">
        <v>824</v>
      </c>
      <c r="H992" s="86" t="s">
        <v>1662</v>
      </c>
      <c r="I992" s="87" t="s">
        <v>2894</v>
      </c>
      <c r="J992" s="84" t="s">
        <v>554</v>
      </c>
      <c r="K992" s="84" t="s">
        <v>555</v>
      </c>
    </row>
    <row r="993" spans="1:11" ht="15.75" x14ac:dyDescent="0.3">
      <c r="A993" s="86" t="s">
        <v>2905</v>
      </c>
      <c r="B993" s="86" t="s">
        <v>2893</v>
      </c>
      <c r="C993" s="86" t="s">
        <v>293</v>
      </c>
      <c r="D993" s="86" t="s">
        <v>1608</v>
      </c>
      <c r="E993" s="86" t="s">
        <v>1664</v>
      </c>
      <c r="F993" s="86" t="s">
        <v>1610</v>
      </c>
      <c r="G993" s="86" t="s">
        <v>708</v>
      </c>
      <c r="H993" s="86" t="s">
        <v>1665</v>
      </c>
      <c r="I993" s="87" t="s">
        <v>2894</v>
      </c>
      <c r="J993" s="84" t="s">
        <v>554</v>
      </c>
      <c r="K993" s="84" t="s">
        <v>555</v>
      </c>
    </row>
    <row r="994" spans="1:11" ht="15.75" x14ac:dyDescent="0.3">
      <c r="A994" s="86" t="s">
        <v>2906</v>
      </c>
      <c r="B994" s="86" t="s">
        <v>2893</v>
      </c>
      <c r="C994" s="86" t="s">
        <v>292</v>
      </c>
      <c r="D994" s="86" t="s">
        <v>970</v>
      </c>
      <c r="E994" s="86" t="s">
        <v>971</v>
      </c>
      <c r="F994" s="86" t="s">
        <v>972</v>
      </c>
      <c r="G994" s="86" t="s">
        <v>708</v>
      </c>
      <c r="H994" s="86" t="s">
        <v>1149</v>
      </c>
      <c r="I994" s="87" t="s">
        <v>2894</v>
      </c>
      <c r="J994" s="84" t="s">
        <v>554</v>
      </c>
      <c r="K994" s="84" t="s">
        <v>555</v>
      </c>
    </row>
    <row r="995" spans="1:11" ht="15.75" x14ac:dyDescent="0.3">
      <c r="A995" s="86" t="s">
        <v>2907</v>
      </c>
      <c r="B995" s="86" t="s">
        <v>2893</v>
      </c>
      <c r="C995" s="86" t="s">
        <v>293</v>
      </c>
      <c r="D995" s="86" t="s">
        <v>955</v>
      </c>
      <c r="E995" s="86" t="s">
        <v>38</v>
      </c>
      <c r="F995" s="86" t="s">
        <v>40</v>
      </c>
      <c r="G995" s="86" t="s">
        <v>622</v>
      </c>
      <c r="H995" s="86" t="s">
        <v>956</v>
      </c>
      <c r="I995" s="87" t="s">
        <v>2894</v>
      </c>
      <c r="J995" s="84" t="s">
        <v>554</v>
      </c>
      <c r="K995" s="84" t="s">
        <v>555</v>
      </c>
    </row>
    <row r="996" spans="1:11" ht="15.75" x14ac:dyDescent="0.3">
      <c r="A996" s="86" t="s">
        <v>2908</v>
      </c>
      <c r="B996" s="86" t="s">
        <v>2893</v>
      </c>
      <c r="C996" s="86" t="s">
        <v>293</v>
      </c>
      <c r="D996" s="86" t="s">
        <v>1669</v>
      </c>
      <c r="E996" s="86" t="s">
        <v>1670</v>
      </c>
      <c r="F996" s="86" t="s">
        <v>1671</v>
      </c>
      <c r="G996" s="86" t="s">
        <v>622</v>
      </c>
      <c r="H996" s="86" t="s">
        <v>1672</v>
      </c>
      <c r="I996" s="87" t="s">
        <v>2894</v>
      </c>
      <c r="J996" s="84" t="s">
        <v>554</v>
      </c>
      <c r="K996" s="84" t="s">
        <v>555</v>
      </c>
    </row>
    <row r="997" spans="1:11" ht="15.75" x14ac:dyDescent="0.3">
      <c r="A997" s="86" t="s">
        <v>2909</v>
      </c>
      <c r="B997" s="86" t="s">
        <v>2893</v>
      </c>
      <c r="C997" s="86" t="s">
        <v>293</v>
      </c>
      <c r="D997" s="86" t="s">
        <v>621</v>
      </c>
      <c r="E997" s="86" t="s">
        <v>112</v>
      </c>
      <c r="F997" s="86" t="s">
        <v>114</v>
      </c>
      <c r="G997" s="86" t="s">
        <v>622</v>
      </c>
      <c r="H997" s="86" t="s">
        <v>1151</v>
      </c>
      <c r="I997" s="87" t="s">
        <v>2894</v>
      </c>
      <c r="J997" s="84" t="s">
        <v>554</v>
      </c>
      <c r="K997" s="84" t="s">
        <v>555</v>
      </c>
    </row>
    <row r="998" spans="1:11" ht="15.75" x14ac:dyDescent="0.3">
      <c r="A998" s="86" t="s">
        <v>2910</v>
      </c>
      <c r="B998" s="86" t="s">
        <v>2893</v>
      </c>
      <c r="C998" s="86" t="s">
        <v>293</v>
      </c>
      <c r="D998" s="86" t="s">
        <v>1153</v>
      </c>
      <c r="E998" s="86" t="s">
        <v>207</v>
      </c>
      <c r="F998" s="86" t="s">
        <v>209</v>
      </c>
      <c r="G998" s="86" t="s">
        <v>683</v>
      </c>
      <c r="H998" s="86" t="s">
        <v>1154</v>
      </c>
      <c r="I998" s="87" t="s">
        <v>2894</v>
      </c>
      <c r="J998" s="84" t="s">
        <v>554</v>
      </c>
      <c r="K998" s="84" t="s">
        <v>555</v>
      </c>
    </row>
    <row r="999" spans="1:11" ht="15.75" x14ac:dyDescent="0.3">
      <c r="A999" s="86" t="s">
        <v>2911</v>
      </c>
      <c r="B999" s="86" t="s">
        <v>2893</v>
      </c>
      <c r="C999" s="86" t="s">
        <v>293</v>
      </c>
      <c r="D999" s="86" t="s">
        <v>1156</v>
      </c>
      <c r="E999" s="86" t="s">
        <v>117</v>
      </c>
      <c r="F999" s="86" t="s">
        <v>119</v>
      </c>
      <c r="G999" s="86" t="s">
        <v>683</v>
      </c>
      <c r="H999" s="86" t="s">
        <v>1157</v>
      </c>
      <c r="I999" s="87" t="s">
        <v>2894</v>
      </c>
      <c r="J999" s="84" t="s">
        <v>554</v>
      </c>
      <c r="K999" s="84" t="s">
        <v>555</v>
      </c>
    </row>
    <row r="1000" spans="1:11" ht="15.75" x14ac:dyDescent="0.3">
      <c r="A1000" s="86" t="s">
        <v>2912</v>
      </c>
      <c r="B1000" s="86" t="s">
        <v>2893</v>
      </c>
      <c r="C1000" s="86" t="s">
        <v>293</v>
      </c>
      <c r="D1000" s="86" t="s">
        <v>1352</v>
      </c>
      <c r="E1000" s="86" t="s">
        <v>43</v>
      </c>
      <c r="F1000" s="86" t="s">
        <v>45</v>
      </c>
      <c r="G1000" s="86" t="s">
        <v>683</v>
      </c>
      <c r="H1000" s="86" t="s">
        <v>1353</v>
      </c>
      <c r="I1000" s="87" t="s">
        <v>2894</v>
      </c>
      <c r="J1000" s="84" t="s">
        <v>554</v>
      </c>
      <c r="K1000" s="84" t="s">
        <v>555</v>
      </c>
    </row>
    <row r="1001" spans="1:11" ht="15.75" x14ac:dyDescent="0.3">
      <c r="A1001" s="86" t="s">
        <v>2913</v>
      </c>
      <c r="B1001" s="86" t="s">
        <v>2893</v>
      </c>
      <c r="C1001" s="86" t="s">
        <v>293</v>
      </c>
      <c r="D1001" s="86" t="s">
        <v>1678</v>
      </c>
      <c r="E1001" s="86" t="s">
        <v>1679</v>
      </c>
      <c r="F1001" s="86" t="s">
        <v>1680</v>
      </c>
      <c r="G1001" s="86" t="s">
        <v>965</v>
      </c>
      <c r="H1001" s="86" t="s">
        <v>1681</v>
      </c>
      <c r="I1001" s="87" t="s">
        <v>2894</v>
      </c>
      <c r="J1001" s="84" t="s">
        <v>554</v>
      </c>
      <c r="K1001" s="84" t="s">
        <v>555</v>
      </c>
    </row>
    <row r="1002" spans="1:11" ht="15.75" x14ac:dyDescent="0.3">
      <c r="A1002" s="86" t="s">
        <v>2914</v>
      </c>
      <c r="B1002" s="86" t="s">
        <v>2893</v>
      </c>
      <c r="C1002" s="86" t="s">
        <v>293</v>
      </c>
      <c r="D1002" s="86" t="s">
        <v>962</v>
      </c>
      <c r="E1002" s="86" t="s">
        <v>963</v>
      </c>
      <c r="F1002" s="86" t="s">
        <v>964</v>
      </c>
      <c r="G1002" s="86" t="s">
        <v>965</v>
      </c>
      <c r="H1002" s="86" t="s">
        <v>966</v>
      </c>
      <c r="I1002" s="87" t="s">
        <v>2894</v>
      </c>
      <c r="J1002" s="84" t="s">
        <v>554</v>
      </c>
      <c r="K1002" s="84" t="s">
        <v>555</v>
      </c>
    </row>
    <row r="1003" spans="1:11" ht="15.75" x14ac:dyDescent="0.3">
      <c r="A1003" s="86" t="s">
        <v>2915</v>
      </c>
      <c r="B1003" s="86" t="s">
        <v>2893</v>
      </c>
      <c r="C1003" s="86" t="s">
        <v>292</v>
      </c>
      <c r="D1003" s="86" t="s">
        <v>1684</v>
      </c>
      <c r="E1003" s="86" t="s">
        <v>1685</v>
      </c>
      <c r="F1003" s="86" t="s">
        <v>1686</v>
      </c>
      <c r="G1003" s="86" t="s">
        <v>645</v>
      </c>
      <c r="H1003" s="86" t="s">
        <v>1687</v>
      </c>
      <c r="I1003" s="87" t="s">
        <v>2894</v>
      </c>
      <c r="J1003" s="84" t="s">
        <v>554</v>
      </c>
      <c r="K1003" s="84" t="s">
        <v>555</v>
      </c>
    </row>
    <row r="1004" spans="1:11" ht="15.75" x14ac:dyDescent="0.3">
      <c r="A1004" s="86" t="s">
        <v>2916</v>
      </c>
      <c r="B1004" s="86" t="s">
        <v>2893</v>
      </c>
      <c r="C1004" s="86" t="s">
        <v>292</v>
      </c>
      <c r="D1004" s="86" t="s">
        <v>1159</v>
      </c>
      <c r="E1004" s="86" t="s">
        <v>121</v>
      </c>
      <c r="F1004" s="86" t="s">
        <v>123</v>
      </c>
      <c r="G1004" s="86" t="s">
        <v>645</v>
      </c>
      <c r="H1004" s="86" t="s">
        <v>1160</v>
      </c>
      <c r="I1004" s="87" t="s">
        <v>2894</v>
      </c>
      <c r="J1004" s="84" t="s">
        <v>554</v>
      </c>
      <c r="K1004" s="84" t="s">
        <v>555</v>
      </c>
    </row>
    <row r="1005" spans="1:11" ht="15.75" x14ac:dyDescent="0.3">
      <c r="A1005" s="86" t="s">
        <v>2917</v>
      </c>
      <c r="B1005" s="86" t="s">
        <v>2893</v>
      </c>
      <c r="C1005" s="86" t="s">
        <v>293</v>
      </c>
      <c r="D1005" s="86" t="s">
        <v>644</v>
      </c>
      <c r="E1005" s="86" t="s">
        <v>180</v>
      </c>
      <c r="F1005" s="86" t="s">
        <v>182</v>
      </c>
      <c r="G1005" s="86" t="s">
        <v>645</v>
      </c>
      <c r="H1005" s="86" t="s">
        <v>1690</v>
      </c>
      <c r="I1005" s="87" t="s">
        <v>2894</v>
      </c>
      <c r="J1005" s="84" t="s">
        <v>554</v>
      </c>
      <c r="K1005" s="84" t="s">
        <v>555</v>
      </c>
    </row>
    <row r="1006" spans="1:11" ht="15.75" x14ac:dyDescent="0.3">
      <c r="A1006" s="86" t="s">
        <v>2918</v>
      </c>
      <c r="B1006" s="86" t="s">
        <v>2893</v>
      </c>
      <c r="C1006" s="86" t="s">
        <v>293</v>
      </c>
      <c r="D1006" s="86" t="s">
        <v>1359</v>
      </c>
      <c r="E1006" s="86" t="s">
        <v>1360</v>
      </c>
      <c r="F1006" s="86" t="s">
        <v>1361</v>
      </c>
      <c r="G1006" s="86" t="s">
        <v>645</v>
      </c>
      <c r="H1006" s="86" t="s">
        <v>1362</v>
      </c>
      <c r="I1006" s="87" t="s">
        <v>2894</v>
      </c>
      <c r="J1006" s="84" t="s">
        <v>554</v>
      </c>
      <c r="K1006" s="84" t="s">
        <v>555</v>
      </c>
    </row>
    <row r="1007" spans="1:11" ht="15.75" x14ac:dyDescent="0.3">
      <c r="A1007" s="86" t="s">
        <v>2919</v>
      </c>
      <c r="B1007" s="86" t="s">
        <v>2893</v>
      </c>
      <c r="C1007" s="86" t="s">
        <v>293</v>
      </c>
      <c r="D1007" s="86" t="s">
        <v>1162</v>
      </c>
      <c r="E1007" s="86" t="s">
        <v>1163</v>
      </c>
      <c r="F1007" s="86" t="s">
        <v>1164</v>
      </c>
      <c r="G1007" s="86" t="s">
        <v>579</v>
      </c>
      <c r="H1007" s="86" t="s">
        <v>1165</v>
      </c>
      <c r="I1007" s="87" t="s">
        <v>2894</v>
      </c>
      <c r="J1007" s="84" t="s">
        <v>554</v>
      </c>
      <c r="K1007" s="84" t="s">
        <v>555</v>
      </c>
    </row>
    <row r="1008" spans="1:11" ht="15.75" x14ac:dyDescent="0.3">
      <c r="A1008" s="86" t="s">
        <v>2920</v>
      </c>
      <c r="B1008" s="86" t="s">
        <v>2893</v>
      </c>
      <c r="C1008" s="86" t="s">
        <v>293</v>
      </c>
      <c r="D1008" s="86" t="s">
        <v>1017</v>
      </c>
      <c r="E1008" s="86" t="s">
        <v>259</v>
      </c>
      <c r="F1008" s="86" t="s">
        <v>261</v>
      </c>
      <c r="G1008" s="86" t="s">
        <v>579</v>
      </c>
      <c r="H1008" s="86" t="s">
        <v>1167</v>
      </c>
      <c r="I1008" s="87" t="s">
        <v>2894</v>
      </c>
      <c r="J1008" s="84" t="s">
        <v>554</v>
      </c>
      <c r="K1008" s="84" t="s">
        <v>555</v>
      </c>
    </row>
    <row r="1009" spans="1:11" ht="15.75" x14ac:dyDescent="0.3">
      <c r="A1009" s="86" t="s">
        <v>2921</v>
      </c>
      <c r="B1009" s="86" t="s">
        <v>2893</v>
      </c>
      <c r="C1009" s="86" t="s">
        <v>293</v>
      </c>
      <c r="D1009" s="86" t="s">
        <v>1169</v>
      </c>
      <c r="E1009" s="86" t="s">
        <v>1170</v>
      </c>
      <c r="F1009" s="86" t="s">
        <v>1171</v>
      </c>
      <c r="G1009" s="86" t="s">
        <v>579</v>
      </c>
      <c r="H1009" s="86" t="s">
        <v>1172</v>
      </c>
      <c r="I1009" s="87" t="s">
        <v>2894</v>
      </c>
      <c r="J1009" s="84" t="s">
        <v>554</v>
      </c>
      <c r="K1009" s="84" t="s">
        <v>555</v>
      </c>
    </row>
    <row r="1010" spans="1:11" ht="15.75" x14ac:dyDescent="0.3">
      <c r="A1010" s="86" t="s">
        <v>2922</v>
      </c>
      <c r="B1010" s="86" t="s">
        <v>2893</v>
      </c>
      <c r="C1010" s="86" t="s">
        <v>293</v>
      </c>
      <c r="D1010" s="86" t="s">
        <v>924</v>
      </c>
      <c r="E1010" s="86" t="s">
        <v>126</v>
      </c>
      <c r="F1010" s="86" t="s">
        <v>128</v>
      </c>
      <c r="G1010" s="86" t="s">
        <v>579</v>
      </c>
      <c r="H1010" s="86" t="s">
        <v>1696</v>
      </c>
      <c r="I1010" s="87" t="s">
        <v>2894</v>
      </c>
      <c r="J1010" s="84" t="s">
        <v>554</v>
      </c>
      <c r="K1010" s="84" t="s">
        <v>555</v>
      </c>
    </row>
    <row r="1011" spans="1:11" ht="15.75" x14ac:dyDescent="0.3">
      <c r="A1011" s="86" t="s">
        <v>2923</v>
      </c>
      <c r="B1011" s="86" t="s">
        <v>2893</v>
      </c>
      <c r="C1011" s="86" t="s">
        <v>293</v>
      </c>
      <c r="D1011" s="86" t="s">
        <v>980</v>
      </c>
      <c r="E1011" s="86" t="s">
        <v>224</v>
      </c>
      <c r="F1011" s="86" t="s">
        <v>226</v>
      </c>
      <c r="G1011" s="86" t="s">
        <v>652</v>
      </c>
      <c r="H1011" s="86" t="s">
        <v>981</v>
      </c>
      <c r="I1011" s="87" t="s">
        <v>2894</v>
      </c>
      <c r="J1011" s="84" t="s">
        <v>554</v>
      </c>
      <c r="K1011" s="84" t="s">
        <v>555</v>
      </c>
    </row>
    <row r="1012" spans="1:11" ht="15.75" x14ac:dyDescent="0.3">
      <c r="A1012" s="86" t="s">
        <v>2924</v>
      </c>
      <c r="B1012" s="86" t="s">
        <v>2893</v>
      </c>
      <c r="C1012" s="86" t="s">
        <v>292</v>
      </c>
      <c r="D1012" s="86" t="s">
        <v>865</v>
      </c>
      <c r="E1012" s="86" t="s">
        <v>1699</v>
      </c>
      <c r="F1012" s="86" t="s">
        <v>30</v>
      </c>
      <c r="G1012" s="86" t="s">
        <v>615</v>
      </c>
      <c r="H1012" s="86" t="s">
        <v>1700</v>
      </c>
      <c r="I1012" s="87" t="s">
        <v>2894</v>
      </c>
      <c r="J1012" s="84" t="s">
        <v>554</v>
      </c>
      <c r="K1012" s="84" t="s">
        <v>555</v>
      </c>
    </row>
    <row r="1013" spans="1:11" ht="15.75" x14ac:dyDescent="0.3">
      <c r="A1013" s="86" t="s">
        <v>2925</v>
      </c>
      <c r="B1013" s="86" t="s">
        <v>2893</v>
      </c>
      <c r="C1013" s="86" t="s">
        <v>292</v>
      </c>
      <c r="D1013" s="86" t="s">
        <v>612</v>
      </c>
      <c r="E1013" s="86" t="s">
        <v>613</v>
      </c>
      <c r="F1013" s="86" t="s">
        <v>614</v>
      </c>
      <c r="G1013" s="86" t="s">
        <v>615</v>
      </c>
      <c r="H1013" s="86" t="s">
        <v>1702</v>
      </c>
      <c r="I1013" s="87" t="s">
        <v>2894</v>
      </c>
      <c r="J1013" s="84" t="s">
        <v>554</v>
      </c>
      <c r="K1013" s="84" t="s">
        <v>555</v>
      </c>
    </row>
    <row r="1014" spans="1:11" ht="15.75" x14ac:dyDescent="0.3">
      <c r="A1014" s="86" t="s">
        <v>2926</v>
      </c>
      <c r="B1014" s="86" t="s">
        <v>2893</v>
      </c>
      <c r="C1014" s="86" t="s">
        <v>293</v>
      </c>
      <c r="D1014" s="86" t="s">
        <v>1021</v>
      </c>
      <c r="E1014" s="86" t="s">
        <v>263</v>
      </c>
      <c r="F1014" s="86" t="s">
        <v>265</v>
      </c>
      <c r="G1014" s="86" t="s">
        <v>584</v>
      </c>
      <c r="H1014" s="86" t="s">
        <v>1179</v>
      </c>
      <c r="I1014" s="87" t="s">
        <v>2894</v>
      </c>
      <c r="J1014" s="84" t="s">
        <v>554</v>
      </c>
      <c r="K1014" s="84" t="s">
        <v>555</v>
      </c>
    </row>
    <row r="1015" spans="1:11" ht="15.75" x14ac:dyDescent="0.3">
      <c r="A1015" s="86" t="s">
        <v>2927</v>
      </c>
      <c r="B1015" s="86" t="s">
        <v>2893</v>
      </c>
      <c r="C1015" s="86" t="s">
        <v>292</v>
      </c>
      <c r="D1015" s="86" t="s">
        <v>869</v>
      </c>
      <c r="E1015" s="86" t="s">
        <v>57</v>
      </c>
      <c r="F1015" s="86" t="s">
        <v>59</v>
      </c>
      <c r="G1015" s="86" t="s">
        <v>584</v>
      </c>
      <c r="H1015" s="86" t="s">
        <v>1705</v>
      </c>
      <c r="I1015" s="87" t="s">
        <v>2894</v>
      </c>
      <c r="J1015" s="84" t="s">
        <v>554</v>
      </c>
      <c r="K1015" s="84" t="s">
        <v>555</v>
      </c>
    </row>
    <row r="1016" spans="1:11" ht="15.75" x14ac:dyDescent="0.3">
      <c r="A1016" s="86" t="s">
        <v>2928</v>
      </c>
      <c r="B1016" s="86" t="s">
        <v>2893</v>
      </c>
      <c r="C1016" s="86" t="s">
        <v>292</v>
      </c>
      <c r="D1016" s="86" t="s">
        <v>583</v>
      </c>
      <c r="E1016" s="86" t="s">
        <v>53</v>
      </c>
      <c r="F1016" s="86" t="s">
        <v>55</v>
      </c>
      <c r="G1016" s="86" t="s">
        <v>661</v>
      </c>
      <c r="H1016" s="86" t="s">
        <v>662</v>
      </c>
      <c r="I1016" s="87" t="s">
        <v>2894</v>
      </c>
      <c r="J1016" s="84" t="s">
        <v>554</v>
      </c>
      <c r="K1016" s="84" t="s">
        <v>555</v>
      </c>
    </row>
    <row r="1017" spans="1:11" ht="15.75" x14ac:dyDescent="0.3">
      <c r="A1017" s="86" t="s">
        <v>2929</v>
      </c>
      <c r="B1017" s="86" t="s">
        <v>2893</v>
      </c>
      <c r="C1017" s="86" t="s">
        <v>292</v>
      </c>
      <c r="D1017" s="86" t="s">
        <v>872</v>
      </c>
      <c r="E1017" s="86" t="s">
        <v>196</v>
      </c>
      <c r="F1017" s="86" t="s">
        <v>198</v>
      </c>
      <c r="G1017" s="86" t="s">
        <v>661</v>
      </c>
      <c r="H1017" s="86" t="s">
        <v>1708</v>
      </c>
      <c r="I1017" s="87" t="s">
        <v>2894</v>
      </c>
      <c r="J1017" s="84" t="s">
        <v>554</v>
      </c>
      <c r="K1017" s="84" t="s">
        <v>555</v>
      </c>
    </row>
    <row r="1018" spans="1:11" ht="15.75" x14ac:dyDescent="0.3">
      <c r="A1018" s="86" t="s">
        <v>2930</v>
      </c>
      <c r="B1018" s="86" t="s">
        <v>2893</v>
      </c>
      <c r="C1018" s="86" t="s">
        <v>292</v>
      </c>
      <c r="D1018" s="86" t="s">
        <v>947</v>
      </c>
      <c r="E1018" s="86" t="s">
        <v>131</v>
      </c>
      <c r="F1018" s="86" t="s">
        <v>133</v>
      </c>
      <c r="G1018" s="86" t="s">
        <v>740</v>
      </c>
      <c r="H1018" s="86" t="s">
        <v>1710</v>
      </c>
      <c r="I1018" s="87" t="s">
        <v>2894</v>
      </c>
      <c r="J1018" s="84" t="s">
        <v>554</v>
      </c>
      <c r="K1018" s="84" t="s">
        <v>555</v>
      </c>
    </row>
    <row r="1019" spans="1:11" ht="15.75" x14ac:dyDescent="0.3">
      <c r="A1019" s="86" t="s">
        <v>2931</v>
      </c>
      <c r="B1019" s="86" t="s">
        <v>2893</v>
      </c>
      <c r="C1019" s="86" t="s">
        <v>292</v>
      </c>
      <c r="D1019" s="86" t="s">
        <v>1712</v>
      </c>
      <c r="E1019" s="86" t="s">
        <v>1713</v>
      </c>
      <c r="F1019" s="86" t="s">
        <v>1714</v>
      </c>
      <c r="G1019" s="86" t="s">
        <v>740</v>
      </c>
      <c r="H1019" s="86" t="s">
        <v>1715</v>
      </c>
      <c r="I1019" s="87" t="s">
        <v>2894</v>
      </c>
      <c r="J1019" s="84" t="s">
        <v>554</v>
      </c>
      <c r="K1019" s="84" t="s">
        <v>555</v>
      </c>
    </row>
    <row r="1020" spans="1:11" ht="15.75" x14ac:dyDescent="0.3">
      <c r="A1020" s="86" t="s">
        <v>2932</v>
      </c>
      <c r="B1020" s="86" t="s">
        <v>2893</v>
      </c>
      <c r="C1020" s="86" t="s">
        <v>293</v>
      </c>
      <c r="D1020" s="86" t="s">
        <v>1717</v>
      </c>
      <c r="E1020" s="86" t="s">
        <v>67</v>
      </c>
      <c r="F1020" s="86" t="s">
        <v>69</v>
      </c>
      <c r="G1020" s="86" t="s">
        <v>691</v>
      </c>
      <c r="H1020" s="86" t="s">
        <v>1718</v>
      </c>
      <c r="I1020" s="87" t="s">
        <v>2894</v>
      </c>
      <c r="J1020" s="84" t="s">
        <v>554</v>
      </c>
      <c r="K1020" s="84" t="s">
        <v>555</v>
      </c>
    </row>
    <row r="1021" spans="1:11" ht="15.75" x14ac:dyDescent="0.3">
      <c r="A1021" s="86" t="s">
        <v>2933</v>
      </c>
      <c r="B1021" s="86" t="s">
        <v>2893</v>
      </c>
      <c r="C1021" s="86" t="s">
        <v>293</v>
      </c>
      <c r="D1021" s="86" t="s">
        <v>1720</v>
      </c>
      <c r="E1021" s="86" t="s">
        <v>1721</v>
      </c>
      <c r="F1021" s="86" t="s">
        <v>1722</v>
      </c>
      <c r="G1021" s="86" t="s">
        <v>851</v>
      </c>
      <c r="H1021" s="86" t="s">
        <v>1723</v>
      </c>
      <c r="I1021" s="87" t="s">
        <v>2894</v>
      </c>
      <c r="J1021" s="84" t="s">
        <v>554</v>
      </c>
      <c r="K1021" s="84" t="s">
        <v>555</v>
      </c>
    </row>
    <row r="1022" spans="1:11" ht="15.75" x14ac:dyDescent="0.3">
      <c r="A1022" s="86" t="s">
        <v>2934</v>
      </c>
      <c r="B1022" s="86" t="s">
        <v>2893</v>
      </c>
      <c r="C1022" s="86" t="s">
        <v>293</v>
      </c>
      <c r="D1022" s="86" t="s">
        <v>838</v>
      </c>
      <c r="E1022" s="86" t="s">
        <v>1382</v>
      </c>
      <c r="F1022" s="86" t="s">
        <v>840</v>
      </c>
      <c r="G1022" s="86" t="s">
        <v>851</v>
      </c>
      <c r="H1022" s="86" t="s">
        <v>1725</v>
      </c>
      <c r="I1022" s="87" t="s">
        <v>2894</v>
      </c>
      <c r="J1022" s="84" t="s">
        <v>554</v>
      </c>
      <c r="K1022" s="84" t="s">
        <v>555</v>
      </c>
    </row>
    <row r="1023" spans="1:11" ht="15.75" x14ac:dyDescent="0.3">
      <c r="A1023" s="86" t="s">
        <v>2935</v>
      </c>
      <c r="B1023" s="86" t="s">
        <v>2893</v>
      </c>
      <c r="C1023" s="86" t="s">
        <v>292</v>
      </c>
      <c r="D1023" s="86" t="s">
        <v>905</v>
      </c>
      <c r="E1023" s="86" t="s">
        <v>139</v>
      </c>
      <c r="F1023" s="86" t="s">
        <v>141</v>
      </c>
      <c r="G1023" s="86" t="s">
        <v>851</v>
      </c>
      <c r="H1023" s="86" t="s">
        <v>1184</v>
      </c>
      <c r="I1023" s="87" t="s">
        <v>2894</v>
      </c>
      <c r="J1023" s="84" t="s">
        <v>554</v>
      </c>
      <c r="K1023" s="84" t="s">
        <v>555</v>
      </c>
    </row>
    <row r="1024" spans="1:11" ht="15.75" x14ac:dyDescent="0.3">
      <c r="A1024" s="86" t="s">
        <v>2936</v>
      </c>
      <c r="B1024" s="86" t="s">
        <v>2893</v>
      </c>
      <c r="C1024" s="86" t="s">
        <v>293</v>
      </c>
      <c r="D1024" s="86" t="s">
        <v>834</v>
      </c>
      <c r="E1024" s="86" t="s">
        <v>929</v>
      </c>
      <c r="F1024" s="86" t="s">
        <v>187</v>
      </c>
      <c r="G1024" s="86" t="s">
        <v>588</v>
      </c>
      <c r="H1024" s="86" t="s">
        <v>930</v>
      </c>
      <c r="I1024" s="87" t="s">
        <v>2894</v>
      </c>
      <c r="J1024" s="84" t="s">
        <v>554</v>
      </c>
      <c r="K1024" s="84" t="s">
        <v>555</v>
      </c>
    </row>
    <row r="1025" spans="1:11" ht="15.75" x14ac:dyDescent="0.3">
      <c r="A1025" s="86" t="s">
        <v>2937</v>
      </c>
      <c r="B1025" s="86" t="s">
        <v>2893</v>
      </c>
      <c r="C1025" s="86" t="s">
        <v>292</v>
      </c>
      <c r="D1025" s="86" t="s">
        <v>1729</v>
      </c>
      <c r="E1025" s="86" t="s">
        <v>144</v>
      </c>
      <c r="F1025" s="86" t="s">
        <v>146</v>
      </c>
      <c r="G1025" s="86" t="s">
        <v>588</v>
      </c>
      <c r="H1025" s="86" t="s">
        <v>1730</v>
      </c>
      <c r="I1025" s="87" t="s">
        <v>2894</v>
      </c>
      <c r="J1025" s="84" t="s">
        <v>554</v>
      </c>
      <c r="K1025" s="84" t="s">
        <v>555</v>
      </c>
    </row>
    <row r="1026" spans="1:11" ht="15.75" x14ac:dyDescent="0.3">
      <c r="A1026" s="86" t="s">
        <v>2938</v>
      </c>
      <c r="B1026" s="86" t="s">
        <v>2893</v>
      </c>
      <c r="C1026" s="86" t="s">
        <v>293</v>
      </c>
      <c r="D1026" s="86" t="s">
        <v>1732</v>
      </c>
      <c r="E1026" s="86" t="s">
        <v>1733</v>
      </c>
      <c r="F1026" s="86" t="s">
        <v>1734</v>
      </c>
      <c r="G1026" s="86" t="s">
        <v>594</v>
      </c>
      <c r="H1026" s="86" t="s">
        <v>1735</v>
      </c>
      <c r="I1026" s="87" t="s">
        <v>2894</v>
      </c>
      <c r="J1026" s="84" t="s">
        <v>554</v>
      </c>
      <c r="K1026" s="84" t="s">
        <v>555</v>
      </c>
    </row>
    <row r="1027" spans="1:11" ht="15.75" x14ac:dyDescent="0.3">
      <c r="A1027" s="86" t="s">
        <v>2939</v>
      </c>
      <c r="B1027" s="86" t="s">
        <v>2893</v>
      </c>
      <c r="C1027" s="86" t="s">
        <v>292</v>
      </c>
      <c r="D1027" s="86" t="s">
        <v>695</v>
      </c>
      <c r="E1027" s="86" t="s">
        <v>696</v>
      </c>
      <c r="F1027" s="86" t="s">
        <v>697</v>
      </c>
      <c r="G1027" s="86" t="s">
        <v>594</v>
      </c>
      <c r="H1027" s="86" t="s">
        <v>1737</v>
      </c>
      <c r="I1027" s="87" t="s">
        <v>2894</v>
      </c>
      <c r="J1027" s="84" t="s">
        <v>554</v>
      </c>
      <c r="K1027" s="84" t="s">
        <v>555</v>
      </c>
    </row>
    <row r="1028" spans="1:11" ht="15.75" x14ac:dyDescent="0.3">
      <c r="A1028" s="86" t="s">
        <v>2940</v>
      </c>
      <c r="B1028" s="86" t="s">
        <v>2893</v>
      </c>
      <c r="C1028" s="86" t="s">
        <v>293</v>
      </c>
      <c r="D1028" s="86" t="s">
        <v>1739</v>
      </c>
      <c r="E1028" s="86" t="s">
        <v>148</v>
      </c>
      <c r="F1028" s="86" t="s">
        <v>150</v>
      </c>
      <c r="G1028" s="86" t="s">
        <v>594</v>
      </c>
      <c r="H1028" s="86" t="s">
        <v>1740</v>
      </c>
      <c r="I1028" s="87" t="s">
        <v>2894</v>
      </c>
      <c r="J1028" s="84" t="s">
        <v>554</v>
      </c>
      <c r="K1028" s="84" t="s">
        <v>555</v>
      </c>
    </row>
    <row r="1029" spans="1:11" ht="15.75" x14ac:dyDescent="0.3">
      <c r="A1029" s="86" t="s">
        <v>2941</v>
      </c>
      <c r="B1029" s="86" t="s">
        <v>2893</v>
      </c>
      <c r="C1029" s="86" t="s">
        <v>292</v>
      </c>
      <c r="D1029" s="86" t="s">
        <v>687</v>
      </c>
      <c r="E1029" s="86" t="s">
        <v>152</v>
      </c>
      <c r="F1029" s="86" t="s">
        <v>154</v>
      </c>
      <c r="G1029" s="86" t="s">
        <v>594</v>
      </c>
      <c r="H1029" s="86" t="s">
        <v>1539</v>
      </c>
      <c r="I1029" s="87" t="s">
        <v>2894</v>
      </c>
      <c r="J1029" s="84" t="s">
        <v>554</v>
      </c>
      <c r="K1029" s="84" t="s">
        <v>555</v>
      </c>
    </row>
    <row r="1030" spans="1:11" ht="15.75" x14ac:dyDescent="0.3">
      <c r="A1030" s="86" t="s">
        <v>2942</v>
      </c>
      <c r="B1030" s="86" t="s">
        <v>2893</v>
      </c>
      <c r="C1030" s="86" t="s">
        <v>293</v>
      </c>
      <c r="D1030" s="86" t="s">
        <v>1743</v>
      </c>
      <c r="E1030" s="86" t="s">
        <v>1744</v>
      </c>
      <c r="F1030" s="86" t="s">
        <v>1745</v>
      </c>
      <c r="G1030" s="86" t="s">
        <v>1746</v>
      </c>
      <c r="H1030" s="86" t="s">
        <v>1747</v>
      </c>
      <c r="I1030" s="87" t="s">
        <v>2894</v>
      </c>
      <c r="J1030" s="84" t="s">
        <v>554</v>
      </c>
      <c r="K1030" s="84" t="s">
        <v>555</v>
      </c>
    </row>
    <row r="1031" spans="1:11" ht="15.75" x14ac:dyDescent="0.3">
      <c r="A1031" s="86" t="s">
        <v>2943</v>
      </c>
      <c r="B1031" s="86" t="s">
        <v>2893</v>
      </c>
      <c r="C1031" s="86" t="s">
        <v>293</v>
      </c>
      <c r="D1031" s="86" t="s">
        <v>1385</v>
      </c>
      <c r="E1031" s="86" t="s">
        <v>89</v>
      </c>
      <c r="F1031" s="86" t="s">
        <v>91</v>
      </c>
      <c r="G1031" s="86" t="s">
        <v>667</v>
      </c>
      <c r="H1031" s="86" t="s">
        <v>1386</v>
      </c>
      <c r="I1031" s="87" t="s">
        <v>2894</v>
      </c>
      <c r="J1031" s="84" t="s">
        <v>554</v>
      </c>
      <c r="K1031" s="84" t="s">
        <v>555</v>
      </c>
    </row>
    <row r="1032" spans="1:11" ht="15.75" x14ac:dyDescent="0.3">
      <c r="A1032" s="86" t="s">
        <v>2944</v>
      </c>
      <c r="B1032" s="86" t="s">
        <v>2893</v>
      </c>
      <c r="C1032" s="86" t="s">
        <v>292</v>
      </c>
      <c r="D1032" s="86" t="s">
        <v>875</v>
      </c>
      <c r="E1032" s="86" t="s">
        <v>200</v>
      </c>
      <c r="F1032" s="86" t="s">
        <v>202</v>
      </c>
      <c r="G1032" s="86" t="s">
        <v>630</v>
      </c>
      <c r="H1032" s="86" t="s">
        <v>1750</v>
      </c>
      <c r="I1032" s="87" t="s">
        <v>2894</v>
      </c>
      <c r="J1032" s="84" t="s">
        <v>554</v>
      </c>
      <c r="K1032" s="84" t="s">
        <v>555</v>
      </c>
    </row>
    <row r="1033" spans="1:11" ht="15.75" x14ac:dyDescent="0.3">
      <c r="A1033" s="86" t="s">
        <v>2945</v>
      </c>
      <c r="B1033" s="86" t="s">
        <v>2893</v>
      </c>
      <c r="C1033" s="86" t="s">
        <v>292</v>
      </c>
      <c r="D1033" s="86" t="s">
        <v>1011</v>
      </c>
      <c r="E1033" s="86" t="s">
        <v>1012</v>
      </c>
      <c r="F1033" s="86" t="s">
        <v>1013</v>
      </c>
      <c r="G1033" s="86" t="s">
        <v>745</v>
      </c>
      <c r="H1033" s="86" t="s">
        <v>1014</v>
      </c>
      <c r="I1033" s="87" t="s">
        <v>2894</v>
      </c>
      <c r="J1033" s="84" t="s">
        <v>554</v>
      </c>
      <c r="K1033" s="84" t="s">
        <v>555</v>
      </c>
    </row>
    <row r="1034" spans="1:11" ht="15.75" x14ac:dyDescent="0.3">
      <c r="A1034" s="86" t="s">
        <v>2946</v>
      </c>
      <c r="B1034" s="86" t="s">
        <v>2893</v>
      </c>
      <c r="C1034" s="86" t="s">
        <v>293</v>
      </c>
      <c r="D1034" s="86" t="s">
        <v>951</v>
      </c>
      <c r="E1034" s="86" t="s">
        <v>267</v>
      </c>
      <c r="F1034" s="86" t="s">
        <v>269</v>
      </c>
      <c r="G1034" s="86" t="s">
        <v>745</v>
      </c>
      <c r="H1034" s="86" t="s">
        <v>952</v>
      </c>
      <c r="I1034" s="87" t="s">
        <v>2894</v>
      </c>
      <c r="J1034" s="84" t="s">
        <v>554</v>
      </c>
      <c r="K1034" s="84" t="s">
        <v>555</v>
      </c>
    </row>
    <row r="1035" spans="1:11" ht="15.75" x14ac:dyDescent="0.3">
      <c r="A1035" s="86" t="s">
        <v>2947</v>
      </c>
      <c r="B1035" s="86" t="s">
        <v>2893</v>
      </c>
      <c r="C1035" s="86" t="s">
        <v>292</v>
      </c>
      <c r="D1035" s="86" t="s">
        <v>1189</v>
      </c>
      <c r="E1035" s="86" t="s">
        <v>156</v>
      </c>
      <c r="F1035" s="86" t="s">
        <v>158</v>
      </c>
      <c r="G1035" s="86" t="s">
        <v>745</v>
      </c>
      <c r="H1035" s="86" t="s">
        <v>1190</v>
      </c>
      <c r="I1035" s="87" t="s">
        <v>2894</v>
      </c>
      <c r="J1035" s="84" t="s">
        <v>554</v>
      </c>
      <c r="K1035" s="84" t="s">
        <v>555</v>
      </c>
    </row>
    <row r="1036" spans="1:11" ht="15.75" x14ac:dyDescent="0.3">
      <c r="A1036" s="86" t="s">
        <v>2948</v>
      </c>
      <c r="B1036" s="86" t="s">
        <v>2893</v>
      </c>
      <c r="C1036" s="86" t="s">
        <v>293</v>
      </c>
      <c r="D1036" s="86" t="s">
        <v>1755</v>
      </c>
      <c r="E1036" s="86" t="s">
        <v>1756</v>
      </c>
      <c r="F1036" s="86" t="s">
        <v>1757</v>
      </c>
      <c r="G1036" s="86" t="s">
        <v>754</v>
      </c>
      <c r="H1036" s="86" t="s">
        <v>1758</v>
      </c>
      <c r="I1036" s="87" t="s">
        <v>2894</v>
      </c>
      <c r="J1036" s="84" t="s">
        <v>554</v>
      </c>
      <c r="K1036" s="84" t="s">
        <v>555</v>
      </c>
    </row>
    <row r="1037" spans="1:11" ht="15.75" x14ac:dyDescent="0.3">
      <c r="A1037" s="86" t="s">
        <v>2949</v>
      </c>
      <c r="B1037" s="86" t="s">
        <v>2893</v>
      </c>
      <c r="C1037" s="86" t="s">
        <v>293</v>
      </c>
      <c r="D1037" s="86" t="s">
        <v>672</v>
      </c>
      <c r="E1037" s="86" t="s">
        <v>673</v>
      </c>
      <c r="F1037" s="86" t="s">
        <v>674</v>
      </c>
      <c r="G1037" s="86" t="s">
        <v>675</v>
      </c>
      <c r="H1037" s="86" t="s">
        <v>1228</v>
      </c>
      <c r="I1037" s="87" t="s">
        <v>2894</v>
      </c>
      <c r="J1037" s="84" t="s">
        <v>554</v>
      </c>
      <c r="K1037" s="84" t="s">
        <v>555</v>
      </c>
    </row>
    <row r="1038" spans="1:11" ht="15.75" x14ac:dyDescent="0.3">
      <c r="A1038" s="86" t="s">
        <v>2950</v>
      </c>
      <c r="B1038" s="86" t="s">
        <v>2893</v>
      </c>
      <c r="C1038" s="86" t="s">
        <v>292</v>
      </c>
      <c r="D1038" s="86" t="s">
        <v>940</v>
      </c>
      <c r="E1038" s="86" t="s">
        <v>161</v>
      </c>
      <c r="F1038" s="86" t="s">
        <v>163</v>
      </c>
      <c r="G1038" s="86" t="s">
        <v>675</v>
      </c>
      <c r="H1038" s="86" t="s">
        <v>941</v>
      </c>
      <c r="I1038" s="87" t="s">
        <v>2894</v>
      </c>
      <c r="J1038" s="84" t="s">
        <v>554</v>
      </c>
      <c r="K1038" s="84" t="s">
        <v>555</v>
      </c>
    </row>
    <row r="1039" spans="1:11" ht="15.75" x14ac:dyDescent="0.3">
      <c r="A1039" s="86" t="s">
        <v>2951</v>
      </c>
      <c r="B1039" s="86" t="s">
        <v>2893</v>
      </c>
      <c r="C1039" s="86" t="s">
        <v>293</v>
      </c>
      <c r="D1039" s="86" t="s">
        <v>1121</v>
      </c>
      <c r="E1039" s="86" t="s">
        <v>1122</v>
      </c>
      <c r="F1039" s="86" t="s">
        <v>1123</v>
      </c>
      <c r="G1039" s="86" t="s">
        <v>675</v>
      </c>
      <c r="H1039" s="86" t="s">
        <v>1124</v>
      </c>
      <c r="I1039" s="87" t="s">
        <v>2894</v>
      </c>
      <c r="J1039" s="84" t="s">
        <v>554</v>
      </c>
      <c r="K1039" s="84" t="s">
        <v>555</v>
      </c>
    </row>
    <row r="1040" spans="1:11" ht="15.75" x14ac:dyDescent="0.3">
      <c r="A1040" s="86" t="s">
        <v>2952</v>
      </c>
      <c r="B1040" s="86" t="s">
        <v>2893</v>
      </c>
      <c r="C1040" s="86" t="s">
        <v>293</v>
      </c>
      <c r="D1040" s="86" t="s">
        <v>1195</v>
      </c>
      <c r="E1040" s="86" t="s">
        <v>272</v>
      </c>
      <c r="F1040" s="86" t="s">
        <v>274</v>
      </c>
      <c r="G1040" s="86" t="s">
        <v>675</v>
      </c>
      <c r="H1040" s="86" t="s">
        <v>1196</v>
      </c>
      <c r="I1040" s="87" t="s">
        <v>2894</v>
      </c>
      <c r="J1040" s="84" t="s">
        <v>554</v>
      </c>
      <c r="K1040" s="84" t="s">
        <v>555</v>
      </c>
    </row>
    <row r="1041" spans="1:11" ht="15.75" x14ac:dyDescent="0.3">
      <c r="A1041" s="86" t="s">
        <v>2953</v>
      </c>
      <c r="B1041" s="86" t="s">
        <v>2893</v>
      </c>
      <c r="C1041" s="86" t="s">
        <v>292</v>
      </c>
      <c r="D1041" s="86" t="s">
        <v>1040</v>
      </c>
      <c r="E1041" s="86" t="s">
        <v>248</v>
      </c>
      <c r="F1041" s="86" t="s">
        <v>250</v>
      </c>
      <c r="G1041" s="86" t="s">
        <v>807</v>
      </c>
      <c r="H1041" s="86" t="s">
        <v>1763</v>
      </c>
      <c r="I1041" s="87" t="s">
        <v>2894</v>
      </c>
      <c r="J1041" s="84" t="s">
        <v>554</v>
      </c>
      <c r="K1041" s="84" t="s">
        <v>555</v>
      </c>
    </row>
    <row r="1042" spans="1:11" ht="15.75" x14ac:dyDescent="0.3">
      <c r="A1042" s="86" t="s">
        <v>2954</v>
      </c>
      <c r="B1042" s="86" t="s">
        <v>2893</v>
      </c>
      <c r="C1042" s="86" t="s">
        <v>293</v>
      </c>
      <c r="D1042" s="86" t="s">
        <v>985</v>
      </c>
      <c r="E1042" s="86" t="s">
        <v>106</v>
      </c>
      <c r="F1042" s="86" t="s">
        <v>108</v>
      </c>
      <c r="G1042" s="86" t="s">
        <v>807</v>
      </c>
      <c r="H1042" s="86" t="s">
        <v>986</v>
      </c>
      <c r="I1042" s="87" t="s">
        <v>2894</v>
      </c>
      <c r="J1042" s="84" t="s">
        <v>554</v>
      </c>
      <c r="K1042" s="84" t="s">
        <v>555</v>
      </c>
    </row>
    <row r="1043" spans="1:11" ht="15.75" x14ac:dyDescent="0.3">
      <c r="A1043" s="86" t="s">
        <v>2955</v>
      </c>
      <c r="B1043" s="86" t="s">
        <v>2893</v>
      </c>
      <c r="C1043" s="86" t="s">
        <v>293</v>
      </c>
      <c r="D1043" s="86" t="s">
        <v>1388</v>
      </c>
      <c r="E1043" s="86" t="s">
        <v>101</v>
      </c>
      <c r="F1043" s="86" t="s">
        <v>103</v>
      </c>
      <c r="G1043" s="86" t="s">
        <v>807</v>
      </c>
      <c r="H1043" s="86" t="s">
        <v>1766</v>
      </c>
      <c r="I1043" s="87" t="s">
        <v>2894</v>
      </c>
      <c r="J1043" s="84" t="s">
        <v>554</v>
      </c>
      <c r="K1043" s="84" t="s">
        <v>555</v>
      </c>
    </row>
    <row r="1044" spans="1:11" ht="15.75" x14ac:dyDescent="0.3">
      <c r="A1044" s="86" t="s">
        <v>2956</v>
      </c>
      <c r="B1044" s="86" t="s">
        <v>2893</v>
      </c>
      <c r="C1044" s="86" t="s">
        <v>292</v>
      </c>
      <c r="D1044" s="86" t="s">
        <v>883</v>
      </c>
      <c r="E1044" s="86" t="s">
        <v>75</v>
      </c>
      <c r="F1044" s="86" t="s">
        <v>77</v>
      </c>
      <c r="G1044" s="86" t="s">
        <v>807</v>
      </c>
      <c r="H1044" s="86" t="s">
        <v>959</v>
      </c>
      <c r="I1044" s="87" t="s">
        <v>2894</v>
      </c>
      <c r="J1044" s="84" t="s">
        <v>554</v>
      </c>
      <c r="K1044" s="84" t="s">
        <v>555</v>
      </c>
    </row>
    <row r="1045" spans="1:11" ht="15.75" x14ac:dyDescent="0.3">
      <c r="A1045" s="86" t="s">
        <v>2957</v>
      </c>
      <c r="B1045" s="86" t="s">
        <v>2893</v>
      </c>
      <c r="C1045" s="86" t="s">
        <v>293</v>
      </c>
      <c r="D1045" s="86" t="s">
        <v>768</v>
      </c>
      <c r="E1045" s="86" t="s">
        <v>769</v>
      </c>
      <c r="F1045" s="86" t="s">
        <v>770</v>
      </c>
      <c r="G1045" s="86" t="s">
        <v>990</v>
      </c>
      <c r="H1045" s="86" t="s">
        <v>1769</v>
      </c>
      <c r="I1045" s="87" t="s">
        <v>2894</v>
      </c>
      <c r="J1045" s="84" t="s">
        <v>554</v>
      </c>
      <c r="K1045" s="84" t="s">
        <v>555</v>
      </c>
    </row>
    <row r="1046" spans="1:11" ht="15.75" x14ac:dyDescent="0.3">
      <c r="A1046" s="86" t="s">
        <v>2958</v>
      </c>
      <c r="B1046" s="86" t="s">
        <v>2893</v>
      </c>
      <c r="C1046" s="86" t="s">
        <v>292</v>
      </c>
      <c r="D1046" s="86" t="s">
        <v>989</v>
      </c>
      <c r="E1046" s="86" t="s">
        <v>252</v>
      </c>
      <c r="F1046" s="86" t="s">
        <v>254</v>
      </c>
      <c r="G1046" s="86" t="s">
        <v>990</v>
      </c>
      <c r="H1046" s="86" t="s">
        <v>991</v>
      </c>
      <c r="I1046" s="87" t="s">
        <v>2894</v>
      </c>
      <c r="J1046" s="84" t="s">
        <v>554</v>
      </c>
      <c r="K1046" s="84" t="s">
        <v>555</v>
      </c>
    </row>
    <row r="1047" spans="1:11" ht="15.75" x14ac:dyDescent="0.3">
      <c r="A1047" s="86" t="s">
        <v>2959</v>
      </c>
      <c r="B1047" s="86" t="s">
        <v>2893</v>
      </c>
      <c r="C1047" s="86" t="s">
        <v>292</v>
      </c>
      <c r="D1047" s="86" t="s">
        <v>1772</v>
      </c>
      <c r="E1047" s="86" t="s">
        <v>1773</v>
      </c>
      <c r="F1047" s="86" t="s">
        <v>1774</v>
      </c>
      <c r="G1047" s="86" t="s">
        <v>551</v>
      </c>
      <c r="H1047" s="86" t="s">
        <v>1775</v>
      </c>
      <c r="I1047" s="87" t="s">
        <v>731</v>
      </c>
      <c r="J1047" s="84" t="s">
        <v>554</v>
      </c>
      <c r="K1047" s="84" t="s">
        <v>555</v>
      </c>
    </row>
    <row r="1048" spans="1:11" ht="15.75" x14ac:dyDescent="0.3">
      <c r="A1048" s="86" t="s">
        <v>2960</v>
      </c>
      <c r="B1048" s="86" t="s">
        <v>2893</v>
      </c>
      <c r="C1048" s="86" t="s">
        <v>292</v>
      </c>
      <c r="D1048" s="86" t="s">
        <v>1772</v>
      </c>
      <c r="E1048" s="86" t="s">
        <v>1773</v>
      </c>
      <c r="F1048" s="86" t="s">
        <v>1774</v>
      </c>
      <c r="G1048" s="86" t="s">
        <v>551</v>
      </c>
      <c r="H1048" s="86" t="s">
        <v>1777</v>
      </c>
      <c r="I1048" s="87" t="s">
        <v>2894</v>
      </c>
      <c r="J1048" s="84" t="s">
        <v>554</v>
      </c>
      <c r="K1048" s="84" t="s">
        <v>555</v>
      </c>
    </row>
    <row r="1049" spans="1:11" ht="15.75" x14ac:dyDescent="0.3">
      <c r="A1049" s="86" t="s">
        <v>2961</v>
      </c>
      <c r="B1049" s="86" t="s">
        <v>2893</v>
      </c>
      <c r="C1049" s="86" t="s">
        <v>293</v>
      </c>
      <c r="D1049" s="86" t="s">
        <v>1779</v>
      </c>
      <c r="E1049" s="86" t="s">
        <v>1780</v>
      </c>
      <c r="F1049" s="86" t="s">
        <v>1781</v>
      </c>
      <c r="G1049" s="86" t="s">
        <v>551</v>
      </c>
      <c r="H1049" s="86" t="s">
        <v>1782</v>
      </c>
      <c r="I1049" s="87" t="s">
        <v>2894</v>
      </c>
      <c r="J1049" s="84" t="s">
        <v>554</v>
      </c>
      <c r="K1049" s="84" t="s">
        <v>555</v>
      </c>
    </row>
    <row r="1050" spans="1:11" ht="15.75" x14ac:dyDescent="0.3">
      <c r="A1050" s="86" t="s">
        <v>2962</v>
      </c>
      <c r="B1050" s="86" t="s">
        <v>2963</v>
      </c>
      <c r="C1050" s="86" t="s">
        <v>293</v>
      </c>
      <c r="D1050" s="86" t="s">
        <v>821</v>
      </c>
      <c r="E1050" s="86" t="s">
        <v>822</v>
      </c>
      <c r="F1050" s="86" t="s">
        <v>823</v>
      </c>
      <c r="G1050" s="86" t="s">
        <v>824</v>
      </c>
      <c r="H1050" s="86" t="s">
        <v>825</v>
      </c>
      <c r="I1050" s="87" t="s">
        <v>2549</v>
      </c>
      <c r="J1050" s="84" t="s">
        <v>554</v>
      </c>
      <c r="K1050" s="84" t="s">
        <v>555</v>
      </c>
    </row>
    <row r="1051" spans="1:11" ht="15.75" x14ac:dyDescent="0.3">
      <c r="A1051" s="86" t="s">
        <v>2964</v>
      </c>
      <c r="B1051" s="86" t="s">
        <v>2965</v>
      </c>
      <c r="C1051" s="86" t="s">
        <v>293</v>
      </c>
      <c r="D1051" s="86" t="s">
        <v>1860</v>
      </c>
      <c r="E1051" s="86" t="s">
        <v>1861</v>
      </c>
      <c r="F1051" s="86" t="s">
        <v>1862</v>
      </c>
      <c r="G1051" s="86" t="s">
        <v>622</v>
      </c>
      <c r="H1051" s="86" t="s">
        <v>2966</v>
      </c>
      <c r="I1051" s="87" t="s">
        <v>2967</v>
      </c>
      <c r="J1051" s="84" t="s">
        <v>554</v>
      </c>
      <c r="K1051" s="84" t="s">
        <v>555</v>
      </c>
    </row>
    <row r="1052" spans="1:11" ht="15.75" x14ac:dyDescent="0.3">
      <c r="A1052" s="86" t="s">
        <v>2968</v>
      </c>
      <c r="B1052" s="86" t="s">
        <v>2965</v>
      </c>
      <c r="C1052" s="86" t="s">
        <v>294</v>
      </c>
      <c r="D1052" s="86" t="s">
        <v>1322</v>
      </c>
      <c r="E1052" s="86" t="s">
        <v>1323</v>
      </c>
      <c r="F1052" s="86" t="s">
        <v>1324</v>
      </c>
      <c r="G1052" s="86" t="s">
        <v>729</v>
      </c>
      <c r="H1052" s="86" t="s">
        <v>2969</v>
      </c>
      <c r="I1052" s="87" t="s">
        <v>2967</v>
      </c>
      <c r="J1052" s="84" t="s">
        <v>554</v>
      </c>
      <c r="K1052" s="84" t="s">
        <v>555</v>
      </c>
    </row>
    <row r="1053" spans="1:11" ht="15.75" x14ac:dyDescent="0.3">
      <c r="A1053" s="86" t="s">
        <v>2970</v>
      </c>
      <c r="B1053" s="86" t="s">
        <v>2971</v>
      </c>
      <c r="C1053" s="86" t="s">
        <v>293</v>
      </c>
      <c r="D1053" s="86" t="s">
        <v>2972</v>
      </c>
      <c r="E1053" s="86" t="s">
        <v>173</v>
      </c>
      <c r="F1053" s="86" t="s">
        <v>175</v>
      </c>
      <c r="G1053" s="86" t="s">
        <v>588</v>
      </c>
      <c r="H1053" s="86" t="s">
        <v>2973</v>
      </c>
      <c r="I1053" s="87" t="s">
        <v>2974</v>
      </c>
      <c r="J1053" s="84" t="s">
        <v>554</v>
      </c>
      <c r="K1053" s="84" t="s">
        <v>555</v>
      </c>
    </row>
    <row r="1054" spans="1:11" ht="15.75" x14ac:dyDescent="0.3">
      <c r="A1054" s="86" t="s">
        <v>2975</v>
      </c>
      <c r="B1054" s="86" t="s">
        <v>2976</v>
      </c>
      <c r="C1054" s="86" t="s">
        <v>292</v>
      </c>
      <c r="D1054" s="86" t="s">
        <v>583</v>
      </c>
      <c r="E1054" s="86" t="s">
        <v>53</v>
      </c>
      <c r="F1054" s="86" t="s">
        <v>55</v>
      </c>
      <c r="G1054" s="86" t="s">
        <v>661</v>
      </c>
      <c r="H1054" s="86" t="s">
        <v>1491</v>
      </c>
      <c r="I1054" s="87" t="s">
        <v>2937</v>
      </c>
      <c r="J1054" s="84" t="s">
        <v>554</v>
      </c>
      <c r="K1054" s="84" t="s">
        <v>555</v>
      </c>
    </row>
    <row r="1055" spans="1:11" ht="15.75" x14ac:dyDescent="0.3">
      <c r="A1055" s="86" t="s">
        <v>2977</v>
      </c>
      <c r="B1055" s="86" t="s">
        <v>2976</v>
      </c>
      <c r="C1055" s="86" t="s">
        <v>292</v>
      </c>
      <c r="D1055" s="86" t="s">
        <v>883</v>
      </c>
      <c r="E1055" s="86" t="s">
        <v>75</v>
      </c>
      <c r="F1055" s="86" t="s">
        <v>77</v>
      </c>
      <c r="G1055" s="86" t="s">
        <v>807</v>
      </c>
      <c r="H1055" s="86" t="s">
        <v>959</v>
      </c>
      <c r="I1055" s="87" t="s">
        <v>2978</v>
      </c>
      <c r="J1055" s="84" t="s">
        <v>554</v>
      </c>
      <c r="K1055" s="84" t="s">
        <v>555</v>
      </c>
    </row>
    <row r="1056" spans="1:11" ht="15.75" x14ac:dyDescent="0.3">
      <c r="A1056" s="86" t="s">
        <v>2979</v>
      </c>
      <c r="B1056" s="86" t="s">
        <v>2980</v>
      </c>
      <c r="C1056" s="86" t="s">
        <v>294</v>
      </c>
      <c r="D1056" s="86" t="s">
        <v>597</v>
      </c>
      <c r="E1056" s="86" t="s">
        <v>598</v>
      </c>
      <c r="F1056" s="86" t="s">
        <v>599</v>
      </c>
      <c r="G1056" s="86" t="s">
        <v>551</v>
      </c>
      <c r="H1056" s="86" t="s">
        <v>1507</v>
      </c>
      <c r="I1056" s="87" t="s">
        <v>2981</v>
      </c>
      <c r="J1056" s="84" t="s">
        <v>554</v>
      </c>
      <c r="K1056" s="84" t="s">
        <v>555</v>
      </c>
    </row>
    <row r="1057" spans="1:11" ht="15.75" x14ac:dyDescent="0.3">
      <c r="A1057" s="86" t="s">
        <v>2982</v>
      </c>
      <c r="B1057" s="86" t="s">
        <v>2983</v>
      </c>
      <c r="C1057" s="86" t="s">
        <v>292</v>
      </c>
      <c r="D1057" s="86" t="s">
        <v>695</v>
      </c>
      <c r="E1057" s="86" t="s">
        <v>696</v>
      </c>
      <c r="F1057" s="86" t="s">
        <v>697</v>
      </c>
      <c r="G1057" s="86" t="s">
        <v>594</v>
      </c>
      <c r="H1057" s="86" t="s">
        <v>698</v>
      </c>
      <c r="I1057" s="87" t="s">
        <v>2984</v>
      </c>
      <c r="J1057" s="84" t="s">
        <v>554</v>
      </c>
      <c r="K1057" s="84" t="s">
        <v>555</v>
      </c>
    </row>
    <row r="1058" spans="1:11" ht="15.75" x14ac:dyDescent="0.3">
      <c r="A1058" s="86" t="s">
        <v>2985</v>
      </c>
      <c r="B1058" s="86" t="s">
        <v>2986</v>
      </c>
      <c r="C1058" s="86" t="s">
        <v>292</v>
      </c>
      <c r="D1058" s="86" t="s">
        <v>587</v>
      </c>
      <c r="E1058" s="86" t="s">
        <v>135</v>
      </c>
      <c r="F1058" s="86" t="s">
        <v>137</v>
      </c>
      <c r="G1058" s="86" t="s">
        <v>851</v>
      </c>
      <c r="H1058" s="86" t="s">
        <v>896</v>
      </c>
      <c r="I1058" s="87" t="s">
        <v>2987</v>
      </c>
      <c r="J1058" s="84" t="s">
        <v>554</v>
      </c>
      <c r="K1058" s="84" t="s">
        <v>555</v>
      </c>
    </row>
    <row r="1059" spans="1:11" ht="15.75" x14ac:dyDescent="0.3">
      <c r="A1059" s="86" t="s">
        <v>2988</v>
      </c>
      <c r="B1059" s="86" t="s">
        <v>2989</v>
      </c>
      <c r="C1059" s="86" t="s">
        <v>293</v>
      </c>
      <c r="D1059" s="86" t="s">
        <v>1401</v>
      </c>
      <c r="E1059" s="86" t="s">
        <v>1402</v>
      </c>
      <c r="F1059" s="86" t="s">
        <v>64</v>
      </c>
      <c r="G1059" s="86" t="s">
        <v>584</v>
      </c>
      <c r="H1059" s="86" t="s">
        <v>1994</v>
      </c>
      <c r="I1059" s="87" t="s">
        <v>2990</v>
      </c>
      <c r="J1059" s="84" t="s">
        <v>554</v>
      </c>
      <c r="K1059" s="84" t="s">
        <v>555</v>
      </c>
    </row>
    <row r="1060" spans="1:11" ht="15.75" x14ac:dyDescent="0.3">
      <c r="A1060" s="86" t="s">
        <v>2991</v>
      </c>
      <c r="B1060" s="86" t="s">
        <v>2992</v>
      </c>
      <c r="C1060" s="86" t="s">
        <v>293</v>
      </c>
      <c r="D1060" s="86" t="s">
        <v>1860</v>
      </c>
      <c r="E1060" s="86" t="s">
        <v>1861</v>
      </c>
      <c r="F1060" s="86" t="s">
        <v>1862</v>
      </c>
      <c r="G1060" s="86" t="s">
        <v>708</v>
      </c>
      <c r="H1060" s="86" t="s">
        <v>1863</v>
      </c>
      <c r="I1060" s="87" t="s">
        <v>2993</v>
      </c>
      <c r="J1060" s="84" t="s">
        <v>554</v>
      </c>
      <c r="K1060" s="84" t="s">
        <v>555</v>
      </c>
    </row>
    <row r="1061" spans="1:11" ht="15.75" x14ac:dyDescent="0.3">
      <c r="A1061" s="86" t="s">
        <v>2994</v>
      </c>
      <c r="B1061" s="86" t="s">
        <v>2995</v>
      </c>
      <c r="C1061" s="86" t="s">
        <v>293</v>
      </c>
      <c r="D1061" s="86" t="s">
        <v>621</v>
      </c>
      <c r="E1061" s="86" t="s">
        <v>112</v>
      </c>
      <c r="F1061" s="86" t="s">
        <v>114</v>
      </c>
      <c r="G1061" s="86" t="s">
        <v>622</v>
      </c>
      <c r="H1061" s="86" t="s">
        <v>1151</v>
      </c>
      <c r="I1061" s="87" t="s">
        <v>2996</v>
      </c>
      <c r="J1061" s="84" t="s">
        <v>554</v>
      </c>
      <c r="K1061" s="84" t="s">
        <v>555</v>
      </c>
    </row>
    <row r="1062" spans="1:11" ht="15.75" x14ac:dyDescent="0.3">
      <c r="A1062" s="86" t="s">
        <v>2997</v>
      </c>
      <c r="B1062" s="86" t="s">
        <v>2995</v>
      </c>
      <c r="C1062" s="86" t="s">
        <v>293</v>
      </c>
      <c r="D1062" s="86" t="s">
        <v>1156</v>
      </c>
      <c r="E1062" s="86" t="s">
        <v>117</v>
      </c>
      <c r="F1062" s="86" t="s">
        <v>119</v>
      </c>
      <c r="G1062" s="86" t="s">
        <v>683</v>
      </c>
      <c r="H1062" s="86" t="s">
        <v>1157</v>
      </c>
      <c r="I1062" s="87" t="s">
        <v>2996</v>
      </c>
      <c r="J1062" s="84" t="s">
        <v>554</v>
      </c>
      <c r="K1062" s="84" t="s">
        <v>555</v>
      </c>
    </row>
    <row r="1063" spans="1:11" ht="15.75" x14ac:dyDescent="0.3">
      <c r="A1063" s="86" t="s">
        <v>2998</v>
      </c>
      <c r="B1063" s="86" t="s">
        <v>2995</v>
      </c>
      <c r="C1063" s="86" t="s">
        <v>293</v>
      </c>
      <c r="D1063" s="86" t="s">
        <v>1717</v>
      </c>
      <c r="E1063" s="86" t="s">
        <v>67</v>
      </c>
      <c r="F1063" s="86" t="s">
        <v>69</v>
      </c>
      <c r="G1063" s="86" t="s">
        <v>691</v>
      </c>
      <c r="H1063" s="86" t="s">
        <v>1718</v>
      </c>
      <c r="I1063" s="87" t="s">
        <v>2996</v>
      </c>
      <c r="J1063" s="84" t="s">
        <v>554</v>
      </c>
      <c r="K1063" s="84" t="s">
        <v>555</v>
      </c>
    </row>
    <row r="1064" spans="1:11" ht="15.75" x14ac:dyDescent="0.3">
      <c r="A1064" s="86" t="s">
        <v>2999</v>
      </c>
      <c r="B1064" s="86" t="s">
        <v>3000</v>
      </c>
      <c r="C1064" s="86" t="s">
        <v>292</v>
      </c>
      <c r="D1064" s="86" t="s">
        <v>639</v>
      </c>
      <c r="E1064" s="86" t="s">
        <v>22</v>
      </c>
      <c r="F1064" s="86" t="s">
        <v>24</v>
      </c>
      <c r="G1064" s="86" t="s">
        <v>701</v>
      </c>
      <c r="H1064" s="86" t="s">
        <v>977</v>
      </c>
      <c r="I1064" s="87" t="s">
        <v>3001</v>
      </c>
      <c r="J1064" s="84" t="s">
        <v>554</v>
      </c>
      <c r="K1064" s="84" t="s">
        <v>555</v>
      </c>
    </row>
    <row r="1065" spans="1:11" ht="15.75" x14ac:dyDescent="0.3">
      <c r="A1065" s="86" t="s">
        <v>3002</v>
      </c>
      <c r="B1065" s="86" t="s">
        <v>3000</v>
      </c>
      <c r="C1065" s="86" t="s">
        <v>293</v>
      </c>
      <c r="D1065" s="86" t="s">
        <v>1021</v>
      </c>
      <c r="E1065" s="86" t="s">
        <v>263</v>
      </c>
      <c r="F1065" s="86" t="s">
        <v>265</v>
      </c>
      <c r="G1065" s="86" t="s">
        <v>584</v>
      </c>
      <c r="H1065" s="86" t="s">
        <v>1179</v>
      </c>
      <c r="I1065" s="87" t="s">
        <v>3003</v>
      </c>
      <c r="J1065" s="84" t="s">
        <v>554</v>
      </c>
      <c r="K1065" s="84" t="s">
        <v>555</v>
      </c>
    </row>
    <row r="1066" spans="1:11" ht="15.75" x14ac:dyDescent="0.3">
      <c r="A1066" s="86" t="s">
        <v>3004</v>
      </c>
      <c r="B1066" s="86" t="s">
        <v>3000</v>
      </c>
      <c r="C1066" s="86" t="s">
        <v>292</v>
      </c>
      <c r="D1066" s="86" t="s">
        <v>583</v>
      </c>
      <c r="E1066" s="86" t="s">
        <v>53</v>
      </c>
      <c r="F1066" s="86" t="s">
        <v>55</v>
      </c>
      <c r="G1066" s="86" t="s">
        <v>661</v>
      </c>
      <c r="H1066" s="86" t="s">
        <v>670</v>
      </c>
      <c r="I1066" s="87" t="s">
        <v>3001</v>
      </c>
      <c r="J1066" s="84" t="s">
        <v>554</v>
      </c>
      <c r="K1066" s="84" t="s">
        <v>555</v>
      </c>
    </row>
    <row r="1067" spans="1:11" ht="15.75" x14ac:dyDescent="0.3">
      <c r="A1067" s="86" t="s">
        <v>3005</v>
      </c>
      <c r="B1067" s="86" t="s">
        <v>3000</v>
      </c>
      <c r="C1067" s="86" t="s">
        <v>292</v>
      </c>
      <c r="D1067" s="86" t="s">
        <v>687</v>
      </c>
      <c r="E1067" s="86" t="s">
        <v>152</v>
      </c>
      <c r="F1067" s="86" t="s">
        <v>154</v>
      </c>
      <c r="G1067" s="86" t="s">
        <v>594</v>
      </c>
      <c r="H1067" s="86" t="s">
        <v>688</v>
      </c>
      <c r="I1067" s="87" t="s">
        <v>3001</v>
      </c>
      <c r="J1067" s="84" t="s">
        <v>554</v>
      </c>
      <c r="K1067" s="84" t="s">
        <v>555</v>
      </c>
    </row>
    <row r="1068" spans="1:11" ht="15.75" x14ac:dyDescent="0.3">
      <c r="A1068" s="86" t="s">
        <v>3006</v>
      </c>
      <c r="B1068" s="86" t="s">
        <v>3000</v>
      </c>
      <c r="C1068" s="86" t="s">
        <v>293</v>
      </c>
      <c r="D1068" s="86" t="s">
        <v>985</v>
      </c>
      <c r="E1068" s="86" t="s">
        <v>106</v>
      </c>
      <c r="F1068" s="86" t="s">
        <v>108</v>
      </c>
      <c r="G1068" s="86" t="s">
        <v>807</v>
      </c>
      <c r="H1068" s="86" t="s">
        <v>986</v>
      </c>
      <c r="I1068" s="87" t="s">
        <v>3001</v>
      </c>
      <c r="J1068" s="84" t="s">
        <v>554</v>
      </c>
      <c r="K1068" s="84" t="s">
        <v>555</v>
      </c>
    </row>
    <row r="1069" spans="1:11" ht="15.75" x14ac:dyDescent="0.3">
      <c r="A1069" s="86" t="s">
        <v>3007</v>
      </c>
      <c r="B1069" s="86" t="s">
        <v>3000</v>
      </c>
      <c r="C1069" s="86" t="s">
        <v>292</v>
      </c>
      <c r="D1069" s="86" t="s">
        <v>883</v>
      </c>
      <c r="E1069" s="86" t="s">
        <v>75</v>
      </c>
      <c r="F1069" s="86" t="s">
        <v>77</v>
      </c>
      <c r="G1069" s="86" t="s">
        <v>807</v>
      </c>
      <c r="H1069" s="86" t="s">
        <v>959</v>
      </c>
      <c r="I1069" s="87" t="s">
        <v>3001</v>
      </c>
      <c r="J1069" s="84" t="s">
        <v>554</v>
      </c>
      <c r="K1069" s="84" t="s">
        <v>555</v>
      </c>
    </row>
    <row r="1070" spans="1:11" ht="15.75" x14ac:dyDescent="0.3">
      <c r="A1070" s="86" t="s">
        <v>3008</v>
      </c>
      <c r="B1070" s="86" t="s">
        <v>3009</v>
      </c>
      <c r="C1070" s="86" t="s">
        <v>293</v>
      </c>
      <c r="D1070" s="86" t="s">
        <v>1169</v>
      </c>
      <c r="E1070" s="86" t="s">
        <v>1170</v>
      </c>
      <c r="F1070" s="86" t="s">
        <v>1171</v>
      </c>
      <c r="G1070" s="86" t="s">
        <v>579</v>
      </c>
      <c r="H1070" s="86" t="s">
        <v>2287</v>
      </c>
      <c r="I1070" s="87" t="s">
        <v>3010</v>
      </c>
      <c r="J1070" s="84" t="s">
        <v>554</v>
      </c>
      <c r="K1070" s="84" t="s">
        <v>555</v>
      </c>
    </row>
    <row r="1071" spans="1:11" ht="15.75" x14ac:dyDescent="0.3">
      <c r="A1071" s="86" t="s">
        <v>3011</v>
      </c>
      <c r="B1071" s="86" t="s">
        <v>3009</v>
      </c>
      <c r="C1071" s="86" t="s">
        <v>293</v>
      </c>
      <c r="D1071" s="86" t="s">
        <v>980</v>
      </c>
      <c r="E1071" s="86" t="s">
        <v>224</v>
      </c>
      <c r="F1071" s="86" t="s">
        <v>226</v>
      </c>
      <c r="G1071" s="86" t="s">
        <v>652</v>
      </c>
      <c r="H1071" s="86" t="s">
        <v>3012</v>
      </c>
      <c r="I1071" s="87" t="s">
        <v>3010</v>
      </c>
      <c r="J1071" s="84" t="s">
        <v>554</v>
      </c>
      <c r="K1071" s="84" t="s">
        <v>555</v>
      </c>
    </row>
    <row r="1072" spans="1:11" ht="15.75" x14ac:dyDescent="0.3">
      <c r="A1072" s="86" t="s">
        <v>3013</v>
      </c>
      <c r="B1072" s="86" t="s">
        <v>3009</v>
      </c>
      <c r="C1072" s="86" t="s">
        <v>293</v>
      </c>
      <c r="D1072" s="86" t="s">
        <v>834</v>
      </c>
      <c r="E1072" s="86" t="s">
        <v>929</v>
      </c>
      <c r="F1072" s="86" t="s">
        <v>187</v>
      </c>
      <c r="G1072" s="86" t="s">
        <v>588</v>
      </c>
      <c r="H1072" s="86" t="s">
        <v>983</v>
      </c>
      <c r="I1072" s="87" t="s">
        <v>3014</v>
      </c>
      <c r="J1072" s="84" t="s">
        <v>554</v>
      </c>
      <c r="K1072" s="84" t="s">
        <v>555</v>
      </c>
    </row>
    <row r="1073" spans="1:11" ht="15.75" x14ac:dyDescent="0.3">
      <c r="A1073" s="86" t="s">
        <v>3015</v>
      </c>
      <c r="B1073" s="86" t="s">
        <v>3009</v>
      </c>
      <c r="C1073" s="86" t="s">
        <v>292</v>
      </c>
      <c r="D1073" s="86" t="s">
        <v>1025</v>
      </c>
      <c r="E1073" s="86" t="s">
        <v>1202</v>
      </c>
      <c r="F1073" s="86" t="s">
        <v>1027</v>
      </c>
      <c r="G1073" s="86" t="s">
        <v>990</v>
      </c>
      <c r="H1073" s="86" t="s">
        <v>1203</v>
      </c>
      <c r="I1073" s="87" t="s">
        <v>731</v>
      </c>
      <c r="J1073" s="84" t="s">
        <v>554</v>
      </c>
      <c r="K1073" s="84" t="s">
        <v>555</v>
      </c>
    </row>
    <row r="1074" spans="1:11" ht="15.75" x14ac:dyDescent="0.3">
      <c r="A1074" s="86" t="s">
        <v>3016</v>
      </c>
      <c r="B1074" s="86" t="s">
        <v>3017</v>
      </c>
      <c r="C1074" s="86" t="s">
        <v>293</v>
      </c>
      <c r="D1074" s="86" t="s">
        <v>980</v>
      </c>
      <c r="E1074" s="86" t="s">
        <v>224</v>
      </c>
      <c r="F1074" s="86" t="s">
        <v>226</v>
      </c>
      <c r="G1074" s="86" t="s">
        <v>652</v>
      </c>
      <c r="H1074" s="86" t="s">
        <v>1033</v>
      </c>
      <c r="I1074" s="87" t="s">
        <v>2368</v>
      </c>
      <c r="J1074" s="84" t="s">
        <v>554</v>
      </c>
      <c r="K1074" s="84" t="s">
        <v>555</v>
      </c>
    </row>
    <row r="1075" spans="1:11" ht="15.75" x14ac:dyDescent="0.3">
      <c r="A1075" s="86" t="s">
        <v>3018</v>
      </c>
      <c r="B1075" s="86" t="s">
        <v>3019</v>
      </c>
      <c r="C1075" s="86" t="s">
        <v>293</v>
      </c>
      <c r="D1075" s="86" t="s">
        <v>657</v>
      </c>
      <c r="E1075" s="86" t="s">
        <v>48</v>
      </c>
      <c r="F1075" s="86" t="s">
        <v>50</v>
      </c>
      <c r="G1075" s="86" t="s">
        <v>615</v>
      </c>
      <c r="H1075" s="86" t="s">
        <v>893</v>
      </c>
      <c r="I1075" s="87" t="s">
        <v>3020</v>
      </c>
      <c r="J1075" s="84" t="s">
        <v>554</v>
      </c>
      <c r="K1075" s="84" t="s">
        <v>555</v>
      </c>
    </row>
    <row r="1076" spans="1:11" ht="15.75" x14ac:dyDescent="0.3">
      <c r="A1076" s="86" t="s">
        <v>3021</v>
      </c>
      <c r="B1076" s="86" t="s">
        <v>3022</v>
      </c>
      <c r="C1076" s="86" t="s">
        <v>294</v>
      </c>
      <c r="D1076" s="86" t="s">
        <v>711</v>
      </c>
      <c r="E1076" s="86" t="s">
        <v>278</v>
      </c>
      <c r="F1076" s="86" t="s">
        <v>280</v>
      </c>
      <c r="G1076" s="86" t="s">
        <v>851</v>
      </c>
      <c r="H1076" s="86" t="s">
        <v>901</v>
      </c>
      <c r="I1076" s="87" t="s">
        <v>3023</v>
      </c>
      <c r="J1076" s="84" t="s">
        <v>554</v>
      </c>
      <c r="K1076" s="84" t="s">
        <v>555</v>
      </c>
    </row>
    <row r="1077" spans="1:11" ht="15.75" x14ac:dyDescent="0.3">
      <c r="A1077" s="86" t="s">
        <v>3024</v>
      </c>
      <c r="B1077" s="86" t="s">
        <v>3025</v>
      </c>
      <c r="C1077" s="86" t="s">
        <v>292</v>
      </c>
      <c r="D1077" s="86" t="s">
        <v>695</v>
      </c>
      <c r="E1077" s="86" t="s">
        <v>696</v>
      </c>
      <c r="F1077" s="86" t="s">
        <v>697</v>
      </c>
      <c r="G1077" s="86" t="s">
        <v>594</v>
      </c>
      <c r="H1077" s="86" t="s">
        <v>698</v>
      </c>
      <c r="I1077" s="87" t="s">
        <v>3026</v>
      </c>
      <c r="J1077" s="84" t="s">
        <v>554</v>
      </c>
      <c r="K1077" s="84" t="s">
        <v>555</v>
      </c>
    </row>
    <row r="1078" spans="1:11" ht="15.75" x14ac:dyDescent="0.3">
      <c r="A1078" s="86" t="s">
        <v>3027</v>
      </c>
      <c r="B1078" s="86" t="s">
        <v>3028</v>
      </c>
      <c r="C1078" s="86" t="s">
        <v>293</v>
      </c>
      <c r="D1078" s="86" t="s">
        <v>621</v>
      </c>
      <c r="E1078" s="86" t="s">
        <v>1594</v>
      </c>
      <c r="F1078" s="86" t="s">
        <v>114</v>
      </c>
      <c r="G1078" s="86" t="s">
        <v>683</v>
      </c>
      <c r="H1078" s="86" t="s">
        <v>3029</v>
      </c>
      <c r="I1078" s="87" t="s">
        <v>1061</v>
      </c>
      <c r="J1078" s="84" t="s">
        <v>554</v>
      </c>
      <c r="K1078" s="84" t="s">
        <v>3030</v>
      </c>
    </row>
    <row r="1079" spans="1:11" ht="15.75" x14ac:dyDescent="0.3">
      <c r="A1079" s="86" t="s">
        <v>3031</v>
      </c>
      <c r="B1079" s="86" t="s">
        <v>3028</v>
      </c>
      <c r="C1079" s="86" t="s">
        <v>293</v>
      </c>
      <c r="D1079" s="86" t="s">
        <v>1156</v>
      </c>
      <c r="E1079" s="86" t="s">
        <v>117</v>
      </c>
      <c r="F1079" s="86" t="s">
        <v>119</v>
      </c>
      <c r="G1079" s="86" t="s">
        <v>683</v>
      </c>
      <c r="H1079" s="86" t="s">
        <v>3032</v>
      </c>
      <c r="I1079" s="87" t="s">
        <v>1061</v>
      </c>
      <c r="J1079" s="84" t="s">
        <v>554</v>
      </c>
      <c r="K1079" s="84" t="s">
        <v>3030</v>
      </c>
    </row>
    <row r="1080" spans="1:11" ht="15.75" x14ac:dyDescent="0.3">
      <c r="A1080" s="86" t="s">
        <v>3033</v>
      </c>
      <c r="B1080" s="86" t="s">
        <v>3028</v>
      </c>
      <c r="C1080" s="86" t="s">
        <v>293</v>
      </c>
      <c r="D1080" s="86" t="s">
        <v>1352</v>
      </c>
      <c r="E1080" s="86" t="s">
        <v>43</v>
      </c>
      <c r="F1080" s="86" t="s">
        <v>45</v>
      </c>
      <c r="G1080" s="86" t="s">
        <v>683</v>
      </c>
      <c r="H1080" s="86" t="s">
        <v>3034</v>
      </c>
      <c r="I1080" s="87" t="s">
        <v>1061</v>
      </c>
      <c r="J1080" s="84" t="s">
        <v>554</v>
      </c>
      <c r="K1080" s="84" t="s">
        <v>3030</v>
      </c>
    </row>
    <row r="1081" spans="1:11" ht="15.75" x14ac:dyDescent="0.3">
      <c r="A1081" s="86" t="s">
        <v>3035</v>
      </c>
      <c r="B1081" s="86" t="s">
        <v>3028</v>
      </c>
      <c r="C1081" s="86" t="s">
        <v>293</v>
      </c>
      <c r="D1081" s="86" t="s">
        <v>1359</v>
      </c>
      <c r="E1081" s="86" t="s">
        <v>1360</v>
      </c>
      <c r="F1081" s="86" t="s">
        <v>1361</v>
      </c>
      <c r="G1081" s="86" t="s">
        <v>645</v>
      </c>
      <c r="H1081" s="86" t="s">
        <v>3036</v>
      </c>
      <c r="I1081" s="87" t="s">
        <v>1061</v>
      </c>
      <c r="J1081" s="84" t="s">
        <v>554</v>
      </c>
      <c r="K1081" s="84" t="s">
        <v>3030</v>
      </c>
    </row>
    <row r="1082" spans="1:11" ht="15.75" x14ac:dyDescent="0.3">
      <c r="A1082" s="86" t="s">
        <v>3037</v>
      </c>
      <c r="B1082" s="86" t="s">
        <v>3028</v>
      </c>
      <c r="C1082" s="86" t="s">
        <v>293</v>
      </c>
      <c r="D1082" s="86" t="s">
        <v>1017</v>
      </c>
      <c r="E1082" s="86" t="s">
        <v>259</v>
      </c>
      <c r="F1082" s="86" t="s">
        <v>261</v>
      </c>
      <c r="G1082" s="86" t="s">
        <v>579</v>
      </c>
      <c r="H1082" s="86" t="s">
        <v>3038</v>
      </c>
      <c r="I1082" s="87" t="s">
        <v>731</v>
      </c>
      <c r="J1082" s="84" t="s">
        <v>554</v>
      </c>
      <c r="K1082" s="84" t="s">
        <v>3030</v>
      </c>
    </row>
    <row r="1083" spans="1:11" ht="15.75" x14ac:dyDescent="0.3">
      <c r="A1083" s="86" t="s">
        <v>3039</v>
      </c>
      <c r="B1083" s="86" t="s">
        <v>3028</v>
      </c>
      <c r="C1083" s="86" t="s">
        <v>293</v>
      </c>
      <c r="D1083" s="86" t="s">
        <v>924</v>
      </c>
      <c r="E1083" s="86" t="s">
        <v>126</v>
      </c>
      <c r="F1083" s="86" t="s">
        <v>128</v>
      </c>
      <c r="G1083" s="86" t="s">
        <v>579</v>
      </c>
      <c r="H1083" s="86" t="s">
        <v>3040</v>
      </c>
      <c r="I1083" s="87" t="s">
        <v>1061</v>
      </c>
      <c r="J1083" s="84" t="s">
        <v>554</v>
      </c>
      <c r="K1083" s="84" t="s">
        <v>3030</v>
      </c>
    </row>
    <row r="1084" spans="1:11" ht="15.75" x14ac:dyDescent="0.3">
      <c r="A1084" s="86" t="s">
        <v>3041</v>
      </c>
      <c r="B1084" s="86" t="s">
        <v>3028</v>
      </c>
      <c r="C1084" s="86" t="s">
        <v>293</v>
      </c>
      <c r="D1084" s="86" t="s">
        <v>657</v>
      </c>
      <c r="E1084" s="86" t="s">
        <v>48</v>
      </c>
      <c r="F1084" s="86" t="s">
        <v>50</v>
      </c>
      <c r="G1084" s="86" t="s">
        <v>615</v>
      </c>
      <c r="H1084" s="86" t="s">
        <v>3042</v>
      </c>
      <c r="I1084" s="87" t="s">
        <v>1061</v>
      </c>
      <c r="J1084" s="84" t="s">
        <v>554</v>
      </c>
      <c r="K1084" s="84" t="s">
        <v>3030</v>
      </c>
    </row>
    <row r="1085" spans="1:11" ht="15.75" x14ac:dyDescent="0.3">
      <c r="A1085" s="86" t="s">
        <v>3043</v>
      </c>
      <c r="B1085" s="86" t="s">
        <v>3028</v>
      </c>
      <c r="C1085" s="86" t="s">
        <v>293</v>
      </c>
      <c r="D1085" s="86" t="s">
        <v>1717</v>
      </c>
      <c r="E1085" s="86" t="s">
        <v>67</v>
      </c>
      <c r="F1085" s="86" t="s">
        <v>69</v>
      </c>
      <c r="G1085" s="86" t="s">
        <v>691</v>
      </c>
      <c r="H1085" s="86" t="s">
        <v>3044</v>
      </c>
      <c r="I1085" s="87" t="s">
        <v>1061</v>
      </c>
      <c r="J1085" s="84" t="s">
        <v>554</v>
      </c>
      <c r="K1085" s="84" t="s">
        <v>3030</v>
      </c>
    </row>
    <row r="1086" spans="1:11" ht="15.75" x14ac:dyDescent="0.3">
      <c r="A1086" s="86" t="s">
        <v>3045</v>
      </c>
      <c r="B1086" s="86" t="s">
        <v>3028</v>
      </c>
      <c r="C1086" s="86" t="s">
        <v>292</v>
      </c>
      <c r="D1086" s="86" t="s">
        <v>695</v>
      </c>
      <c r="E1086" s="86" t="s">
        <v>696</v>
      </c>
      <c r="F1086" s="86" t="s">
        <v>697</v>
      </c>
      <c r="G1086" s="86" t="s">
        <v>594</v>
      </c>
      <c r="H1086" s="86" t="s">
        <v>3046</v>
      </c>
      <c r="I1086" s="87" t="s">
        <v>1061</v>
      </c>
      <c r="J1086" s="84" t="s">
        <v>554</v>
      </c>
      <c r="K1086" s="84" t="s">
        <v>3030</v>
      </c>
    </row>
    <row r="1087" spans="1:11" ht="15.75" x14ac:dyDescent="0.3">
      <c r="A1087" s="86" t="s">
        <v>3047</v>
      </c>
      <c r="B1087" s="86" t="s">
        <v>3028</v>
      </c>
      <c r="C1087" s="86" t="s">
        <v>293</v>
      </c>
      <c r="D1087" s="86" t="s">
        <v>1739</v>
      </c>
      <c r="E1087" s="86" t="s">
        <v>148</v>
      </c>
      <c r="F1087" s="86" t="s">
        <v>150</v>
      </c>
      <c r="G1087" s="86" t="s">
        <v>594</v>
      </c>
      <c r="H1087" s="86" t="s">
        <v>3048</v>
      </c>
      <c r="I1087" s="87" t="s">
        <v>1061</v>
      </c>
      <c r="J1087" s="84" t="s">
        <v>554</v>
      </c>
      <c r="K1087" s="84" t="s">
        <v>3030</v>
      </c>
    </row>
    <row r="1088" spans="1:11" ht="15.75" x14ac:dyDescent="0.3">
      <c r="A1088" s="86" t="s">
        <v>3049</v>
      </c>
      <c r="B1088" s="86" t="s">
        <v>3028</v>
      </c>
      <c r="C1088" s="86" t="s">
        <v>293</v>
      </c>
      <c r="D1088" s="86" t="s">
        <v>1385</v>
      </c>
      <c r="E1088" s="86" t="s">
        <v>89</v>
      </c>
      <c r="F1088" s="86" t="s">
        <v>91</v>
      </c>
      <c r="G1088" s="86" t="s">
        <v>667</v>
      </c>
      <c r="H1088" s="86" t="s">
        <v>3050</v>
      </c>
      <c r="I1088" s="87" t="s">
        <v>1061</v>
      </c>
      <c r="J1088" s="84" t="s">
        <v>554</v>
      </c>
      <c r="K1088" s="84" t="s">
        <v>3030</v>
      </c>
    </row>
    <row r="1089" spans="1:11" ht="15.75" x14ac:dyDescent="0.3">
      <c r="A1089" s="86" t="s">
        <v>3051</v>
      </c>
      <c r="B1089" s="86" t="s">
        <v>3028</v>
      </c>
      <c r="C1089" s="86" t="s">
        <v>293</v>
      </c>
      <c r="D1089" s="86" t="s">
        <v>1192</v>
      </c>
      <c r="E1089" s="86" t="s">
        <v>94</v>
      </c>
      <c r="F1089" s="86" t="s">
        <v>96</v>
      </c>
      <c r="G1089" s="86" t="s">
        <v>754</v>
      </c>
      <c r="H1089" s="86" t="s">
        <v>1193</v>
      </c>
      <c r="I1089" s="87" t="s">
        <v>1061</v>
      </c>
      <c r="J1089" s="84" t="s">
        <v>554</v>
      </c>
      <c r="K1089" s="84" t="s">
        <v>3030</v>
      </c>
    </row>
    <row r="1090" spans="1:11" ht="15.75" x14ac:dyDescent="0.3">
      <c r="A1090" s="86" t="s">
        <v>3052</v>
      </c>
      <c r="B1090" s="86" t="s">
        <v>3028</v>
      </c>
      <c r="C1090" s="86" t="s">
        <v>293</v>
      </c>
      <c r="D1090" s="86" t="s">
        <v>1121</v>
      </c>
      <c r="E1090" s="86" t="s">
        <v>1122</v>
      </c>
      <c r="F1090" s="86" t="s">
        <v>1123</v>
      </c>
      <c r="G1090" s="86" t="s">
        <v>675</v>
      </c>
      <c r="H1090" s="86" t="s">
        <v>3053</v>
      </c>
      <c r="I1090" s="87" t="s">
        <v>1061</v>
      </c>
      <c r="J1090" s="84" t="s">
        <v>554</v>
      </c>
      <c r="K1090" s="84" t="s">
        <v>3030</v>
      </c>
    </row>
    <row r="1091" spans="1:11" ht="15.75" x14ac:dyDescent="0.3">
      <c r="A1091" s="86" t="s">
        <v>3054</v>
      </c>
      <c r="B1091" s="86" t="s">
        <v>3028</v>
      </c>
      <c r="C1091" s="86" t="s">
        <v>293</v>
      </c>
      <c r="D1091" s="86" t="s">
        <v>1195</v>
      </c>
      <c r="E1091" s="86" t="s">
        <v>272</v>
      </c>
      <c r="F1091" s="86" t="s">
        <v>274</v>
      </c>
      <c r="G1091" s="86" t="s">
        <v>551</v>
      </c>
      <c r="H1091" s="86" t="s">
        <v>3055</v>
      </c>
      <c r="I1091" s="87" t="s">
        <v>1061</v>
      </c>
      <c r="J1091" s="84" t="s">
        <v>554</v>
      </c>
      <c r="K1091" s="84" t="s">
        <v>3030</v>
      </c>
    </row>
    <row r="1092" spans="1:11" ht="15.75" x14ac:dyDescent="0.3">
      <c r="A1092" s="86" t="s">
        <v>3056</v>
      </c>
      <c r="B1092" s="86" t="s">
        <v>3028</v>
      </c>
      <c r="C1092" s="86" t="s">
        <v>293</v>
      </c>
      <c r="D1092" s="86" t="s">
        <v>768</v>
      </c>
      <c r="E1092" s="86" t="s">
        <v>769</v>
      </c>
      <c r="F1092" s="86" t="s">
        <v>770</v>
      </c>
      <c r="G1092" s="86" t="s">
        <v>551</v>
      </c>
      <c r="H1092" s="86" t="s">
        <v>3057</v>
      </c>
      <c r="I1092" s="87" t="s">
        <v>1061</v>
      </c>
      <c r="J1092" s="84" t="s">
        <v>554</v>
      </c>
      <c r="K1092" s="84" t="s">
        <v>3030</v>
      </c>
    </row>
    <row r="1093" spans="1:11" ht="15.75" x14ac:dyDescent="0.3">
      <c r="A1093" s="86" t="s">
        <v>3058</v>
      </c>
      <c r="B1093" s="86" t="s">
        <v>3028</v>
      </c>
      <c r="C1093" s="86" t="s">
        <v>293</v>
      </c>
      <c r="D1093" s="86" t="s">
        <v>17</v>
      </c>
      <c r="E1093" s="86" t="s">
        <v>549</v>
      </c>
      <c r="F1093" s="86" t="s">
        <v>550</v>
      </c>
      <c r="G1093" s="86" t="s">
        <v>551</v>
      </c>
      <c r="H1093" s="86" t="s">
        <v>3059</v>
      </c>
      <c r="I1093" s="87" t="s">
        <v>3060</v>
      </c>
      <c r="J1093" s="84" t="s">
        <v>554</v>
      </c>
      <c r="K1093" s="84" t="s">
        <v>3030</v>
      </c>
    </row>
    <row r="1094" spans="1:11" ht="15.75" x14ac:dyDescent="0.3">
      <c r="A1094" s="86" t="s">
        <v>3061</v>
      </c>
      <c r="B1094" s="86" t="s">
        <v>3062</v>
      </c>
      <c r="C1094" s="86" t="s">
        <v>292</v>
      </c>
      <c r="D1094" s="86" t="s">
        <v>1729</v>
      </c>
      <c r="E1094" s="86" t="s">
        <v>144</v>
      </c>
      <c r="F1094" s="86" t="s">
        <v>146</v>
      </c>
      <c r="G1094" s="86" t="s">
        <v>588</v>
      </c>
      <c r="H1094" s="86" t="s">
        <v>1730</v>
      </c>
      <c r="I1094" s="87" t="s">
        <v>3063</v>
      </c>
      <c r="J1094" s="84" t="s">
        <v>554</v>
      </c>
      <c r="K1094" s="84" t="s">
        <v>555</v>
      </c>
    </row>
    <row r="1095" spans="1:11" ht="15.75" x14ac:dyDescent="0.3">
      <c r="A1095" s="86" t="s">
        <v>3064</v>
      </c>
      <c r="B1095" s="86" t="s">
        <v>3065</v>
      </c>
      <c r="C1095" s="86" t="s">
        <v>293</v>
      </c>
      <c r="D1095" s="86" t="s">
        <v>1650</v>
      </c>
      <c r="E1095" s="86" t="s">
        <v>1651</v>
      </c>
      <c r="F1095" s="86" t="s">
        <v>1652</v>
      </c>
      <c r="G1095" s="86" t="s">
        <v>640</v>
      </c>
      <c r="H1095" s="86" t="s">
        <v>1653</v>
      </c>
      <c r="I1095" s="87" t="s">
        <v>3066</v>
      </c>
      <c r="J1095" s="84" t="s">
        <v>554</v>
      </c>
      <c r="K1095" s="84" t="s">
        <v>555</v>
      </c>
    </row>
    <row r="1096" spans="1:11" ht="15.75" x14ac:dyDescent="0.3">
      <c r="A1096" s="86" t="s">
        <v>3067</v>
      </c>
      <c r="B1096" s="86" t="s">
        <v>3065</v>
      </c>
      <c r="C1096" s="86" t="s">
        <v>292</v>
      </c>
      <c r="D1096" s="86" t="s">
        <v>587</v>
      </c>
      <c r="E1096" s="86" t="s">
        <v>1661</v>
      </c>
      <c r="F1096" s="86" t="s">
        <v>137</v>
      </c>
      <c r="G1096" s="86" t="s">
        <v>824</v>
      </c>
      <c r="H1096" s="86" t="s">
        <v>1662</v>
      </c>
      <c r="I1096" s="87" t="s">
        <v>3068</v>
      </c>
      <c r="J1096" s="84" t="s">
        <v>554</v>
      </c>
      <c r="K1096" s="84" t="s">
        <v>555</v>
      </c>
    </row>
    <row r="1097" spans="1:11" ht="15.75" x14ac:dyDescent="0.3">
      <c r="A1097" s="86" t="s">
        <v>3069</v>
      </c>
      <c r="B1097" s="86" t="s">
        <v>3065</v>
      </c>
      <c r="C1097" s="86" t="s">
        <v>293</v>
      </c>
      <c r="D1097" s="86" t="s">
        <v>1608</v>
      </c>
      <c r="E1097" s="86" t="s">
        <v>1664</v>
      </c>
      <c r="F1097" s="86" t="s">
        <v>1610</v>
      </c>
      <c r="G1097" s="86" t="s">
        <v>708</v>
      </c>
      <c r="H1097" s="86" t="s">
        <v>1665</v>
      </c>
      <c r="I1097" s="87" t="s">
        <v>3066</v>
      </c>
      <c r="J1097" s="84" t="s">
        <v>554</v>
      </c>
      <c r="K1097" s="84" t="s">
        <v>555</v>
      </c>
    </row>
    <row r="1098" spans="1:11" ht="15.75" x14ac:dyDescent="0.3">
      <c r="A1098" s="86" t="s">
        <v>3070</v>
      </c>
      <c r="B1098" s="86" t="s">
        <v>3065</v>
      </c>
      <c r="C1098" s="86" t="s">
        <v>292</v>
      </c>
      <c r="D1098" s="86" t="s">
        <v>970</v>
      </c>
      <c r="E1098" s="86" t="s">
        <v>971</v>
      </c>
      <c r="F1098" s="86" t="s">
        <v>972</v>
      </c>
      <c r="G1098" s="86" t="s">
        <v>708</v>
      </c>
      <c r="H1098" s="86" t="s">
        <v>973</v>
      </c>
      <c r="I1098" s="87" t="s">
        <v>3066</v>
      </c>
      <c r="J1098" s="84" t="s">
        <v>554</v>
      </c>
      <c r="K1098" s="84" t="s">
        <v>555</v>
      </c>
    </row>
    <row r="1099" spans="1:11" ht="15.75" x14ac:dyDescent="0.3">
      <c r="A1099" s="86" t="s">
        <v>3071</v>
      </c>
      <c r="B1099" s="86" t="s">
        <v>3065</v>
      </c>
      <c r="C1099" s="86" t="s">
        <v>293</v>
      </c>
      <c r="D1099" s="86" t="s">
        <v>1153</v>
      </c>
      <c r="E1099" s="86" t="s">
        <v>207</v>
      </c>
      <c r="F1099" s="86" t="s">
        <v>209</v>
      </c>
      <c r="G1099" s="86" t="s">
        <v>683</v>
      </c>
      <c r="H1099" s="86" t="s">
        <v>1154</v>
      </c>
      <c r="I1099" s="87" t="s">
        <v>3066</v>
      </c>
      <c r="J1099" s="84" t="s">
        <v>554</v>
      </c>
      <c r="K1099" s="84" t="s">
        <v>555</v>
      </c>
    </row>
    <row r="1100" spans="1:11" ht="15.75" x14ac:dyDescent="0.3">
      <c r="A1100" s="86" t="s">
        <v>3072</v>
      </c>
      <c r="B1100" s="86" t="s">
        <v>3065</v>
      </c>
      <c r="C1100" s="86" t="s">
        <v>293</v>
      </c>
      <c r="D1100" s="86" t="s">
        <v>1678</v>
      </c>
      <c r="E1100" s="86" t="s">
        <v>1679</v>
      </c>
      <c r="F1100" s="86" t="s">
        <v>1680</v>
      </c>
      <c r="G1100" s="86" t="s">
        <v>965</v>
      </c>
      <c r="H1100" s="86" t="s">
        <v>1681</v>
      </c>
      <c r="I1100" s="87" t="s">
        <v>3073</v>
      </c>
      <c r="J1100" s="84" t="s">
        <v>554</v>
      </c>
      <c r="K1100" s="84" t="s">
        <v>555</v>
      </c>
    </row>
    <row r="1101" spans="1:11" ht="15.75" x14ac:dyDescent="0.3">
      <c r="A1101" s="86" t="s">
        <v>3074</v>
      </c>
      <c r="B1101" s="86" t="s">
        <v>3065</v>
      </c>
      <c r="C1101" s="86" t="s">
        <v>293</v>
      </c>
      <c r="D1101" s="86" t="s">
        <v>1162</v>
      </c>
      <c r="E1101" s="86" t="s">
        <v>1163</v>
      </c>
      <c r="F1101" s="86" t="s">
        <v>1164</v>
      </c>
      <c r="G1101" s="86" t="s">
        <v>579</v>
      </c>
      <c r="H1101" s="86" t="s">
        <v>1165</v>
      </c>
      <c r="I1101" s="87" t="s">
        <v>3066</v>
      </c>
      <c r="J1101" s="84" t="s">
        <v>554</v>
      </c>
      <c r="K1101" s="84" t="s">
        <v>555</v>
      </c>
    </row>
    <row r="1102" spans="1:11" ht="15.75" x14ac:dyDescent="0.3">
      <c r="A1102" s="86" t="s">
        <v>3075</v>
      </c>
      <c r="B1102" s="86" t="s">
        <v>3065</v>
      </c>
      <c r="C1102" s="86" t="s">
        <v>293</v>
      </c>
      <c r="D1102" s="86" t="s">
        <v>1169</v>
      </c>
      <c r="E1102" s="86" t="s">
        <v>1170</v>
      </c>
      <c r="F1102" s="86" t="s">
        <v>1171</v>
      </c>
      <c r="G1102" s="86" t="s">
        <v>579</v>
      </c>
      <c r="H1102" s="86" t="s">
        <v>1172</v>
      </c>
      <c r="I1102" s="87" t="s">
        <v>3076</v>
      </c>
      <c r="J1102" s="84" t="s">
        <v>554</v>
      </c>
      <c r="K1102" s="84" t="s">
        <v>555</v>
      </c>
    </row>
    <row r="1103" spans="1:11" ht="15.75" x14ac:dyDescent="0.3">
      <c r="A1103" s="86" t="s">
        <v>3077</v>
      </c>
      <c r="B1103" s="86" t="s">
        <v>3065</v>
      </c>
      <c r="C1103" s="86" t="s">
        <v>293</v>
      </c>
      <c r="D1103" s="86" t="s">
        <v>924</v>
      </c>
      <c r="E1103" s="86" t="s">
        <v>126</v>
      </c>
      <c r="F1103" s="86" t="s">
        <v>128</v>
      </c>
      <c r="G1103" s="86" t="s">
        <v>579</v>
      </c>
      <c r="H1103" s="86" t="s">
        <v>1696</v>
      </c>
      <c r="I1103" s="87" t="s">
        <v>3078</v>
      </c>
      <c r="J1103" s="84" t="s">
        <v>554</v>
      </c>
      <c r="K1103" s="84" t="s">
        <v>555</v>
      </c>
    </row>
    <row r="1104" spans="1:11" ht="15.75" x14ac:dyDescent="0.3">
      <c r="A1104" s="86" t="s">
        <v>3079</v>
      </c>
      <c r="B1104" s="86" t="s">
        <v>3065</v>
      </c>
      <c r="C1104" s="86" t="s">
        <v>293</v>
      </c>
      <c r="D1104" s="86" t="s">
        <v>980</v>
      </c>
      <c r="E1104" s="86" t="s">
        <v>224</v>
      </c>
      <c r="F1104" s="86" t="s">
        <v>226</v>
      </c>
      <c r="G1104" s="86" t="s">
        <v>652</v>
      </c>
      <c r="H1104" s="86" t="s">
        <v>981</v>
      </c>
      <c r="I1104" s="87" t="s">
        <v>3073</v>
      </c>
      <c r="J1104" s="84" t="s">
        <v>554</v>
      </c>
      <c r="K1104" s="84" t="s">
        <v>555</v>
      </c>
    </row>
    <row r="1105" spans="1:11" ht="15.75" x14ac:dyDescent="0.3">
      <c r="A1105" s="86" t="s">
        <v>3080</v>
      </c>
      <c r="B1105" s="86" t="s">
        <v>3065</v>
      </c>
      <c r="C1105" s="86" t="s">
        <v>292</v>
      </c>
      <c r="D1105" s="86" t="s">
        <v>947</v>
      </c>
      <c r="E1105" s="86" t="s">
        <v>131</v>
      </c>
      <c r="F1105" s="86" t="s">
        <v>133</v>
      </c>
      <c r="G1105" s="86" t="s">
        <v>740</v>
      </c>
      <c r="H1105" s="86" t="s">
        <v>1710</v>
      </c>
      <c r="I1105" s="87" t="s">
        <v>3066</v>
      </c>
      <c r="J1105" s="84" t="s">
        <v>554</v>
      </c>
      <c r="K1105" s="84" t="s">
        <v>555</v>
      </c>
    </row>
    <row r="1106" spans="1:11" ht="15.75" x14ac:dyDescent="0.3">
      <c r="A1106" s="86" t="s">
        <v>3081</v>
      </c>
      <c r="B1106" s="86" t="s">
        <v>3065</v>
      </c>
      <c r="C1106" s="86" t="s">
        <v>293</v>
      </c>
      <c r="D1106" s="86" t="s">
        <v>1954</v>
      </c>
      <c r="E1106" s="86" t="s">
        <v>1955</v>
      </c>
      <c r="F1106" s="86" t="s">
        <v>1956</v>
      </c>
      <c r="G1106" s="86" t="s">
        <v>851</v>
      </c>
      <c r="H1106" s="86" t="s">
        <v>1957</v>
      </c>
      <c r="I1106" s="87" t="s">
        <v>3066</v>
      </c>
      <c r="J1106" s="84" t="s">
        <v>554</v>
      </c>
      <c r="K1106" s="84" t="s">
        <v>555</v>
      </c>
    </row>
    <row r="1107" spans="1:11" ht="15.75" x14ac:dyDescent="0.3">
      <c r="A1107" s="86" t="s">
        <v>3082</v>
      </c>
      <c r="B1107" s="86" t="s">
        <v>3065</v>
      </c>
      <c r="C1107" s="86" t="s">
        <v>293</v>
      </c>
      <c r="D1107" s="86" t="s">
        <v>838</v>
      </c>
      <c r="E1107" s="86" t="s">
        <v>1382</v>
      </c>
      <c r="F1107" s="86" t="s">
        <v>840</v>
      </c>
      <c r="G1107" s="86" t="s">
        <v>851</v>
      </c>
      <c r="H1107" s="86" t="s">
        <v>1725</v>
      </c>
      <c r="I1107" s="87" t="s">
        <v>3078</v>
      </c>
      <c r="J1107" s="84" t="s">
        <v>554</v>
      </c>
      <c r="K1107" s="84" t="s">
        <v>555</v>
      </c>
    </row>
    <row r="1108" spans="1:11" ht="15.75" x14ac:dyDescent="0.3">
      <c r="A1108" s="86" t="s">
        <v>3083</v>
      </c>
      <c r="B1108" s="86" t="s">
        <v>3065</v>
      </c>
      <c r="C1108" s="86" t="s">
        <v>293</v>
      </c>
      <c r="D1108" s="86" t="s">
        <v>834</v>
      </c>
      <c r="E1108" s="86" t="s">
        <v>929</v>
      </c>
      <c r="F1108" s="86" t="s">
        <v>187</v>
      </c>
      <c r="G1108" s="86" t="s">
        <v>588</v>
      </c>
      <c r="H1108" s="86" t="s">
        <v>983</v>
      </c>
      <c r="I1108" s="87" t="s">
        <v>3084</v>
      </c>
      <c r="J1108" s="84" t="s">
        <v>554</v>
      </c>
      <c r="K1108" s="84" t="s">
        <v>555</v>
      </c>
    </row>
    <row r="1109" spans="1:11" ht="15.75" x14ac:dyDescent="0.3">
      <c r="A1109" s="86" t="s">
        <v>3085</v>
      </c>
      <c r="B1109" s="86" t="s">
        <v>3065</v>
      </c>
      <c r="C1109" s="86" t="s">
        <v>293</v>
      </c>
      <c r="D1109" s="86" t="s">
        <v>1732</v>
      </c>
      <c r="E1109" s="86" t="s">
        <v>1733</v>
      </c>
      <c r="F1109" s="86" t="s">
        <v>1734</v>
      </c>
      <c r="G1109" s="86" t="s">
        <v>594</v>
      </c>
      <c r="H1109" s="86" t="s">
        <v>1735</v>
      </c>
      <c r="I1109" s="87" t="s">
        <v>3086</v>
      </c>
      <c r="J1109" s="84" t="s">
        <v>554</v>
      </c>
      <c r="K1109" s="84" t="s">
        <v>555</v>
      </c>
    </row>
    <row r="1110" spans="1:11" ht="15.75" x14ac:dyDescent="0.3">
      <c r="A1110" s="86" t="s">
        <v>3087</v>
      </c>
      <c r="B1110" s="86" t="s">
        <v>3065</v>
      </c>
      <c r="C1110" s="86" t="s">
        <v>292</v>
      </c>
      <c r="D1110" s="86" t="s">
        <v>742</v>
      </c>
      <c r="E1110" s="86" t="s">
        <v>1998</v>
      </c>
      <c r="F1110" s="86" t="s">
        <v>744</v>
      </c>
      <c r="G1110" s="86" t="s">
        <v>594</v>
      </c>
      <c r="H1110" s="86" t="s">
        <v>1999</v>
      </c>
      <c r="I1110" s="87" t="s">
        <v>3078</v>
      </c>
      <c r="J1110" s="84" t="s">
        <v>554</v>
      </c>
      <c r="K1110" s="84" t="s">
        <v>555</v>
      </c>
    </row>
    <row r="1111" spans="1:11" ht="15.75" x14ac:dyDescent="0.3">
      <c r="A1111" s="86" t="s">
        <v>3088</v>
      </c>
      <c r="B1111" s="86" t="s">
        <v>3065</v>
      </c>
      <c r="C1111" s="86" t="s">
        <v>293</v>
      </c>
      <c r="D1111" s="86" t="s">
        <v>1739</v>
      </c>
      <c r="E1111" s="86" t="s">
        <v>148</v>
      </c>
      <c r="F1111" s="86" t="s">
        <v>150</v>
      </c>
      <c r="G1111" s="86" t="s">
        <v>594</v>
      </c>
      <c r="H1111" s="86" t="s">
        <v>1740</v>
      </c>
      <c r="I1111" s="87" t="s">
        <v>3073</v>
      </c>
      <c r="J1111" s="84" t="s">
        <v>554</v>
      </c>
      <c r="K1111" s="84" t="s">
        <v>555</v>
      </c>
    </row>
    <row r="1112" spans="1:11" ht="15.75" x14ac:dyDescent="0.3">
      <c r="A1112" s="86" t="s">
        <v>3089</v>
      </c>
      <c r="B1112" s="86" t="s">
        <v>3065</v>
      </c>
      <c r="C1112" s="86" t="s">
        <v>293</v>
      </c>
      <c r="D1112" s="86" t="s">
        <v>1385</v>
      </c>
      <c r="E1112" s="86" t="s">
        <v>89</v>
      </c>
      <c r="F1112" s="86" t="s">
        <v>91</v>
      </c>
      <c r="G1112" s="86" t="s">
        <v>667</v>
      </c>
      <c r="H1112" s="86" t="s">
        <v>1386</v>
      </c>
      <c r="I1112" s="87" t="s">
        <v>3078</v>
      </c>
      <c r="J1112" s="84" t="s">
        <v>554</v>
      </c>
      <c r="K1112" s="84" t="s">
        <v>555</v>
      </c>
    </row>
    <row r="1113" spans="1:11" ht="15.75" x14ac:dyDescent="0.3">
      <c r="A1113" s="86" t="s">
        <v>3090</v>
      </c>
      <c r="B1113" s="86" t="s">
        <v>3065</v>
      </c>
      <c r="C1113" s="86" t="s">
        <v>292</v>
      </c>
      <c r="D1113" s="86" t="s">
        <v>1011</v>
      </c>
      <c r="E1113" s="86" t="s">
        <v>1012</v>
      </c>
      <c r="F1113" s="86" t="s">
        <v>1013</v>
      </c>
      <c r="G1113" s="86" t="s">
        <v>745</v>
      </c>
      <c r="H1113" s="86" t="s">
        <v>1014</v>
      </c>
      <c r="I1113" s="87" t="s">
        <v>3068</v>
      </c>
      <c r="J1113" s="84" t="s">
        <v>554</v>
      </c>
      <c r="K1113" s="84" t="s">
        <v>555</v>
      </c>
    </row>
    <row r="1114" spans="1:11" ht="15.75" x14ac:dyDescent="0.3">
      <c r="A1114" s="86" t="s">
        <v>3091</v>
      </c>
      <c r="B1114" s="86" t="s">
        <v>3065</v>
      </c>
      <c r="C1114" s="86" t="s">
        <v>293</v>
      </c>
      <c r="D1114" s="86" t="s">
        <v>951</v>
      </c>
      <c r="E1114" s="86" t="s">
        <v>267</v>
      </c>
      <c r="F1114" s="86" t="s">
        <v>269</v>
      </c>
      <c r="G1114" s="86" t="s">
        <v>745</v>
      </c>
      <c r="H1114" s="86" t="s">
        <v>952</v>
      </c>
      <c r="I1114" s="87" t="s">
        <v>3066</v>
      </c>
      <c r="J1114" s="84" t="s">
        <v>554</v>
      </c>
      <c r="K1114" s="84" t="s">
        <v>555</v>
      </c>
    </row>
    <row r="1115" spans="1:11" ht="15.75" x14ac:dyDescent="0.3">
      <c r="A1115" s="86" t="s">
        <v>3092</v>
      </c>
      <c r="B1115" s="86" t="s">
        <v>3065</v>
      </c>
      <c r="C1115" s="86" t="s">
        <v>292</v>
      </c>
      <c r="D1115" s="86" t="s">
        <v>1040</v>
      </c>
      <c r="E1115" s="86" t="s">
        <v>248</v>
      </c>
      <c r="F1115" s="86" t="s">
        <v>250</v>
      </c>
      <c r="G1115" s="86" t="s">
        <v>807</v>
      </c>
      <c r="H1115" s="86" t="s">
        <v>1763</v>
      </c>
      <c r="I1115" s="87" t="s">
        <v>3068</v>
      </c>
      <c r="J1115" s="84" t="s">
        <v>554</v>
      </c>
      <c r="K1115" s="84" t="s">
        <v>555</v>
      </c>
    </row>
    <row r="1116" spans="1:11" ht="15.75" x14ac:dyDescent="0.3">
      <c r="A1116" s="86" t="s">
        <v>3093</v>
      </c>
      <c r="B1116" s="86" t="s">
        <v>3065</v>
      </c>
      <c r="C1116" s="86" t="s">
        <v>292</v>
      </c>
      <c r="D1116" s="86" t="s">
        <v>880</v>
      </c>
      <c r="E1116" s="86" t="s">
        <v>71</v>
      </c>
      <c r="F1116" s="86" t="s">
        <v>73</v>
      </c>
      <c r="G1116" s="86" t="s">
        <v>807</v>
      </c>
      <c r="H1116" s="86" t="s">
        <v>1198</v>
      </c>
      <c r="I1116" s="87" t="s">
        <v>3068</v>
      </c>
      <c r="J1116" s="84" t="s">
        <v>554</v>
      </c>
      <c r="K1116" s="84" t="s">
        <v>555</v>
      </c>
    </row>
    <row r="1117" spans="1:11" ht="15.75" x14ac:dyDescent="0.3">
      <c r="A1117" s="86" t="s">
        <v>3094</v>
      </c>
      <c r="B1117" s="86" t="s">
        <v>3065</v>
      </c>
      <c r="C1117" s="86" t="s">
        <v>293</v>
      </c>
      <c r="D1117" s="86" t="s">
        <v>985</v>
      </c>
      <c r="E1117" s="86" t="s">
        <v>106</v>
      </c>
      <c r="F1117" s="86" t="s">
        <v>108</v>
      </c>
      <c r="G1117" s="86" t="s">
        <v>807</v>
      </c>
      <c r="H1117" s="86" t="s">
        <v>986</v>
      </c>
      <c r="I1117" s="87" t="s">
        <v>3078</v>
      </c>
      <c r="J1117" s="84" t="s">
        <v>554</v>
      </c>
      <c r="K1117" s="84" t="s">
        <v>555</v>
      </c>
    </row>
    <row r="1118" spans="1:11" ht="15.75" x14ac:dyDescent="0.3">
      <c r="A1118" s="86" t="s">
        <v>3095</v>
      </c>
      <c r="B1118" s="86" t="s">
        <v>3065</v>
      </c>
      <c r="C1118" s="86" t="s">
        <v>293</v>
      </c>
      <c r="D1118" s="86" t="s">
        <v>1388</v>
      </c>
      <c r="E1118" s="86" t="s">
        <v>101</v>
      </c>
      <c r="F1118" s="86" t="s">
        <v>103</v>
      </c>
      <c r="G1118" s="86" t="s">
        <v>807</v>
      </c>
      <c r="H1118" s="86" t="s">
        <v>1766</v>
      </c>
      <c r="I1118" s="87" t="s">
        <v>3078</v>
      </c>
      <c r="J1118" s="84" t="s">
        <v>554</v>
      </c>
      <c r="K1118" s="84" t="s">
        <v>555</v>
      </c>
    </row>
    <row r="1119" spans="1:11" ht="15.75" x14ac:dyDescent="0.3">
      <c r="A1119" s="86" t="s">
        <v>3096</v>
      </c>
      <c r="B1119" s="86" t="s">
        <v>3065</v>
      </c>
      <c r="C1119" s="86" t="s">
        <v>292</v>
      </c>
      <c r="D1119" s="86" t="s">
        <v>883</v>
      </c>
      <c r="E1119" s="86" t="s">
        <v>75</v>
      </c>
      <c r="F1119" s="86" t="s">
        <v>77</v>
      </c>
      <c r="G1119" s="86" t="s">
        <v>807</v>
      </c>
      <c r="H1119" s="86" t="s">
        <v>959</v>
      </c>
      <c r="I1119" s="87" t="s">
        <v>3078</v>
      </c>
      <c r="J1119" s="84" t="s">
        <v>554</v>
      </c>
      <c r="K1119" s="84" t="s">
        <v>555</v>
      </c>
    </row>
    <row r="1120" spans="1:11" ht="15.75" x14ac:dyDescent="0.3">
      <c r="A1120" s="86" t="s">
        <v>3097</v>
      </c>
      <c r="B1120" s="86" t="s">
        <v>3065</v>
      </c>
      <c r="C1120" s="86" t="s">
        <v>293</v>
      </c>
      <c r="D1120" s="86" t="s">
        <v>2018</v>
      </c>
      <c r="E1120" s="86" t="s">
        <v>2019</v>
      </c>
      <c r="F1120" s="86" t="s">
        <v>2020</v>
      </c>
      <c r="G1120" s="86" t="s">
        <v>990</v>
      </c>
      <c r="H1120" s="86" t="s">
        <v>2021</v>
      </c>
      <c r="I1120" s="87" t="s">
        <v>3098</v>
      </c>
      <c r="J1120" s="84" t="s">
        <v>554</v>
      </c>
      <c r="K1120" s="84" t="s">
        <v>555</v>
      </c>
    </row>
    <row r="1121" spans="1:11" ht="15.75" x14ac:dyDescent="0.3">
      <c r="A1121" s="86" t="s">
        <v>3099</v>
      </c>
      <c r="B1121" s="86" t="s">
        <v>3065</v>
      </c>
      <c r="C1121" s="86" t="s">
        <v>292</v>
      </c>
      <c r="D1121" s="86" t="s">
        <v>989</v>
      </c>
      <c r="E1121" s="86" t="s">
        <v>252</v>
      </c>
      <c r="F1121" s="86" t="s">
        <v>254</v>
      </c>
      <c r="G1121" s="86" t="s">
        <v>990</v>
      </c>
      <c r="H1121" s="86" t="s">
        <v>991</v>
      </c>
      <c r="I1121" s="87" t="s">
        <v>3076</v>
      </c>
      <c r="J1121" s="84" t="s">
        <v>554</v>
      </c>
      <c r="K1121" s="84" t="s">
        <v>555</v>
      </c>
    </row>
    <row r="1122" spans="1:11" ht="15.75" x14ac:dyDescent="0.3">
      <c r="A1122" s="86" t="s">
        <v>3100</v>
      </c>
      <c r="B1122" s="86" t="s">
        <v>3065</v>
      </c>
      <c r="C1122" s="86" t="s">
        <v>292</v>
      </c>
      <c r="D1122" s="86" t="s">
        <v>2023</v>
      </c>
      <c r="E1122" s="86" t="s">
        <v>2024</v>
      </c>
      <c r="F1122" s="86" t="s">
        <v>2025</v>
      </c>
      <c r="G1122" s="86" t="s">
        <v>551</v>
      </c>
      <c r="H1122" s="86" t="s">
        <v>2026</v>
      </c>
      <c r="I1122" s="87" t="s">
        <v>3066</v>
      </c>
      <c r="J1122" s="84" t="s">
        <v>554</v>
      </c>
      <c r="K1122" s="84" t="s">
        <v>555</v>
      </c>
    </row>
    <row r="1123" spans="1:11" ht="15.75" x14ac:dyDescent="0.3">
      <c r="A1123" s="86" t="s">
        <v>3101</v>
      </c>
      <c r="B1123" s="86" t="s">
        <v>3102</v>
      </c>
      <c r="C1123" s="86" t="s">
        <v>293</v>
      </c>
      <c r="D1123" s="86" t="s">
        <v>768</v>
      </c>
      <c r="E1123" s="86" t="s">
        <v>769</v>
      </c>
      <c r="F1123" s="86" t="s">
        <v>770</v>
      </c>
      <c r="G1123" s="86" t="s">
        <v>990</v>
      </c>
      <c r="H1123" s="86" t="s">
        <v>1769</v>
      </c>
      <c r="I1123" s="87" t="s">
        <v>3103</v>
      </c>
      <c r="J1123" s="84" t="s">
        <v>554</v>
      </c>
      <c r="K1123" s="84" t="s">
        <v>555</v>
      </c>
    </row>
    <row r="1124" spans="1:11" ht="15.75" x14ac:dyDescent="0.3">
      <c r="A1124" s="86" t="s">
        <v>3104</v>
      </c>
      <c r="B1124" s="86" t="s">
        <v>3105</v>
      </c>
      <c r="C1124" s="86" t="s">
        <v>293</v>
      </c>
      <c r="D1124" s="86" t="s">
        <v>1860</v>
      </c>
      <c r="E1124" s="86" t="s">
        <v>1861</v>
      </c>
      <c r="F1124" s="86" t="s">
        <v>1862</v>
      </c>
      <c r="G1124" s="86" t="s">
        <v>708</v>
      </c>
      <c r="H1124" s="86" t="s">
        <v>1863</v>
      </c>
      <c r="I1124" s="87" t="s">
        <v>3106</v>
      </c>
      <c r="J1124" s="84" t="s">
        <v>554</v>
      </c>
      <c r="K1124" s="84" t="s">
        <v>555</v>
      </c>
    </row>
    <row r="1125" spans="1:11" ht="15.75" x14ac:dyDescent="0.3">
      <c r="A1125" s="86" t="s">
        <v>3107</v>
      </c>
      <c r="B1125" s="86" t="s">
        <v>3105</v>
      </c>
      <c r="C1125" s="86" t="s">
        <v>293</v>
      </c>
      <c r="D1125" s="86" t="s">
        <v>955</v>
      </c>
      <c r="E1125" s="86" t="s">
        <v>38</v>
      </c>
      <c r="F1125" s="86" t="s">
        <v>40</v>
      </c>
      <c r="G1125" s="86" t="s">
        <v>622</v>
      </c>
      <c r="H1125" s="86" t="s">
        <v>956</v>
      </c>
      <c r="I1125" s="87" t="s">
        <v>3108</v>
      </c>
      <c r="J1125" s="84" t="s">
        <v>554</v>
      </c>
      <c r="K1125" s="84" t="s">
        <v>555</v>
      </c>
    </row>
    <row r="1126" spans="1:11" ht="15.75" x14ac:dyDescent="0.3">
      <c r="A1126" s="86" t="s">
        <v>3109</v>
      </c>
      <c r="B1126" s="86" t="s">
        <v>3105</v>
      </c>
      <c r="C1126" s="86" t="s">
        <v>293</v>
      </c>
      <c r="D1126" s="86" t="s">
        <v>962</v>
      </c>
      <c r="E1126" s="86" t="s">
        <v>963</v>
      </c>
      <c r="F1126" s="86" t="s">
        <v>964</v>
      </c>
      <c r="G1126" s="86" t="s">
        <v>965</v>
      </c>
      <c r="H1126" s="86" t="s">
        <v>966</v>
      </c>
      <c r="I1126" s="87" t="s">
        <v>3108</v>
      </c>
      <c r="J1126" s="84" t="s">
        <v>554</v>
      </c>
      <c r="K1126" s="84" t="s">
        <v>555</v>
      </c>
    </row>
    <row r="1127" spans="1:11" ht="15.75" x14ac:dyDescent="0.3">
      <c r="A1127" s="86" t="s">
        <v>3110</v>
      </c>
      <c r="B1127" s="86" t="s">
        <v>3105</v>
      </c>
      <c r="C1127" s="86" t="s">
        <v>293</v>
      </c>
      <c r="D1127" s="86" t="s">
        <v>1017</v>
      </c>
      <c r="E1127" s="86" t="s">
        <v>259</v>
      </c>
      <c r="F1127" s="86" t="s">
        <v>261</v>
      </c>
      <c r="G1127" s="86" t="s">
        <v>579</v>
      </c>
      <c r="H1127" s="86" t="s">
        <v>1167</v>
      </c>
      <c r="I1127" s="87" t="s">
        <v>3111</v>
      </c>
      <c r="J1127" s="84" t="s">
        <v>554</v>
      </c>
      <c r="K1127" s="84" t="s">
        <v>555</v>
      </c>
    </row>
    <row r="1128" spans="1:11" ht="15.75" x14ac:dyDescent="0.3">
      <c r="A1128" s="86" t="s">
        <v>3112</v>
      </c>
      <c r="B1128" s="86" t="s">
        <v>3105</v>
      </c>
      <c r="C1128" s="86" t="s">
        <v>292</v>
      </c>
      <c r="D1128" s="86" t="s">
        <v>583</v>
      </c>
      <c r="E1128" s="86" t="s">
        <v>53</v>
      </c>
      <c r="F1128" s="86" t="s">
        <v>55</v>
      </c>
      <c r="G1128" s="86" t="s">
        <v>661</v>
      </c>
      <c r="H1128" s="86" t="s">
        <v>670</v>
      </c>
      <c r="I1128" s="87" t="s">
        <v>3111</v>
      </c>
      <c r="J1128" s="84" t="s">
        <v>554</v>
      </c>
      <c r="K1128" s="84" t="s">
        <v>555</v>
      </c>
    </row>
    <row r="1129" spans="1:11" ht="15.75" x14ac:dyDescent="0.3">
      <c r="A1129" s="86" t="s">
        <v>3113</v>
      </c>
      <c r="B1129" s="86" t="s">
        <v>3105</v>
      </c>
      <c r="C1129" s="86" t="s">
        <v>293</v>
      </c>
      <c r="D1129" s="86" t="s">
        <v>1717</v>
      </c>
      <c r="E1129" s="86" t="s">
        <v>67</v>
      </c>
      <c r="F1129" s="86" t="s">
        <v>69</v>
      </c>
      <c r="G1129" s="86" t="s">
        <v>691</v>
      </c>
      <c r="H1129" s="86" t="s">
        <v>1718</v>
      </c>
      <c r="I1129" s="87" t="s">
        <v>3106</v>
      </c>
      <c r="J1129" s="84" t="s">
        <v>554</v>
      </c>
      <c r="K1129" s="84" t="s">
        <v>555</v>
      </c>
    </row>
    <row r="1130" spans="1:11" ht="15.75" x14ac:dyDescent="0.3">
      <c r="A1130" s="86" t="s">
        <v>3114</v>
      </c>
      <c r="B1130" s="86" t="s">
        <v>3105</v>
      </c>
      <c r="C1130" s="86" t="s">
        <v>293</v>
      </c>
      <c r="D1130" s="86" t="s">
        <v>1192</v>
      </c>
      <c r="E1130" s="86" t="s">
        <v>94</v>
      </c>
      <c r="F1130" s="86" t="s">
        <v>96</v>
      </c>
      <c r="G1130" s="86" t="s">
        <v>754</v>
      </c>
      <c r="H1130" s="86" t="s">
        <v>1193</v>
      </c>
      <c r="I1130" s="87" t="s">
        <v>3106</v>
      </c>
      <c r="J1130" s="84" t="s">
        <v>554</v>
      </c>
      <c r="K1130" s="84" t="s">
        <v>555</v>
      </c>
    </row>
    <row r="1131" spans="1:11" ht="15.75" x14ac:dyDescent="0.3">
      <c r="A1131" s="86" t="s">
        <v>3115</v>
      </c>
      <c r="B1131" s="86" t="s">
        <v>3116</v>
      </c>
      <c r="C1131" s="86" t="s">
        <v>294</v>
      </c>
      <c r="D1131" s="86" t="s">
        <v>737</v>
      </c>
      <c r="E1131" s="86" t="s">
        <v>738</v>
      </c>
      <c r="F1131" s="86" t="s">
        <v>739</v>
      </c>
      <c r="G1131" s="86" t="s">
        <v>740</v>
      </c>
      <c r="H1131" s="86" t="s">
        <v>1308</v>
      </c>
      <c r="I1131" s="87" t="s">
        <v>3117</v>
      </c>
      <c r="J1131" s="84" t="s">
        <v>554</v>
      </c>
      <c r="K1131" s="84" t="s">
        <v>555</v>
      </c>
    </row>
    <row r="1132" spans="1:11" ht="15.75" x14ac:dyDescent="0.3">
      <c r="A1132" s="86" t="s">
        <v>3118</v>
      </c>
      <c r="B1132" s="86" t="s">
        <v>3119</v>
      </c>
      <c r="C1132" s="86" t="s">
        <v>294</v>
      </c>
      <c r="D1132" s="86" t="s">
        <v>737</v>
      </c>
      <c r="E1132" s="86" t="s">
        <v>738</v>
      </c>
      <c r="F1132" s="86" t="s">
        <v>739</v>
      </c>
      <c r="G1132" s="86" t="s">
        <v>740</v>
      </c>
      <c r="H1132" s="86" t="s">
        <v>1308</v>
      </c>
      <c r="I1132" s="87" t="s">
        <v>3120</v>
      </c>
      <c r="J1132" s="84" t="s">
        <v>554</v>
      </c>
      <c r="K1132" s="84" t="s">
        <v>555</v>
      </c>
    </row>
    <row r="1133" spans="1:11" ht="15.75" x14ac:dyDescent="0.3">
      <c r="A1133" s="86" t="s">
        <v>3121</v>
      </c>
      <c r="B1133" s="86" t="s">
        <v>3122</v>
      </c>
      <c r="C1133" s="86" t="s">
        <v>294</v>
      </c>
      <c r="D1133" s="86" t="s">
        <v>1067</v>
      </c>
      <c r="E1133" s="86" t="s">
        <v>1068</v>
      </c>
      <c r="F1133" s="86" t="s">
        <v>1069</v>
      </c>
      <c r="G1133" s="86" t="s">
        <v>588</v>
      </c>
      <c r="H1133" s="86" t="s">
        <v>3123</v>
      </c>
      <c r="I1133" s="87" t="s">
        <v>3124</v>
      </c>
      <c r="J1133" s="84" t="s">
        <v>554</v>
      </c>
      <c r="K1133" s="84" t="s">
        <v>555</v>
      </c>
    </row>
    <row r="1134" spans="1:11" ht="15.75" x14ac:dyDescent="0.3">
      <c r="A1134" s="86" t="s">
        <v>3125</v>
      </c>
      <c r="B1134" s="86" t="s">
        <v>3126</v>
      </c>
      <c r="C1134" s="86" t="s">
        <v>294</v>
      </c>
      <c r="D1134" s="86" t="s">
        <v>1067</v>
      </c>
      <c r="E1134" s="86" t="s">
        <v>1068</v>
      </c>
      <c r="F1134" s="86" t="s">
        <v>1069</v>
      </c>
      <c r="G1134" s="86" t="s">
        <v>588</v>
      </c>
      <c r="H1134" s="86" t="s">
        <v>3123</v>
      </c>
      <c r="I1134" s="87" t="s">
        <v>1225</v>
      </c>
      <c r="J1134" s="84" t="s">
        <v>554</v>
      </c>
      <c r="K1134" s="84" t="s">
        <v>555</v>
      </c>
    </row>
    <row r="1135" spans="1:11" ht="15.75" x14ac:dyDescent="0.3">
      <c r="A1135" s="86" t="s">
        <v>3127</v>
      </c>
      <c r="B1135" s="86" t="s">
        <v>3128</v>
      </c>
      <c r="C1135" s="86" t="s">
        <v>294</v>
      </c>
      <c r="D1135" s="86" t="s">
        <v>838</v>
      </c>
      <c r="E1135" s="86" t="s">
        <v>839</v>
      </c>
      <c r="F1135" s="86" t="s">
        <v>840</v>
      </c>
      <c r="G1135" s="86" t="s">
        <v>551</v>
      </c>
      <c r="H1135" s="86" t="s">
        <v>3129</v>
      </c>
      <c r="I1135" s="87" t="s">
        <v>3130</v>
      </c>
      <c r="J1135" s="84" t="s">
        <v>554</v>
      </c>
      <c r="K1135" s="84" t="s">
        <v>555</v>
      </c>
    </row>
    <row r="1136" spans="1:11" ht="15.75" x14ac:dyDescent="0.3">
      <c r="A1136" s="86" t="s">
        <v>3131</v>
      </c>
      <c r="B1136" s="86" t="s">
        <v>3132</v>
      </c>
      <c r="C1136" s="86" t="s">
        <v>294</v>
      </c>
      <c r="D1136" s="86" t="s">
        <v>838</v>
      </c>
      <c r="E1136" s="86" t="s">
        <v>839</v>
      </c>
      <c r="F1136" s="86" t="s">
        <v>840</v>
      </c>
      <c r="G1136" s="86" t="s">
        <v>551</v>
      </c>
      <c r="H1136" s="86" t="s">
        <v>2542</v>
      </c>
      <c r="I1136" s="87" t="s">
        <v>1891</v>
      </c>
      <c r="J1136" s="84" t="s">
        <v>554</v>
      </c>
      <c r="K1136" s="84" t="s">
        <v>555</v>
      </c>
    </row>
    <row r="1137" spans="1:11" ht="15.75" x14ac:dyDescent="0.3">
      <c r="A1137" s="86" t="s">
        <v>3133</v>
      </c>
      <c r="B1137" s="86" t="s">
        <v>3134</v>
      </c>
      <c r="C1137" s="86" t="s">
        <v>293</v>
      </c>
      <c r="D1137" s="86" t="s">
        <v>821</v>
      </c>
      <c r="E1137" s="86" t="s">
        <v>822</v>
      </c>
      <c r="F1137" s="86" t="s">
        <v>823</v>
      </c>
      <c r="G1137" s="86" t="s">
        <v>824</v>
      </c>
      <c r="H1137" s="86" t="s">
        <v>825</v>
      </c>
      <c r="I1137" s="87" t="s">
        <v>3135</v>
      </c>
      <c r="J1137" s="84" t="s">
        <v>554</v>
      </c>
      <c r="K1137" s="84" t="s">
        <v>555</v>
      </c>
    </row>
    <row r="1138" spans="1:11" ht="15.75" x14ac:dyDescent="0.3">
      <c r="A1138" s="86" t="s">
        <v>3136</v>
      </c>
      <c r="B1138" s="86" t="s">
        <v>3137</v>
      </c>
      <c r="C1138" s="86" t="s">
        <v>293</v>
      </c>
      <c r="D1138" s="86" t="s">
        <v>1413</v>
      </c>
      <c r="E1138" s="86" t="s">
        <v>1414</v>
      </c>
      <c r="F1138" s="86" t="s">
        <v>1415</v>
      </c>
      <c r="G1138" s="86" t="s">
        <v>708</v>
      </c>
      <c r="H1138" s="86" t="s">
        <v>2156</v>
      </c>
      <c r="I1138" s="87" t="s">
        <v>974</v>
      </c>
      <c r="J1138" s="84" t="s">
        <v>554</v>
      </c>
      <c r="K1138" s="84" t="s">
        <v>555</v>
      </c>
    </row>
    <row r="1139" spans="1:11" ht="15.75" x14ac:dyDescent="0.3">
      <c r="A1139" s="86" t="s">
        <v>3138</v>
      </c>
      <c r="B1139" s="86" t="s">
        <v>3137</v>
      </c>
      <c r="C1139" s="86" t="s">
        <v>292</v>
      </c>
      <c r="D1139" s="86" t="s">
        <v>1025</v>
      </c>
      <c r="E1139" s="86" t="s">
        <v>1202</v>
      </c>
      <c r="F1139" s="86" t="s">
        <v>1027</v>
      </c>
      <c r="G1139" s="86" t="s">
        <v>750</v>
      </c>
      <c r="H1139" s="86" t="s">
        <v>1410</v>
      </c>
      <c r="I1139" s="87" t="s">
        <v>731</v>
      </c>
      <c r="J1139" s="84" t="s">
        <v>554</v>
      </c>
      <c r="K1139" s="84" t="s">
        <v>555</v>
      </c>
    </row>
    <row r="1140" spans="1:11" ht="15.75" x14ac:dyDescent="0.3">
      <c r="A1140" s="86" t="s">
        <v>3139</v>
      </c>
      <c r="B1140" s="86" t="s">
        <v>3137</v>
      </c>
      <c r="C1140" s="86" t="s">
        <v>292</v>
      </c>
      <c r="D1140" s="86" t="s">
        <v>1025</v>
      </c>
      <c r="E1140" s="86" t="s">
        <v>1564</v>
      </c>
      <c r="F1140" s="86" t="s">
        <v>1027</v>
      </c>
      <c r="G1140" s="86" t="s">
        <v>551</v>
      </c>
      <c r="H1140" s="86" t="s">
        <v>1565</v>
      </c>
      <c r="I1140" s="87" t="s">
        <v>974</v>
      </c>
      <c r="J1140" s="84" t="s">
        <v>554</v>
      </c>
      <c r="K1140" s="84" t="s">
        <v>555</v>
      </c>
    </row>
    <row r="1141" spans="1:11" ht="15.75" x14ac:dyDescent="0.3">
      <c r="A1141" s="86" t="s">
        <v>3140</v>
      </c>
      <c r="B1141" s="86" t="s">
        <v>3141</v>
      </c>
      <c r="C1141" s="86" t="s">
        <v>294</v>
      </c>
      <c r="D1141" s="86" t="s">
        <v>1336</v>
      </c>
      <c r="E1141" s="86" t="s">
        <v>1337</v>
      </c>
      <c r="F1141" s="86" t="s">
        <v>237</v>
      </c>
      <c r="G1141" s="86" t="s">
        <v>683</v>
      </c>
      <c r="H1141" s="86" t="s">
        <v>2735</v>
      </c>
      <c r="I1141" s="87" t="s">
        <v>3142</v>
      </c>
      <c r="J1141" s="84" t="s">
        <v>554</v>
      </c>
      <c r="K1141" s="84" t="s">
        <v>555</v>
      </c>
    </row>
    <row r="1142" spans="1:11" ht="15.75" x14ac:dyDescent="0.3">
      <c r="A1142" s="86" t="s">
        <v>3143</v>
      </c>
      <c r="B1142" s="86" t="s">
        <v>3144</v>
      </c>
      <c r="C1142" s="86" t="s">
        <v>294</v>
      </c>
      <c r="D1142" s="86" t="s">
        <v>711</v>
      </c>
      <c r="E1142" s="86" t="s">
        <v>278</v>
      </c>
      <c r="F1142" s="86" t="s">
        <v>280</v>
      </c>
      <c r="G1142" s="86" t="s">
        <v>708</v>
      </c>
      <c r="H1142" s="86" t="s">
        <v>1332</v>
      </c>
      <c r="I1142" s="87" t="s">
        <v>2628</v>
      </c>
      <c r="J1142" s="84" t="s">
        <v>554</v>
      </c>
      <c r="K1142" s="84" t="s">
        <v>555</v>
      </c>
    </row>
    <row r="1143" spans="1:11" ht="15.75" x14ac:dyDescent="0.3">
      <c r="A1143" s="86" t="s">
        <v>3145</v>
      </c>
      <c r="B1143" s="86" t="s">
        <v>3144</v>
      </c>
      <c r="C1143" s="86" t="s">
        <v>294</v>
      </c>
      <c r="D1143" s="86" t="s">
        <v>713</v>
      </c>
      <c r="E1143" s="86" t="s">
        <v>714</v>
      </c>
      <c r="F1143" s="86" t="s">
        <v>715</v>
      </c>
      <c r="G1143" s="86" t="s">
        <v>965</v>
      </c>
      <c r="H1143" s="86" t="s">
        <v>3146</v>
      </c>
      <c r="I1143" s="87" t="s">
        <v>2628</v>
      </c>
      <c r="J1143" s="84" t="s">
        <v>554</v>
      </c>
      <c r="K1143" s="84" t="s">
        <v>555</v>
      </c>
    </row>
    <row r="1144" spans="1:11" ht="15.75" x14ac:dyDescent="0.3">
      <c r="A1144" s="86" t="s">
        <v>3147</v>
      </c>
      <c r="B1144" s="86" t="s">
        <v>3144</v>
      </c>
      <c r="C1144" s="86" t="s">
        <v>294</v>
      </c>
      <c r="D1144" s="86" t="s">
        <v>597</v>
      </c>
      <c r="E1144" s="86" t="s">
        <v>598</v>
      </c>
      <c r="F1144" s="86" t="s">
        <v>599</v>
      </c>
      <c r="G1144" s="86" t="s">
        <v>551</v>
      </c>
      <c r="H1144" s="86" t="s">
        <v>1099</v>
      </c>
      <c r="I1144" s="87" t="s">
        <v>2628</v>
      </c>
      <c r="J1144" s="84" t="s">
        <v>554</v>
      </c>
      <c r="K1144" s="84" t="s">
        <v>555</v>
      </c>
    </row>
    <row r="1145" spans="1:11" ht="15.75" x14ac:dyDescent="0.3">
      <c r="A1145" s="86" t="s">
        <v>3148</v>
      </c>
      <c r="B1145" s="86" t="s">
        <v>3149</v>
      </c>
      <c r="C1145" s="86" t="s">
        <v>294</v>
      </c>
      <c r="D1145" s="86" t="s">
        <v>834</v>
      </c>
      <c r="E1145" s="86" t="s">
        <v>185</v>
      </c>
      <c r="F1145" s="86" t="s">
        <v>187</v>
      </c>
      <c r="G1145" s="86" t="s">
        <v>675</v>
      </c>
      <c r="H1145" s="86" t="s">
        <v>835</v>
      </c>
      <c r="I1145" s="87" t="s">
        <v>3150</v>
      </c>
      <c r="J1145" s="84" t="s">
        <v>554</v>
      </c>
      <c r="K1145" s="84" t="s">
        <v>555</v>
      </c>
    </row>
    <row r="1146" spans="1:11" ht="15.75" x14ac:dyDescent="0.3">
      <c r="A1146" s="86" t="s">
        <v>3151</v>
      </c>
      <c r="B1146" s="86" t="s">
        <v>3152</v>
      </c>
      <c r="C1146" s="86" t="s">
        <v>294</v>
      </c>
      <c r="D1146" s="86" t="s">
        <v>732</v>
      </c>
      <c r="E1146" s="86" t="s">
        <v>733</v>
      </c>
      <c r="F1146" s="86" t="s">
        <v>734</v>
      </c>
      <c r="G1146" s="86" t="s">
        <v>584</v>
      </c>
      <c r="H1146" s="86" t="s">
        <v>1276</v>
      </c>
      <c r="I1146" s="87" t="s">
        <v>3153</v>
      </c>
      <c r="J1146" s="84" t="s">
        <v>554</v>
      </c>
      <c r="K1146" s="84" t="s">
        <v>555</v>
      </c>
    </row>
    <row r="1147" spans="1:11" ht="15.75" x14ac:dyDescent="0.3">
      <c r="A1147" s="86" t="s">
        <v>3154</v>
      </c>
      <c r="B1147" s="86" t="s">
        <v>3155</v>
      </c>
      <c r="C1147" s="86" t="s">
        <v>294</v>
      </c>
      <c r="D1147" s="86" t="s">
        <v>834</v>
      </c>
      <c r="E1147" s="86" t="s">
        <v>185</v>
      </c>
      <c r="F1147" s="86" t="s">
        <v>187</v>
      </c>
      <c r="G1147" s="86" t="s">
        <v>675</v>
      </c>
      <c r="H1147" s="86" t="s">
        <v>835</v>
      </c>
      <c r="I1147" s="87" t="s">
        <v>3150</v>
      </c>
      <c r="J1147" s="84" t="s">
        <v>554</v>
      </c>
      <c r="K1147" s="84" t="s">
        <v>555</v>
      </c>
    </row>
    <row r="1148" spans="1:11" ht="15.75" x14ac:dyDescent="0.3">
      <c r="A1148" s="86" t="s">
        <v>3156</v>
      </c>
      <c r="B1148" s="86" t="s">
        <v>638</v>
      </c>
      <c r="C1148" s="86" t="s">
        <v>292</v>
      </c>
      <c r="D1148" s="86" t="s">
        <v>1174</v>
      </c>
      <c r="E1148" s="86" t="s">
        <v>190</v>
      </c>
      <c r="F1148" s="86" t="s">
        <v>192</v>
      </c>
      <c r="G1148" s="86" t="s">
        <v>990</v>
      </c>
      <c r="H1148" s="86" t="s">
        <v>3157</v>
      </c>
      <c r="I1148" s="87" t="s">
        <v>642</v>
      </c>
      <c r="J1148" s="84" t="s">
        <v>554</v>
      </c>
      <c r="K1148" s="84" t="s">
        <v>555</v>
      </c>
    </row>
    <row r="1149" spans="1:11" ht="15.75" x14ac:dyDescent="0.3">
      <c r="A1149" s="86" t="s">
        <v>3158</v>
      </c>
      <c r="B1149" s="86" t="s">
        <v>3159</v>
      </c>
      <c r="C1149" s="86" t="s">
        <v>294</v>
      </c>
      <c r="D1149" s="86" t="s">
        <v>791</v>
      </c>
      <c r="E1149" s="86" t="s">
        <v>792</v>
      </c>
      <c r="F1149" s="86" t="s">
        <v>793</v>
      </c>
      <c r="G1149" s="86" t="s">
        <v>740</v>
      </c>
      <c r="H1149" s="86" t="s">
        <v>829</v>
      </c>
      <c r="I1149" s="87" t="s">
        <v>1768</v>
      </c>
      <c r="J1149" s="84" t="s">
        <v>554</v>
      </c>
      <c r="K1149" s="84" t="s">
        <v>555</v>
      </c>
    </row>
    <row r="1150" spans="1:11" ht="15.75" x14ac:dyDescent="0.3">
      <c r="A1150" s="86" t="s">
        <v>1579</v>
      </c>
      <c r="B1150" s="86" t="s">
        <v>3160</v>
      </c>
      <c r="C1150" s="86" t="s">
        <v>293</v>
      </c>
      <c r="D1150" s="86" t="s">
        <v>924</v>
      </c>
      <c r="E1150" s="86" t="s">
        <v>126</v>
      </c>
      <c r="F1150" s="86" t="s">
        <v>128</v>
      </c>
      <c r="G1150" s="86" t="s">
        <v>579</v>
      </c>
      <c r="H1150" s="86" t="s">
        <v>1696</v>
      </c>
      <c r="I1150" s="87" t="s">
        <v>3161</v>
      </c>
      <c r="J1150" s="84" t="s">
        <v>554</v>
      </c>
      <c r="K1150" s="84" t="s">
        <v>555</v>
      </c>
    </row>
    <row r="1151" spans="1:11" ht="15.75" x14ac:dyDescent="0.3">
      <c r="A1151" s="86" t="s">
        <v>3162</v>
      </c>
      <c r="B1151" s="86" t="s">
        <v>3160</v>
      </c>
      <c r="C1151" s="86" t="s">
        <v>292</v>
      </c>
      <c r="D1151" s="86" t="s">
        <v>687</v>
      </c>
      <c r="E1151" s="86" t="s">
        <v>152</v>
      </c>
      <c r="F1151" s="86" t="s">
        <v>154</v>
      </c>
      <c r="G1151" s="86" t="s">
        <v>594</v>
      </c>
      <c r="H1151" s="86" t="s">
        <v>3163</v>
      </c>
      <c r="I1151" s="87" t="s">
        <v>3161</v>
      </c>
      <c r="J1151" s="84" t="s">
        <v>554</v>
      </c>
      <c r="K1151" s="84" t="s">
        <v>555</v>
      </c>
    </row>
    <row r="1152" spans="1:11" ht="15.75" x14ac:dyDescent="0.3">
      <c r="A1152" s="86" t="s">
        <v>3164</v>
      </c>
      <c r="B1152" s="86" t="s">
        <v>3160</v>
      </c>
      <c r="C1152" s="86" t="s">
        <v>292</v>
      </c>
      <c r="D1152" s="86" t="s">
        <v>1189</v>
      </c>
      <c r="E1152" s="86" t="s">
        <v>156</v>
      </c>
      <c r="F1152" s="86" t="s">
        <v>158</v>
      </c>
      <c r="G1152" s="86" t="s">
        <v>745</v>
      </c>
      <c r="H1152" s="86" t="s">
        <v>1190</v>
      </c>
      <c r="I1152" s="87" t="s">
        <v>3161</v>
      </c>
      <c r="J1152" s="84" t="s">
        <v>554</v>
      </c>
      <c r="K1152" s="84" t="s">
        <v>555</v>
      </c>
    </row>
    <row r="1153" spans="1:11" ht="15.75" x14ac:dyDescent="0.3">
      <c r="A1153" s="86" t="s">
        <v>3165</v>
      </c>
      <c r="B1153" s="86" t="s">
        <v>3166</v>
      </c>
      <c r="C1153" s="86" t="s">
        <v>293</v>
      </c>
      <c r="D1153" s="86" t="s">
        <v>1388</v>
      </c>
      <c r="E1153" s="86" t="s">
        <v>101</v>
      </c>
      <c r="F1153" s="86" t="s">
        <v>103</v>
      </c>
      <c r="G1153" s="86" t="s">
        <v>807</v>
      </c>
      <c r="H1153" s="86" t="s">
        <v>1766</v>
      </c>
      <c r="I1153" s="87" t="s">
        <v>3167</v>
      </c>
      <c r="J1153" s="84" t="s">
        <v>554</v>
      </c>
      <c r="K1153" s="84" t="s">
        <v>555</v>
      </c>
    </row>
    <row r="1154" spans="1:11" ht="15.75" x14ac:dyDescent="0.3">
      <c r="A1154" s="86" t="s">
        <v>3168</v>
      </c>
      <c r="B1154" s="86" t="s">
        <v>3169</v>
      </c>
      <c r="C1154" s="86" t="s">
        <v>292</v>
      </c>
      <c r="D1154" s="86" t="s">
        <v>1729</v>
      </c>
      <c r="E1154" s="86" t="s">
        <v>144</v>
      </c>
      <c r="F1154" s="86" t="s">
        <v>146</v>
      </c>
      <c r="G1154" s="86" t="s">
        <v>588</v>
      </c>
      <c r="H1154" s="86" t="s">
        <v>1730</v>
      </c>
      <c r="I1154" s="87" t="s">
        <v>3170</v>
      </c>
      <c r="J1154" s="84" t="s">
        <v>554</v>
      </c>
      <c r="K1154" s="84" t="s">
        <v>555</v>
      </c>
    </row>
    <row r="1155" spans="1:11" ht="15.75" x14ac:dyDescent="0.3">
      <c r="A1155" s="86" t="s">
        <v>3171</v>
      </c>
      <c r="B1155" s="86" t="s">
        <v>3172</v>
      </c>
      <c r="C1155" s="86" t="s">
        <v>293</v>
      </c>
      <c r="D1155" s="86" t="s">
        <v>1235</v>
      </c>
      <c r="E1155" s="86" t="s">
        <v>1236</v>
      </c>
      <c r="F1155" s="86" t="s">
        <v>1237</v>
      </c>
      <c r="G1155" s="86" t="s">
        <v>652</v>
      </c>
      <c r="H1155" s="86" t="s">
        <v>1238</v>
      </c>
      <c r="I1155" s="87" t="s">
        <v>2269</v>
      </c>
      <c r="J1155" s="84" t="s">
        <v>554</v>
      </c>
      <c r="K1155" s="84" t="s">
        <v>555</v>
      </c>
    </row>
    <row r="1156" spans="1:11" ht="15.75" x14ac:dyDescent="0.3">
      <c r="A1156" s="86" t="s">
        <v>3173</v>
      </c>
      <c r="B1156" s="86" t="s">
        <v>3174</v>
      </c>
      <c r="C1156" s="86" t="s">
        <v>293</v>
      </c>
      <c r="D1156" s="86" t="s">
        <v>1608</v>
      </c>
      <c r="E1156" s="86" t="s">
        <v>1664</v>
      </c>
      <c r="F1156" s="86" t="s">
        <v>1610</v>
      </c>
      <c r="G1156" s="86" t="s">
        <v>708</v>
      </c>
      <c r="H1156" s="86" t="s">
        <v>1665</v>
      </c>
      <c r="I1156" s="87" t="s">
        <v>3175</v>
      </c>
      <c r="J1156" s="84" t="s">
        <v>554</v>
      </c>
      <c r="K1156" s="84" t="s">
        <v>555</v>
      </c>
    </row>
    <row r="1157" spans="1:11" ht="15.75" x14ac:dyDescent="0.3">
      <c r="A1157" s="86" t="s">
        <v>3176</v>
      </c>
      <c r="B1157" s="86" t="s">
        <v>3174</v>
      </c>
      <c r="C1157" s="86" t="s">
        <v>293</v>
      </c>
      <c r="D1157" s="86" t="s">
        <v>980</v>
      </c>
      <c r="E1157" s="86" t="s">
        <v>224</v>
      </c>
      <c r="F1157" s="86" t="s">
        <v>226</v>
      </c>
      <c r="G1157" s="86" t="s">
        <v>652</v>
      </c>
      <c r="H1157" s="86" t="s">
        <v>1033</v>
      </c>
      <c r="I1157" s="87" t="s">
        <v>2405</v>
      </c>
      <c r="J1157" s="84" t="s">
        <v>554</v>
      </c>
      <c r="K1157" s="84" t="s">
        <v>555</v>
      </c>
    </row>
    <row r="1158" spans="1:11" ht="15.75" x14ac:dyDescent="0.3">
      <c r="A1158" s="86" t="s">
        <v>3177</v>
      </c>
      <c r="B1158" s="86" t="s">
        <v>3174</v>
      </c>
      <c r="C1158" s="86" t="s">
        <v>293</v>
      </c>
      <c r="D1158" s="86" t="s">
        <v>1344</v>
      </c>
      <c r="E1158" s="86" t="s">
        <v>1345</v>
      </c>
      <c r="F1158" s="86" t="s">
        <v>1346</v>
      </c>
      <c r="G1158" s="86" t="s">
        <v>691</v>
      </c>
      <c r="H1158" s="86" t="s">
        <v>1347</v>
      </c>
      <c r="I1158" s="87" t="s">
        <v>2405</v>
      </c>
      <c r="J1158" s="84" t="s">
        <v>554</v>
      </c>
      <c r="K1158" s="84" t="s">
        <v>555</v>
      </c>
    </row>
    <row r="1159" spans="1:11" ht="15.75" x14ac:dyDescent="0.3">
      <c r="A1159" s="86" t="s">
        <v>3178</v>
      </c>
      <c r="B1159" s="86" t="s">
        <v>3179</v>
      </c>
      <c r="C1159" s="86" t="s">
        <v>293</v>
      </c>
      <c r="D1159" s="86" t="s">
        <v>2877</v>
      </c>
      <c r="E1159" s="86" t="s">
        <v>2878</v>
      </c>
      <c r="F1159" s="86" t="s">
        <v>2879</v>
      </c>
      <c r="G1159" s="86" t="s">
        <v>645</v>
      </c>
      <c r="H1159" s="86" t="s">
        <v>2880</v>
      </c>
      <c r="I1159" s="87" t="s">
        <v>2150</v>
      </c>
      <c r="J1159" s="84" t="s">
        <v>554</v>
      </c>
      <c r="K1159" s="84" t="s">
        <v>555</v>
      </c>
    </row>
    <row r="1160" spans="1:11" ht="15.75" x14ac:dyDescent="0.3">
      <c r="A1160" s="86" t="s">
        <v>3180</v>
      </c>
      <c r="B1160" s="86" t="s">
        <v>3179</v>
      </c>
      <c r="C1160" s="86" t="s">
        <v>292</v>
      </c>
      <c r="D1160" s="86" t="s">
        <v>3181</v>
      </c>
      <c r="E1160" s="86" t="s">
        <v>3182</v>
      </c>
      <c r="F1160" s="86" t="s">
        <v>3183</v>
      </c>
      <c r="G1160" s="86" t="s">
        <v>675</v>
      </c>
      <c r="H1160" s="86" t="s">
        <v>3184</v>
      </c>
      <c r="I1160" s="87" t="s">
        <v>2150</v>
      </c>
      <c r="J1160" s="84" t="s">
        <v>554</v>
      </c>
      <c r="K1160" s="84" t="s">
        <v>555</v>
      </c>
    </row>
    <row r="1161" spans="1:11" ht="15.75" x14ac:dyDescent="0.3">
      <c r="A1161" s="86" t="s">
        <v>3185</v>
      </c>
      <c r="B1161" s="86" t="s">
        <v>3186</v>
      </c>
      <c r="C1161" s="86" t="s">
        <v>292</v>
      </c>
      <c r="D1161" s="86" t="s">
        <v>687</v>
      </c>
      <c r="E1161" s="86" t="s">
        <v>152</v>
      </c>
      <c r="F1161" s="86" t="s">
        <v>154</v>
      </c>
      <c r="G1161" s="86" t="s">
        <v>594</v>
      </c>
      <c r="H1161" s="86" t="s">
        <v>1539</v>
      </c>
      <c r="I1161" s="87" t="s">
        <v>914</v>
      </c>
      <c r="J1161" s="84" t="s">
        <v>554</v>
      </c>
      <c r="K1161" s="84" t="s">
        <v>555</v>
      </c>
    </row>
    <row r="1162" spans="1:11" ht="15.75" x14ac:dyDescent="0.3">
      <c r="A1162" s="86" t="s">
        <v>3187</v>
      </c>
      <c r="B1162" s="86" t="s">
        <v>3186</v>
      </c>
      <c r="C1162" s="86" t="s">
        <v>293</v>
      </c>
      <c r="D1162" s="86" t="s">
        <v>1195</v>
      </c>
      <c r="E1162" s="86" t="s">
        <v>272</v>
      </c>
      <c r="F1162" s="86" t="s">
        <v>274</v>
      </c>
      <c r="G1162" s="86" t="s">
        <v>551</v>
      </c>
      <c r="H1162" s="86" t="s">
        <v>3055</v>
      </c>
      <c r="I1162" s="87" t="s">
        <v>914</v>
      </c>
      <c r="J1162" s="84" t="s">
        <v>554</v>
      </c>
      <c r="K1162" s="84" t="s">
        <v>555</v>
      </c>
    </row>
    <row r="1163" spans="1:11" ht="15.75" x14ac:dyDescent="0.3">
      <c r="A1163" s="86" t="s">
        <v>3188</v>
      </c>
      <c r="B1163" s="86" t="s">
        <v>3189</v>
      </c>
      <c r="C1163" s="86" t="s">
        <v>293</v>
      </c>
      <c r="D1163" s="86" t="s">
        <v>1169</v>
      </c>
      <c r="E1163" s="86" t="s">
        <v>1170</v>
      </c>
      <c r="F1163" s="86" t="s">
        <v>1171</v>
      </c>
      <c r="G1163" s="86" t="s">
        <v>579</v>
      </c>
      <c r="H1163" s="86" t="s">
        <v>2287</v>
      </c>
      <c r="I1163" s="87" t="s">
        <v>3190</v>
      </c>
      <c r="J1163" s="84" t="s">
        <v>554</v>
      </c>
      <c r="K1163" s="84" t="s">
        <v>555</v>
      </c>
    </row>
    <row r="1164" spans="1:11" ht="15.75" x14ac:dyDescent="0.3">
      <c r="A1164" s="86" t="s">
        <v>3191</v>
      </c>
      <c r="B1164" s="86" t="s">
        <v>3189</v>
      </c>
      <c r="C1164" s="86" t="s">
        <v>292</v>
      </c>
      <c r="D1164" s="86" t="s">
        <v>587</v>
      </c>
      <c r="E1164" s="86" t="s">
        <v>135</v>
      </c>
      <c r="F1164" s="86" t="s">
        <v>137</v>
      </c>
      <c r="G1164" s="86" t="s">
        <v>588</v>
      </c>
      <c r="H1164" s="86" t="s">
        <v>3192</v>
      </c>
      <c r="I1164" s="87" t="s">
        <v>3193</v>
      </c>
      <c r="J1164" s="84" t="s">
        <v>554</v>
      </c>
      <c r="K1164" s="84" t="s">
        <v>555</v>
      </c>
    </row>
    <row r="1165" spans="1:11" x14ac:dyDescent="0.3">
      <c r="A1165" s="88"/>
      <c r="B1165" s="88"/>
      <c r="C1165" s="88"/>
      <c r="D1165" s="88"/>
      <c r="E1165" s="88"/>
      <c r="F1165" s="88"/>
      <c r="G1165" s="88"/>
      <c r="H1165" s="88"/>
      <c r="I1165" s="89"/>
    </row>
    <row r="1166" spans="1:11" x14ac:dyDescent="0.3">
      <c r="A1166" s="88"/>
      <c r="B1166" s="88"/>
      <c r="C1166" s="88"/>
      <c r="D1166" s="88"/>
      <c r="E1166" s="88"/>
      <c r="F1166" s="88"/>
      <c r="G1166" s="88"/>
      <c r="H1166" s="88"/>
      <c r="I1166" s="89"/>
    </row>
    <row r="1167" spans="1:11" x14ac:dyDescent="0.3">
      <c r="A1167" s="88"/>
      <c r="B1167" s="88"/>
      <c r="C1167" s="88"/>
      <c r="D1167" s="88"/>
      <c r="E1167" s="88"/>
      <c r="F1167" s="88"/>
      <c r="G1167" s="88"/>
      <c r="H1167" s="88"/>
      <c r="I1167" s="89"/>
    </row>
    <row r="1168" spans="1:11" x14ac:dyDescent="0.3">
      <c r="A1168" s="88"/>
      <c r="B1168" s="88"/>
      <c r="C1168" s="88"/>
      <c r="D1168" s="88"/>
      <c r="E1168" s="88"/>
      <c r="F1168" s="88"/>
      <c r="G1168" s="88"/>
      <c r="H1168" s="88"/>
      <c r="I1168" s="89"/>
    </row>
    <row r="1169" spans="1:9" x14ac:dyDescent="0.3">
      <c r="A1169" s="88"/>
      <c r="B1169" s="88"/>
      <c r="C1169" s="88"/>
      <c r="D1169" s="88"/>
      <c r="E1169" s="88"/>
      <c r="F1169" s="88"/>
      <c r="G1169" s="88"/>
      <c r="H1169" s="88"/>
      <c r="I1169" s="89"/>
    </row>
    <row r="1170" spans="1:9" x14ac:dyDescent="0.3">
      <c r="A1170" s="88"/>
      <c r="B1170" s="88"/>
      <c r="C1170" s="88"/>
      <c r="D1170" s="88"/>
      <c r="E1170" s="88"/>
      <c r="F1170" s="88"/>
      <c r="G1170" s="88"/>
      <c r="H1170" s="88"/>
      <c r="I1170" s="89"/>
    </row>
    <row r="1171" spans="1:9" x14ac:dyDescent="0.3">
      <c r="A1171" s="88"/>
      <c r="B1171" s="88"/>
      <c r="C1171" s="88"/>
      <c r="D1171" s="88"/>
      <c r="E1171" s="88"/>
      <c r="F1171" s="88"/>
      <c r="G1171" s="88"/>
      <c r="H1171" s="88"/>
      <c r="I1171" s="89"/>
    </row>
    <row r="1172" spans="1:9" x14ac:dyDescent="0.3">
      <c r="A1172" s="88"/>
      <c r="B1172" s="88"/>
      <c r="C1172" s="88"/>
      <c r="D1172" s="88"/>
      <c r="E1172" s="88"/>
      <c r="F1172" s="88"/>
      <c r="G1172" s="88"/>
      <c r="H1172" s="88"/>
      <c r="I1172" s="89"/>
    </row>
    <row r="1173" spans="1:9" x14ac:dyDescent="0.3">
      <c r="A1173" s="88"/>
      <c r="B1173" s="88"/>
      <c r="C1173" s="88"/>
      <c r="D1173" s="88"/>
      <c r="E1173" s="88"/>
      <c r="F1173" s="88"/>
      <c r="G1173" s="88"/>
      <c r="H1173" s="88"/>
      <c r="I1173" s="89"/>
    </row>
    <row r="1174" spans="1:9" x14ac:dyDescent="0.3">
      <c r="A1174" s="88"/>
      <c r="B1174" s="88"/>
      <c r="C1174" s="88"/>
      <c r="D1174" s="88"/>
      <c r="E1174" s="88"/>
      <c r="F1174" s="88"/>
      <c r="G1174" s="88"/>
      <c r="H1174" s="88"/>
      <c r="I1174" s="89"/>
    </row>
    <row r="1175" spans="1:9" x14ac:dyDescent="0.3">
      <c r="A1175" s="88"/>
      <c r="B1175" s="88"/>
      <c r="C1175" s="88"/>
      <c r="D1175" s="88"/>
      <c r="E1175" s="88"/>
      <c r="F1175" s="88"/>
      <c r="G1175" s="88"/>
      <c r="H1175" s="88"/>
      <c r="I1175" s="89"/>
    </row>
    <row r="1176" spans="1:9" x14ac:dyDescent="0.3">
      <c r="A1176" s="88"/>
      <c r="B1176" s="88"/>
      <c r="C1176" s="88"/>
      <c r="D1176" s="88"/>
      <c r="E1176" s="88"/>
      <c r="F1176" s="88"/>
      <c r="G1176" s="88"/>
      <c r="H1176" s="88"/>
      <c r="I1176" s="89"/>
    </row>
    <row r="1177" spans="1:9" x14ac:dyDescent="0.3">
      <c r="A1177" s="88"/>
      <c r="B1177" s="88"/>
      <c r="C1177" s="88"/>
      <c r="D1177" s="88"/>
      <c r="E1177" s="88"/>
      <c r="F1177" s="88"/>
      <c r="G1177" s="88"/>
      <c r="H1177" s="88"/>
      <c r="I1177" s="89"/>
    </row>
    <row r="1178" spans="1:9" x14ac:dyDescent="0.3">
      <c r="A1178" s="88"/>
      <c r="B1178" s="88"/>
      <c r="C1178" s="88"/>
      <c r="D1178" s="88"/>
      <c r="E1178" s="88"/>
      <c r="F1178" s="88"/>
      <c r="G1178" s="88"/>
      <c r="H1178" s="88"/>
      <c r="I1178" s="89"/>
    </row>
    <row r="1179" spans="1:9" x14ac:dyDescent="0.3">
      <c r="A1179" s="88"/>
      <c r="B1179" s="88"/>
      <c r="C1179" s="88"/>
      <c r="D1179" s="88"/>
      <c r="E1179" s="88"/>
      <c r="F1179" s="88"/>
      <c r="G1179" s="88"/>
      <c r="H1179" s="88"/>
      <c r="I1179" s="89"/>
    </row>
    <row r="1180" spans="1:9" x14ac:dyDescent="0.3">
      <c r="A1180" s="88"/>
      <c r="B1180" s="88"/>
      <c r="C1180" s="88"/>
      <c r="D1180" s="88"/>
      <c r="E1180" s="88"/>
      <c r="F1180" s="88"/>
      <c r="G1180" s="88"/>
      <c r="H1180" s="88"/>
      <c r="I1180" s="89"/>
    </row>
    <row r="1181" spans="1:9" x14ac:dyDescent="0.3">
      <c r="A1181" s="88"/>
      <c r="B1181" s="88"/>
      <c r="C1181" s="88"/>
      <c r="D1181" s="88"/>
      <c r="E1181" s="88"/>
      <c r="F1181" s="88"/>
      <c r="G1181" s="88"/>
      <c r="H1181" s="88"/>
      <c r="I1181" s="89"/>
    </row>
    <row r="1182" spans="1:9" x14ac:dyDescent="0.3">
      <c r="A1182" s="88"/>
      <c r="B1182" s="88"/>
      <c r="C1182" s="88"/>
      <c r="D1182" s="88"/>
      <c r="E1182" s="88"/>
      <c r="F1182" s="88"/>
      <c r="G1182" s="88"/>
      <c r="H1182" s="88"/>
      <c r="I1182" s="89"/>
    </row>
    <row r="1183" spans="1:9" x14ac:dyDescent="0.3">
      <c r="A1183" s="88"/>
      <c r="B1183" s="88"/>
      <c r="C1183" s="88"/>
      <c r="D1183" s="88"/>
      <c r="E1183" s="88"/>
      <c r="F1183" s="88"/>
      <c r="G1183" s="88"/>
      <c r="H1183" s="88"/>
      <c r="I1183" s="89"/>
    </row>
    <row r="1184" spans="1:9" x14ac:dyDescent="0.3">
      <c r="A1184" s="88"/>
      <c r="B1184" s="88"/>
      <c r="C1184" s="88"/>
      <c r="D1184" s="88"/>
      <c r="E1184" s="88"/>
      <c r="F1184" s="88"/>
      <c r="G1184" s="88"/>
      <c r="H1184" s="88"/>
      <c r="I1184" s="89"/>
    </row>
    <row r="1185" spans="1:9" x14ac:dyDescent="0.3">
      <c r="A1185" s="88"/>
      <c r="B1185" s="88"/>
      <c r="C1185" s="88"/>
      <c r="D1185" s="88"/>
      <c r="E1185" s="88"/>
      <c r="F1185" s="88"/>
      <c r="G1185" s="88"/>
      <c r="H1185" s="88"/>
      <c r="I1185" s="89"/>
    </row>
    <row r="1186" spans="1:9" x14ac:dyDescent="0.3">
      <c r="A1186" s="88"/>
      <c r="B1186" s="88"/>
      <c r="C1186" s="88"/>
      <c r="D1186" s="88"/>
      <c r="E1186" s="88"/>
      <c r="F1186" s="88"/>
      <c r="G1186" s="88"/>
      <c r="H1186" s="88"/>
      <c r="I1186" s="89"/>
    </row>
    <row r="1187" spans="1:9" x14ac:dyDescent="0.3">
      <c r="A1187" s="88"/>
      <c r="B1187" s="88"/>
      <c r="C1187" s="88"/>
      <c r="D1187" s="88"/>
      <c r="E1187" s="88"/>
      <c r="F1187" s="88"/>
      <c r="G1187" s="88"/>
      <c r="H1187" s="88"/>
      <c r="I1187" s="89"/>
    </row>
    <row r="1188" spans="1:9" x14ac:dyDescent="0.3">
      <c r="A1188" s="88"/>
      <c r="B1188" s="88"/>
      <c r="C1188" s="88"/>
      <c r="D1188" s="88"/>
      <c r="E1188" s="88"/>
      <c r="F1188" s="88"/>
      <c r="G1188" s="88"/>
      <c r="H1188" s="88"/>
      <c r="I1188" s="89"/>
    </row>
    <row r="1189" spans="1:9" x14ac:dyDescent="0.3">
      <c r="A1189" s="88"/>
      <c r="B1189" s="88"/>
      <c r="C1189" s="88"/>
      <c r="D1189" s="88"/>
      <c r="E1189" s="88"/>
      <c r="F1189" s="88"/>
      <c r="G1189" s="88"/>
      <c r="H1189" s="88"/>
      <c r="I1189" s="89"/>
    </row>
    <row r="1190" spans="1:9" x14ac:dyDescent="0.3">
      <c r="A1190" s="88"/>
      <c r="B1190" s="88"/>
      <c r="C1190" s="88"/>
      <c r="D1190" s="88"/>
      <c r="E1190" s="88"/>
      <c r="F1190" s="88"/>
      <c r="G1190" s="88"/>
      <c r="H1190" s="88"/>
      <c r="I1190" s="89"/>
    </row>
    <row r="1191" spans="1:9" x14ac:dyDescent="0.3">
      <c r="A1191" s="88"/>
      <c r="B1191" s="88"/>
      <c r="C1191" s="88"/>
      <c r="D1191" s="88"/>
      <c r="E1191" s="88"/>
      <c r="F1191" s="88"/>
      <c r="G1191" s="88"/>
      <c r="H1191" s="88"/>
      <c r="I1191" s="89"/>
    </row>
    <row r="1192" spans="1:9" x14ac:dyDescent="0.3">
      <c r="A1192" s="88"/>
      <c r="B1192" s="88"/>
      <c r="C1192" s="88"/>
      <c r="D1192" s="88"/>
      <c r="E1192" s="88"/>
      <c r="F1192" s="88"/>
      <c r="G1192" s="88"/>
      <c r="H1192" s="88"/>
      <c r="I1192" s="89"/>
    </row>
    <row r="1193" spans="1:9" x14ac:dyDescent="0.3">
      <c r="A1193" s="88"/>
      <c r="B1193" s="88"/>
      <c r="C1193" s="88"/>
      <c r="D1193" s="88"/>
      <c r="E1193" s="88"/>
      <c r="F1193" s="88"/>
      <c r="G1193" s="88"/>
      <c r="H1193" s="88"/>
      <c r="I1193" s="89"/>
    </row>
    <row r="1194" spans="1:9" x14ac:dyDescent="0.3">
      <c r="A1194" s="88"/>
      <c r="B1194" s="88"/>
      <c r="C1194" s="88"/>
      <c r="D1194" s="88"/>
      <c r="E1194" s="88"/>
      <c r="F1194" s="88"/>
      <c r="G1194" s="88"/>
      <c r="H1194" s="88"/>
      <c r="I1194" s="89"/>
    </row>
    <row r="1195" spans="1:9" x14ac:dyDescent="0.3">
      <c r="A1195" s="88"/>
      <c r="B1195" s="88"/>
      <c r="C1195" s="88"/>
      <c r="D1195" s="88"/>
      <c r="E1195" s="88"/>
      <c r="F1195" s="88"/>
      <c r="G1195" s="88"/>
      <c r="H1195" s="88"/>
      <c r="I1195" s="89"/>
    </row>
    <row r="1196" spans="1:9" x14ac:dyDescent="0.3">
      <c r="A1196" s="88"/>
      <c r="B1196" s="88"/>
      <c r="C1196" s="88"/>
      <c r="D1196" s="88"/>
      <c r="E1196" s="88"/>
      <c r="F1196" s="88"/>
      <c r="G1196" s="88"/>
      <c r="H1196" s="88"/>
      <c r="I1196" s="89"/>
    </row>
    <row r="1197" spans="1:9" x14ac:dyDescent="0.3">
      <c r="A1197" s="88"/>
      <c r="B1197" s="88"/>
      <c r="C1197" s="88"/>
      <c r="D1197" s="88"/>
      <c r="E1197" s="88"/>
      <c r="F1197" s="88"/>
      <c r="G1197" s="88"/>
      <c r="H1197" s="88"/>
      <c r="I1197" s="89"/>
    </row>
    <row r="1198" spans="1:9" x14ac:dyDescent="0.3">
      <c r="A1198" s="88"/>
      <c r="B1198" s="88"/>
      <c r="C1198" s="88"/>
      <c r="D1198" s="88"/>
      <c r="E1198" s="88"/>
      <c r="F1198" s="88"/>
      <c r="G1198" s="88"/>
      <c r="H1198" s="88"/>
      <c r="I1198" s="89"/>
    </row>
    <row r="1199" spans="1:9" x14ac:dyDescent="0.3">
      <c r="A1199" s="88"/>
      <c r="B1199" s="88"/>
      <c r="C1199" s="88"/>
      <c r="D1199" s="88"/>
      <c r="E1199" s="88"/>
      <c r="F1199" s="88"/>
      <c r="G1199" s="88"/>
      <c r="H1199" s="88"/>
      <c r="I1199" s="89"/>
    </row>
    <row r="1200" spans="1:9" x14ac:dyDescent="0.3">
      <c r="A1200" s="88"/>
      <c r="B1200" s="88"/>
      <c r="C1200" s="88"/>
      <c r="D1200" s="88"/>
      <c r="E1200" s="88"/>
      <c r="F1200" s="88"/>
      <c r="G1200" s="88"/>
      <c r="H1200" s="88"/>
      <c r="I1200" s="89"/>
    </row>
    <row r="1201" spans="1:9" x14ac:dyDescent="0.3">
      <c r="A1201" s="88"/>
      <c r="B1201" s="88"/>
      <c r="C1201" s="88"/>
      <c r="D1201" s="88"/>
      <c r="E1201" s="88"/>
      <c r="F1201" s="88"/>
      <c r="G1201" s="88"/>
      <c r="H1201" s="88"/>
      <c r="I1201" s="89"/>
    </row>
    <row r="1202" spans="1:9" x14ac:dyDescent="0.3">
      <c r="A1202" s="88"/>
      <c r="B1202" s="88"/>
      <c r="C1202" s="88"/>
      <c r="D1202" s="88"/>
      <c r="E1202" s="88"/>
      <c r="F1202" s="88"/>
      <c r="G1202" s="88"/>
      <c r="H1202" s="88"/>
      <c r="I1202" s="89"/>
    </row>
    <row r="1203" spans="1:9" x14ac:dyDescent="0.3">
      <c r="A1203" s="88"/>
      <c r="B1203" s="88"/>
      <c r="C1203" s="88"/>
      <c r="D1203" s="88"/>
      <c r="E1203" s="88"/>
      <c r="F1203" s="88"/>
      <c r="G1203" s="88"/>
      <c r="H1203" s="88"/>
      <c r="I1203" s="89"/>
    </row>
    <row r="1204" spans="1:9" x14ac:dyDescent="0.3">
      <c r="A1204" s="88"/>
      <c r="B1204" s="88"/>
      <c r="C1204" s="88"/>
      <c r="D1204" s="88"/>
      <c r="E1204" s="88"/>
      <c r="F1204" s="88"/>
      <c r="G1204" s="88"/>
      <c r="H1204" s="88"/>
      <c r="I1204" s="89"/>
    </row>
    <row r="1205" spans="1:9" x14ac:dyDescent="0.3">
      <c r="A1205" s="88"/>
      <c r="B1205" s="88"/>
      <c r="C1205" s="88"/>
      <c r="D1205" s="88"/>
      <c r="E1205" s="88"/>
      <c r="F1205" s="88"/>
      <c r="G1205" s="88"/>
      <c r="H1205" s="88"/>
      <c r="I1205" s="89"/>
    </row>
    <row r="1206" spans="1:9" x14ac:dyDescent="0.3">
      <c r="A1206" s="88"/>
      <c r="B1206" s="88"/>
      <c r="C1206" s="88"/>
      <c r="D1206" s="88"/>
      <c r="E1206" s="88"/>
      <c r="F1206" s="88"/>
      <c r="G1206" s="88"/>
      <c r="H1206" s="88"/>
      <c r="I1206" s="89"/>
    </row>
    <row r="1207" spans="1:9" x14ac:dyDescent="0.3">
      <c r="A1207" s="88"/>
      <c r="B1207" s="88"/>
      <c r="C1207" s="88"/>
      <c r="D1207" s="88"/>
      <c r="E1207" s="88"/>
      <c r="F1207" s="88"/>
      <c r="G1207" s="88"/>
      <c r="H1207" s="88"/>
      <c r="I1207" s="89"/>
    </row>
    <row r="1208" spans="1:9" x14ac:dyDescent="0.3">
      <c r="A1208" s="88"/>
      <c r="B1208" s="88"/>
      <c r="C1208" s="88"/>
      <c r="D1208" s="88"/>
      <c r="E1208" s="88"/>
      <c r="F1208" s="88"/>
      <c r="G1208" s="88"/>
      <c r="H1208" s="88"/>
      <c r="I1208" s="89"/>
    </row>
    <row r="1209" spans="1:9" x14ac:dyDescent="0.3">
      <c r="A1209" s="88"/>
      <c r="B1209" s="88"/>
      <c r="C1209" s="88"/>
      <c r="D1209" s="88"/>
      <c r="E1209" s="88"/>
      <c r="F1209" s="88"/>
      <c r="G1209" s="88"/>
      <c r="H1209" s="88"/>
      <c r="I1209" s="89"/>
    </row>
    <row r="1210" spans="1:9" x14ac:dyDescent="0.3">
      <c r="A1210" s="88"/>
      <c r="B1210" s="88"/>
      <c r="C1210" s="88"/>
      <c r="D1210" s="88"/>
      <c r="E1210" s="88"/>
      <c r="F1210" s="88"/>
      <c r="G1210" s="88"/>
      <c r="H1210" s="88"/>
      <c r="I1210" s="89"/>
    </row>
    <row r="1211" spans="1:9" x14ac:dyDescent="0.3">
      <c r="A1211" s="88"/>
      <c r="B1211" s="88"/>
      <c r="C1211" s="88"/>
      <c r="D1211" s="88"/>
      <c r="E1211" s="88"/>
      <c r="F1211" s="88"/>
      <c r="G1211" s="88"/>
      <c r="H1211" s="88"/>
      <c r="I1211" s="89"/>
    </row>
    <row r="1212" spans="1:9" x14ac:dyDescent="0.3">
      <c r="A1212" s="88"/>
      <c r="B1212" s="88"/>
      <c r="C1212" s="88"/>
      <c r="D1212" s="88"/>
      <c r="E1212" s="88"/>
      <c r="F1212" s="88"/>
      <c r="G1212" s="88"/>
      <c r="H1212" s="88"/>
      <c r="I1212" s="89"/>
    </row>
    <row r="1213" spans="1:9" x14ac:dyDescent="0.3">
      <c r="A1213" s="88"/>
      <c r="B1213" s="88"/>
      <c r="C1213" s="88"/>
      <c r="D1213" s="88"/>
      <c r="E1213" s="88"/>
      <c r="F1213" s="88"/>
      <c r="G1213" s="88"/>
      <c r="H1213" s="88"/>
      <c r="I1213" s="89"/>
    </row>
    <row r="1214" spans="1:9" x14ac:dyDescent="0.3">
      <c r="A1214" s="88"/>
      <c r="B1214" s="88"/>
      <c r="C1214" s="88"/>
      <c r="D1214" s="88"/>
      <c r="E1214" s="88"/>
      <c r="F1214" s="88"/>
      <c r="G1214" s="88"/>
      <c r="H1214" s="88"/>
      <c r="I1214" s="89"/>
    </row>
    <row r="1215" spans="1:9" x14ac:dyDescent="0.3">
      <c r="A1215" s="88"/>
      <c r="B1215" s="88"/>
      <c r="C1215" s="88"/>
      <c r="D1215" s="88"/>
      <c r="E1215" s="88"/>
      <c r="F1215" s="88"/>
      <c r="G1215" s="88"/>
      <c r="H1215" s="88"/>
      <c r="I1215" s="89"/>
    </row>
    <row r="1216" spans="1:9" x14ac:dyDescent="0.3">
      <c r="A1216" s="88"/>
      <c r="B1216" s="88"/>
      <c r="C1216" s="88"/>
      <c r="D1216" s="88"/>
      <c r="E1216" s="88"/>
      <c r="F1216" s="88"/>
      <c r="G1216" s="88"/>
      <c r="H1216" s="88"/>
      <c r="I1216" s="89"/>
    </row>
    <row r="1217" spans="1:9" x14ac:dyDescent="0.3">
      <c r="A1217" s="88"/>
      <c r="B1217" s="88"/>
      <c r="C1217" s="88"/>
      <c r="D1217" s="88"/>
      <c r="E1217" s="88"/>
      <c r="F1217" s="88"/>
      <c r="G1217" s="88"/>
      <c r="H1217" s="88"/>
      <c r="I1217" s="89"/>
    </row>
    <row r="1218" spans="1:9" x14ac:dyDescent="0.3">
      <c r="A1218" s="88"/>
      <c r="B1218" s="88"/>
      <c r="C1218" s="88"/>
      <c r="D1218" s="88"/>
      <c r="E1218" s="88"/>
      <c r="F1218" s="88"/>
      <c r="G1218" s="88"/>
      <c r="H1218" s="88"/>
      <c r="I1218" s="89"/>
    </row>
    <row r="1219" spans="1:9" x14ac:dyDescent="0.3">
      <c r="A1219" s="88"/>
      <c r="B1219" s="88"/>
      <c r="C1219" s="88"/>
      <c r="D1219" s="88"/>
      <c r="E1219" s="88"/>
      <c r="F1219" s="88"/>
      <c r="G1219" s="88"/>
      <c r="H1219" s="88"/>
      <c r="I1219" s="89"/>
    </row>
    <row r="1220" spans="1:9" x14ac:dyDescent="0.3">
      <c r="A1220" s="88"/>
      <c r="B1220" s="88"/>
      <c r="C1220" s="88"/>
      <c r="D1220" s="88"/>
      <c r="E1220" s="88"/>
      <c r="F1220" s="88"/>
      <c r="G1220" s="88"/>
      <c r="H1220" s="88"/>
      <c r="I1220" s="89"/>
    </row>
    <row r="1221" spans="1:9" x14ac:dyDescent="0.3">
      <c r="A1221" s="88"/>
      <c r="B1221" s="88"/>
      <c r="C1221" s="88"/>
      <c r="D1221" s="88"/>
      <c r="E1221" s="88"/>
      <c r="F1221" s="88"/>
      <c r="G1221" s="88"/>
      <c r="H1221" s="88"/>
      <c r="I1221" s="89"/>
    </row>
    <row r="1222" spans="1:9" x14ac:dyDescent="0.3">
      <c r="A1222" s="88"/>
      <c r="B1222" s="88"/>
      <c r="C1222" s="88"/>
      <c r="D1222" s="88"/>
      <c r="E1222" s="88"/>
      <c r="F1222" s="88"/>
      <c r="G1222" s="88"/>
      <c r="H1222" s="88"/>
      <c r="I1222" s="89"/>
    </row>
    <row r="1223" spans="1:9" x14ac:dyDescent="0.3">
      <c r="A1223" s="88"/>
      <c r="B1223" s="88"/>
      <c r="C1223" s="88"/>
      <c r="D1223" s="88"/>
      <c r="E1223" s="88"/>
      <c r="F1223" s="88"/>
      <c r="G1223" s="88"/>
      <c r="H1223" s="88"/>
      <c r="I1223" s="89"/>
    </row>
    <row r="1224" spans="1:9" x14ac:dyDescent="0.3">
      <c r="A1224" s="88"/>
      <c r="B1224" s="88"/>
      <c r="C1224" s="88"/>
      <c r="D1224" s="88"/>
      <c r="E1224" s="88"/>
      <c r="F1224" s="88"/>
      <c r="G1224" s="88"/>
      <c r="H1224" s="88"/>
      <c r="I1224" s="89"/>
    </row>
    <row r="1225" spans="1:9" x14ac:dyDescent="0.3">
      <c r="A1225" s="88"/>
      <c r="B1225" s="88"/>
      <c r="C1225" s="88"/>
      <c r="D1225" s="88"/>
      <c r="E1225" s="88"/>
      <c r="F1225" s="88"/>
      <c r="G1225" s="88"/>
      <c r="H1225" s="88"/>
      <c r="I1225" s="89"/>
    </row>
    <row r="1226" spans="1:9" x14ac:dyDescent="0.3">
      <c r="A1226" s="88"/>
      <c r="B1226" s="88"/>
      <c r="C1226" s="88"/>
      <c r="D1226" s="88"/>
      <c r="E1226" s="88"/>
      <c r="F1226" s="88"/>
      <c r="G1226" s="88"/>
      <c r="H1226" s="88"/>
      <c r="I1226" s="89"/>
    </row>
    <row r="1227" spans="1:9" x14ac:dyDescent="0.3">
      <c r="A1227" s="88"/>
      <c r="B1227" s="88"/>
      <c r="C1227" s="88"/>
      <c r="D1227" s="88"/>
      <c r="E1227" s="88"/>
      <c r="F1227" s="88"/>
      <c r="G1227" s="88"/>
      <c r="H1227" s="88"/>
      <c r="I1227" s="89"/>
    </row>
    <row r="1228" spans="1:9" x14ac:dyDescent="0.3">
      <c r="A1228" s="88"/>
      <c r="B1228" s="88"/>
      <c r="C1228" s="88"/>
      <c r="D1228" s="88"/>
      <c r="E1228" s="88"/>
      <c r="F1228" s="88"/>
      <c r="G1228" s="88"/>
      <c r="H1228" s="88"/>
      <c r="I1228" s="89"/>
    </row>
    <row r="1229" spans="1:9" x14ac:dyDescent="0.3">
      <c r="A1229" s="88"/>
      <c r="B1229" s="88"/>
      <c r="C1229" s="88"/>
      <c r="D1229" s="88"/>
      <c r="E1229" s="88"/>
      <c r="F1229" s="88"/>
      <c r="G1229" s="88"/>
      <c r="H1229" s="88"/>
      <c r="I1229" s="89"/>
    </row>
    <row r="1230" spans="1:9" x14ac:dyDescent="0.3">
      <c r="A1230" s="88"/>
      <c r="B1230" s="88"/>
      <c r="C1230" s="88"/>
      <c r="D1230" s="88"/>
      <c r="E1230" s="88"/>
      <c r="F1230" s="88"/>
      <c r="G1230" s="88"/>
      <c r="H1230" s="88"/>
      <c r="I1230" s="89"/>
    </row>
    <row r="1231" spans="1:9" x14ac:dyDescent="0.3">
      <c r="A1231" s="88"/>
      <c r="B1231" s="88"/>
      <c r="C1231" s="88"/>
      <c r="D1231" s="88"/>
      <c r="E1231" s="88"/>
      <c r="F1231" s="88"/>
      <c r="G1231" s="88"/>
      <c r="H1231" s="88"/>
      <c r="I1231" s="89"/>
    </row>
    <row r="1232" spans="1:9" x14ac:dyDescent="0.3">
      <c r="A1232" s="88"/>
      <c r="B1232" s="88"/>
      <c r="C1232" s="88"/>
      <c r="D1232" s="88"/>
      <c r="E1232" s="88"/>
      <c r="F1232" s="88"/>
      <c r="G1232" s="88"/>
      <c r="H1232" s="88"/>
      <c r="I1232" s="89"/>
    </row>
    <row r="1233" spans="1:9" x14ac:dyDescent="0.3">
      <c r="A1233" s="88"/>
      <c r="B1233" s="88"/>
      <c r="C1233" s="88"/>
      <c r="D1233" s="88"/>
      <c r="E1233" s="88"/>
      <c r="F1233" s="88"/>
      <c r="G1233" s="88"/>
      <c r="H1233" s="88"/>
      <c r="I1233" s="89"/>
    </row>
    <row r="1234" spans="1:9" x14ac:dyDescent="0.3">
      <c r="A1234" s="88"/>
      <c r="B1234" s="88"/>
      <c r="C1234" s="88"/>
      <c r="D1234" s="88"/>
      <c r="E1234" s="88"/>
      <c r="F1234" s="88"/>
      <c r="G1234" s="88"/>
      <c r="H1234" s="88"/>
      <c r="I1234" s="89"/>
    </row>
    <row r="1235" spans="1:9" x14ac:dyDescent="0.3">
      <c r="A1235" s="88"/>
      <c r="B1235" s="88"/>
      <c r="C1235" s="88"/>
      <c r="D1235" s="88"/>
      <c r="E1235" s="88"/>
      <c r="F1235" s="88"/>
      <c r="G1235" s="88"/>
      <c r="H1235" s="88"/>
      <c r="I1235" s="89"/>
    </row>
    <row r="1236" spans="1:9" x14ac:dyDescent="0.3">
      <c r="A1236" s="88"/>
      <c r="B1236" s="88"/>
      <c r="C1236" s="88"/>
      <c r="D1236" s="88"/>
      <c r="E1236" s="88"/>
      <c r="F1236" s="88"/>
      <c r="G1236" s="88"/>
      <c r="H1236" s="88"/>
      <c r="I1236" s="89"/>
    </row>
    <row r="1237" spans="1:9" x14ac:dyDescent="0.3">
      <c r="A1237" s="88"/>
      <c r="B1237" s="88"/>
      <c r="C1237" s="88"/>
      <c r="D1237" s="88"/>
      <c r="E1237" s="88"/>
      <c r="F1237" s="88"/>
      <c r="G1237" s="88"/>
      <c r="H1237" s="88"/>
      <c r="I1237" s="89"/>
    </row>
    <row r="1238" spans="1:9" x14ac:dyDescent="0.3">
      <c r="A1238" s="88"/>
      <c r="B1238" s="88"/>
      <c r="C1238" s="88"/>
      <c r="D1238" s="88"/>
      <c r="E1238" s="88"/>
      <c r="F1238" s="88"/>
      <c r="G1238" s="88"/>
      <c r="H1238" s="88"/>
      <c r="I1238" s="89"/>
    </row>
    <row r="1239" spans="1:9" x14ac:dyDescent="0.3">
      <c r="A1239" s="88"/>
      <c r="B1239" s="88"/>
      <c r="C1239" s="88"/>
      <c r="D1239" s="88"/>
      <c r="E1239" s="88"/>
      <c r="F1239" s="88"/>
      <c r="G1239" s="88"/>
      <c r="H1239" s="88"/>
      <c r="I1239" s="89"/>
    </row>
    <row r="1240" spans="1:9" x14ac:dyDescent="0.3">
      <c r="A1240" s="88"/>
      <c r="B1240" s="88"/>
      <c r="C1240" s="88"/>
      <c r="D1240" s="88"/>
      <c r="E1240" s="88"/>
      <c r="F1240" s="88"/>
      <c r="G1240" s="88"/>
      <c r="H1240" s="88"/>
      <c r="I1240" s="89"/>
    </row>
    <row r="1241" spans="1:9" x14ac:dyDescent="0.3">
      <c r="A1241" s="88"/>
      <c r="B1241" s="88"/>
      <c r="C1241" s="88"/>
      <c r="D1241" s="88"/>
      <c r="E1241" s="88"/>
      <c r="F1241" s="88"/>
      <c r="G1241" s="88"/>
      <c r="H1241" s="88"/>
      <c r="I1241" s="89"/>
    </row>
    <row r="1242" spans="1:9" x14ac:dyDescent="0.3">
      <c r="A1242" s="88"/>
      <c r="B1242" s="88"/>
      <c r="C1242" s="88"/>
      <c r="D1242" s="88"/>
      <c r="E1242" s="88"/>
      <c r="F1242" s="88"/>
      <c r="G1242" s="88"/>
      <c r="H1242" s="88"/>
      <c r="I1242" s="89"/>
    </row>
    <row r="1243" spans="1:9" x14ac:dyDescent="0.3">
      <c r="A1243" s="88"/>
      <c r="B1243" s="88"/>
      <c r="C1243" s="88"/>
      <c r="D1243" s="88"/>
      <c r="E1243" s="88"/>
      <c r="F1243" s="88"/>
      <c r="G1243" s="88"/>
      <c r="H1243" s="88"/>
      <c r="I1243" s="89"/>
    </row>
    <row r="1244" spans="1:9" x14ac:dyDescent="0.3">
      <c r="A1244" s="88"/>
      <c r="B1244" s="88"/>
      <c r="C1244" s="88"/>
      <c r="D1244" s="88"/>
      <c r="E1244" s="88"/>
      <c r="F1244" s="88"/>
      <c r="G1244" s="88"/>
      <c r="H1244" s="88"/>
      <c r="I1244" s="89"/>
    </row>
    <row r="1245" spans="1:9" x14ac:dyDescent="0.3">
      <c r="A1245" s="88"/>
      <c r="B1245" s="88"/>
      <c r="C1245" s="88"/>
      <c r="D1245" s="88"/>
      <c r="E1245" s="88"/>
      <c r="F1245" s="88"/>
      <c r="G1245" s="88"/>
      <c r="H1245" s="88"/>
      <c r="I1245" s="89"/>
    </row>
    <row r="1246" spans="1:9" x14ac:dyDescent="0.3">
      <c r="A1246" s="88"/>
      <c r="B1246" s="88"/>
      <c r="C1246" s="88"/>
      <c r="D1246" s="88"/>
      <c r="E1246" s="88"/>
      <c r="F1246" s="88"/>
      <c r="G1246" s="88"/>
      <c r="H1246" s="88"/>
      <c r="I1246" s="89"/>
    </row>
    <row r="1247" spans="1:9" x14ac:dyDescent="0.3">
      <c r="A1247" s="88"/>
      <c r="B1247" s="88"/>
      <c r="C1247" s="88"/>
      <c r="D1247" s="88"/>
      <c r="E1247" s="88"/>
      <c r="F1247" s="88"/>
      <c r="G1247" s="88"/>
      <c r="H1247" s="88"/>
      <c r="I1247" s="89"/>
    </row>
    <row r="1248" spans="1:9" x14ac:dyDescent="0.3">
      <c r="A1248" s="88"/>
      <c r="B1248" s="88"/>
      <c r="C1248" s="88"/>
      <c r="D1248" s="88"/>
      <c r="E1248" s="88"/>
      <c r="F1248" s="88"/>
      <c r="G1248" s="88"/>
      <c r="H1248" s="88"/>
      <c r="I1248" s="89"/>
    </row>
    <row r="1249" spans="1:9" x14ac:dyDescent="0.3">
      <c r="A1249" s="88"/>
      <c r="B1249" s="88"/>
      <c r="C1249" s="88"/>
      <c r="D1249" s="88"/>
      <c r="E1249" s="88"/>
      <c r="F1249" s="88"/>
      <c r="G1249" s="88"/>
      <c r="H1249" s="88"/>
      <c r="I1249" s="89"/>
    </row>
    <row r="1250" spans="1:9" x14ac:dyDescent="0.3">
      <c r="A1250" s="88"/>
      <c r="B1250" s="88"/>
      <c r="C1250" s="88"/>
      <c r="D1250" s="88"/>
      <c r="E1250" s="88"/>
      <c r="F1250" s="88"/>
      <c r="G1250" s="88"/>
      <c r="H1250" s="88"/>
      <c r="I1250" s="89"/>
    </row>
    <row r="1251" spans="1:9" x14ac:dyDescent="0.3">
      <c r="A1251" s="88"/>
      <c r="B1251" s="88"/>
      <c r="C1251" s="88"/>
      <c r="D1251" s="88"/>
      <c r="E1251" s="88"/>
      <c r="F1251" s="88"/>
      <c r="G1251" s="88"/>
      <c r="H1251" s="88"/>
      <c r="I1251" s="89"/>
    </row>
    <row r="1252" spans="1:9" x14ac:dyDescent="0.3">
      <c r="A1252" s="88"/>
      <c r="B1252" s="88"/>
      <c r="C1252" s="88"/>
      <c r="D1252" s="88"/>
      <c r="E1252" s="88"/>
      <c r="F1252" s="88"/>
      <c r="G1252" s="88"/>
      <c r="H1252" s="88"/>
      <c r="I1252" s="89"/>
    </row>
    <row r="1253" spans="1:9" x14ac:dyDescent="0.3">
      <c r="A1253" s="88"/>
      <c r="B1253" s="88"/>
      <c r="C1253" s="88"/>
      <c r="D1253" s="88"/>
      <c r="E1253" s="88"/>
      <c r="F1253" s="88"/>
      <c r="G1253" s="88"/>
      <c r="H1253" s="88"/>
      <c r="I1253" s="89"/>
    </row>
    <row r="1254" spans="1:9" x14ac:dyDescent="0.3">
      <c r="A1254" s="88"/>
      <c r="B1254" s="88"/>
      <c r="C1254" s="88"/>
      <c r="D1254" s="88"/>
      <c r="E1254" s="88"/>
      <c r="F1254" s="88"/>
      <c r="G1254" s="88"/>
      <c r="H1254" s="88"/>
      <c r="I1254" s="89"/>
    </row>
    <row r="1255" spans="1:9" x14ac:dyDescent="0.3">
      <c r="A1255" s="88"/>
      <c r="B1255" s="88"/>
      <c r="C1255" s="88"/>
      <c r="D1255" s="88"/>
      <c r="E1255" s="88"/>
      <c r="F1255" s="88"/>
      <c r="G1255" s="88"/>
      <c r="H1255" s="88"/>
      <c r="I1255" s="89"/>
    </row>
    <row r="1256" spans="1:9" x14ac:dyDescent="0.3">
      <c r="A1256" s="88"/>
      <c r="B1256" s="88"/>
      <c r="C1256" s="88"/>
      <c r="D1256" s="88"/>
      <c r="E1256" s="88"/>
      <c r="F1256" s="88"/>
      <c r="G1256" s="88"/>
      <c r="H1256" s="88"/>
      <c r="I1256" s="89"/>
    </row>
    <row r="1257" spans="1:9" x14ac:dyDescent="0.3">
      <c r="A1257" s="88"/>
      <c r="B1257" s="88"/>
      <c r="C1257" s="88"/>
      <c r="D1257" s="88"/>
      <c r="E1257" s="88"/>
      <c r="F1257" s="88"/>
      <c r="G1257" s="88"/>
      <c r="H1257" s="88"/>
      <c r="I1257" s="89"/>
    </row>
    <row r="1258" spans="1:9" x14ac:dyDescent="0.3">
      <c r="A1258" s="88"/>
      <c r="B1258" s="88"/>
      <c r="C1258" s="88"/>
      <c r="D1258" s="88"/>
      <c r="E1258" s="88"/>
      <c r="F1258" s="88"/>
      <c r="G1258" s="88"/>
      <c r="H1258" s="88"/>
      <c r="I1258" s="89"/>
    </row>
    <row r="1259" spans="1:9" x14ac:dyDescent="0.3">
      <c r="A1259" s="88"/>
      <c r="B1259" s="88"/>
      <c r="C1259" s="88"/>
      <c r="D1259" s="88"/>
      <c r="E1259" s="88"/>
      <c r="F1259" s="88"/>
      <c r="G1259" s="88"/>
      <c r="H1259" s="88"/>
      <c r="I1259" s="89"/>
    </row>
    <row r="1260" spans="1:9" x14ac:dyDescent="0.3">
      <c r="A1260" s="88"/>
      <c r="B1260" s="88"/>
      <c r="C1260" s="88"/>
      <c r="D1260" s="88"/>
      <c r="E1260" s="88"/>
      <c r="F1260" s="88"/>
      <c r="G1260" s="88"/>
      <c r="H1260" s="88"/>
      <c r="I1260" s="89"/>
    </row>
    <row r="1261" spans="1:9" x14ac:dyDescent="0.3">
      <c r="A1261" s="88"/>
      <c r="B1261" s="88"/>
      <c r="C1261" s="88"/>
      <c r="D1261" s="88"/>
      <c r="E1261" s="88"/>
      <c r="F1261" s="88"/>
      <c r="G1261" s="88"/>
      <c r="H1261" s="88"/>
      <c r="I1261" s="89"/>
    </row>
    <row r="1262" spans="1:9" x14ac:dyDescent="0.3">
      <c r="A1262" s="88"/>
      <c r="B1262" s="88"/>
      <c r="C1262" s="88"/>
      <c r="D1262" s="88"/>
      <c r="E1262" s="88"/>
      <c r="F1262" s="88"/>
      <c r="G1262" s="88"/>
      <c r="H1262" s="88"/>
      <c r="I1262" s="89"/>
    </row>
    <row r="1263" spans="1:9" x14ac:dyDescent="0.3">
      <c r="A1263" s="88"/>
      <c r="B1263" s="88"/>
      <c r="C1263" s="88"/>
      <c r="D1263" s="88"/>
      <c r="E1263" s="88"/>
      <c r="F1263" s="88"/>
      <c r="G1263" s="88"/>
      <c r="H1263" s="88"/>
      <c r="I1263" s="89"/>
    </row>
    <row r="1264" spans="1:9" x14ac:dyDescent="0.3">
      <c r="A1264" s="88"/>
      <c r="B1264" s="88"/>
      <c r="C1264" s="88"/>
      <c r="D1264" s="88"/>
      <c r="E1264" s="88"/>
      <c r="F1264" s="88"/>
      <c r="G1264" s="88"/>
      <c r="H1264" s="88"/>
      <c r="I1264" s="89"/>
    </row>
    <row r="1265" spans="1:9" x14ac:dyDescent="0.3">
      <c r="A1265" s="88"/>
      <c r="B1265" s="88"/>
      <c r="C1265" s="88"/>
      <c r="D1265" s="88"/>
      <c r="E1265" s="88"/>
      <c r="F1265" s="88"/>
      <c r="G1265" s="88"/>
      <c r="H1265" s="88"/>
      <c r="I1265" s="89"/>
    </row>
    <row r="1266" spans="1:9" x14ac:dyDescent="0.3">
      <c r="A1266" s="88"/>
      <c r="B1266" s="88"/>
      <c r="C1266" s="88"/>
      <c r="D1266" s="88"/>
      <c r="E1266" s="88"/>
      <c r="F1266" s="88"/>
      <c r="G1266" s="88"/>
      <c r="H1266" s="88"/>
      <c r="I1266" s="89"/>
    </row>
    <row r="1267" spans="1:9" x14ac:dyDescent="0.3">
      <c r="A1267" s="88"/>
      <c r="B1267" s="88"/>
      <c r="C1267" s="88"/>
      <c r="D1267" s="88"/>
      <c r="E1267" s="88"/>
      <c r="F1267" s="88"/>
      <c r="G1267" s="88"/>
      <c r="H1267" s="88"/>
      <c r="I1267" s="89"/>
    </row>
    <row r="1268" spans="1:9" x14ac:dyDescent="0.3">
      <c r="A1268" s="88"/>
      <c r="B1268" s="88"/>
      <c r="C1268" s="88"/>
      <c r="D1268" s="88"/>
      <c r="E1268" s="88"/>
      <c r="F1268" s="88"/>
      <c r="G1268" s="88"/>
      <c r="H1268" s="88"/>
      <c r="I1268" s="89"/>
    </row>
    <row r="1269" spans="1:9" x14ac:dyDescent="0.3">
      <c r="A1269" s="88"/>
      <c r="B1269" s="88"/>
      <c r="C1269" s="88"/>
      <c r="D1269" s="88"/>
      <c r="E1269" s="88"/>
      <c r="F1269" s="88"/>
      <c r="G1269" s="88"/>
      <c r="H1269" s="88"/>
      <c r="I1269" s="89"/>
    </row>
    <row r="1270" spans="1:9" x14ac:dyDescent="0.3">
      <c r="A1270" s="88"/>
      <c r="B1270" s="88"/>
      <c r="C1270" s="88"/>
      <c r="D1270" s="88"/>
      <c r="E1270" s="88"/>
      <c r="F1270" s="88"/>
      <c r="G1270" s="88"/>
      <c r="H1270" s="88"/>
      <c r="I1270" s="89"/>
    </row>
    <row r="1271" spans="1:9" x14ac:dyDescent="0.3">
      <c r="A1271" s="88"/>
      <c r="B1271" s="88"/>
      <c r="C1271" s="88"/>
      <c r="D1271" s="88"/>
      <c r="E1271" s="88"/>
      <c r="F1271" s="88"/>
      <c r="G1271" s="88"/>
      <c r="H1271" s="88"/>
      <c r="I1271" s="89"/>
    </row>
    <row r="1272" spans="1:9" x14ac:dyDescent="0.3">
      <c r="A1272" s="88"/>
      <c r="B1272" s="88"/>
      <c r="C1272" s="88"/>
      <c r="D1272" s="88"/>
      <c r="E1272" s="88"/>
      <c r="F1272" s="88"/>
      <c r="G1272" s="88"/>
      <c r="H1272" s="88"/>
      <c r="I1272" s="89"/>
    </row>
    <row r="1273" spans="1:9" x14ac:dyDescent="0.3">
      <c r="A1273" s="88"/>
      <c r="B1273" s="88"/>
      <c r="C1273" s="88"/>
      <c r="D1273" s="88"/>
      <c r="E1273" s="88"/>
      <c r="F1273" s="88"/>
      <c r="G1273" s="88"/>
      <c r="H1273" s="88"/>
      <c r="I1273" s="89"/>
    </row>
    <row r="1274" spans="1:9" x14ac:dyDescent="0.3">
      <c r="A1274" s="88"/>
      <c r="B1274" s="88"/>
      <c r="C1274" s="88"/>
      <c r="D1274" s="88"/>
      <c r="E1274" s="88"/>
      <c r="F1274" s="88"/>
      <c r="G1274" s="88"/>
      <c r="H1274" s="88"/>
      <c r="I1274" s="89"/>
    </row>
    <row r="1275" spans="1:9" x14ac:dyDescent="0.3">
      <c r="A1275" s="88"/>
      <c r="B1275" s="88"/>
      <c r="C1275" s="88"/>
      <c r="D1275" s="88"/>
      <c r="E1275" s="88"/>
      <c r="F1275" s="88"/>
      <c r="G1275" s="88"/>
      <c r="H1275" s="88"/>
      <c r="I1275" s="89"/>
    </row>
    <row r="1276" spans="1:9" x14ac:dyDescent="0.3">
      <c r="A1276" s="88"/>
      <c r="B1276" s="88"/>
      <c r="C1276" s="88"/>
      <c r="D1276" s="88"/>
      <c r="E1276" s="88"/>
      <c r="F1276" s="88"/>
      <c r="G1276" s="88"/>
      <c r="H1276" s="88"/>
      <c r="I1276" s="89"/>
    </row>
    <row r="1277" spans="1:9" x14ac:dyDescent="0.3">
      <c r="A1277" s="88"/>
      <c r="B1277" s="88"/>
      <c r="C1277" s="88"/>
      <c r="D1277" s="88"/>
      <c r="E1277" s="88"/>
      <c r="F1277" s="88"/>
      <c r="G1277" s="88"/>
      <c r="H1277" s="88"/>
      <c r="I1277" s="89"/>
    </row>
    <row r="1278" spans="1:9" x14ac:dyDescent="0.3">
      <c r="A1278" s="88"/>
      <c r="B1278" s="88"/>
      <c r="C1278" s="88"/>
      <c r="D1278" s="88"/>
      <c r="E1278" s="88"/>
      <c r="F1278" s="88"/>
      <c r="G1278" s="88"/>
      <c r="H1278" s="88"/>
      <c r="I1278" s="89"/>
    </row>
    <row r="1279" spans="1:9" x14ac:dyDescent="0.3">
      <c r="A1279" s="88"/>
      <c r="B1279" s="88"/>
      <c r="C1279" s="88"/>
      <c r="D1279" s="88"/>
      <c r="E1279" s="88"/>
      <c r="F1279" s="88"/>
      <c r="G1279" s="88"/>
      <c r="H1279" s="88"/>
      <c r="I1279" s="89"/>
    </row>
    <row r="1280" spans="1:9" x14ac:dyDescent="0.3">
      <c r="A1280" s="88"/>
      <c r="B1280" s="88"/>
      <c r="C1280" s="88"/>
      <c r="D1280" s="88"/>
      <c r="E1280" s="88"/>
      <c r="F1280" s="88"/>
      <c r="G1280" s="88"/>
      <c r="H1280" s="88"/>
      <c r="I1280" s="89"/>
    </row>
    <row r="1281" spans="1:9" x14ac:dyDescent="0.3">
      <c r="A1281" s="88"/>
      <c r="B1281" s="88"/>
      <c r="C1281" s="88"/>
      <c r="D1281" s="88"/>
      <c r="E1281" s="88"/>
      <c r="F1281" s="88"/>
      <c r="G1281" s="88"/>
      <c r="H1281" s="88"/>
      <c r="I1281" s="89"/>
    </row>
    <row r="1282" spans="1:9" x14ac:dyDescent="0.3">
      <c r="A1282" s="88"/>
      <c r="B1282" s="88"/>
      <c r="C1282" s="88"/>
      <c r="D1282" s="88"/>
      <c r="E1282" s="88"/>
      <c r="F1282" s="88"/>
      <c r="G1282" s="88"/>
      <c r="H1282" s="88"/>
      <c r="I1282" s="89"/>
    </row>
    <row r="1283" spans="1:9" x14ac:dyDescent="0.3">
      <c r="A1283" s="88"/>
      <c r="B1283" s="88"/>
      <c r="C1283" s="88"/>
      <c r="D1283" s="88"/>
      <c r="E1283" s="88"/>
      <c r="F1283" s="88"/>
      <c r="G1283" s="88"/>
      <c r="H1283" s="88"/>
      <c r="I1283" s="89"/>
    </row>
    <row r="1284" spans="1:9" x14ac:dyDescent="0.3">
      <c r="A1284" s="88"/>
      <c r="B1284" s="88"/>
      <c r="C1284" s="88"/>
      <c r="D1284" s="88"/>
      <c r="E1284" s="88"/>
      <c r="F1284" s="88"/>
      <c r="G1284" s="88"/>
      <c r="H1284" s="88"/>
      <c r="I1284" s="89"/>
    </row>
    <row r="1285" spans="1:9" x14ac:dyDescent="0.3">
      <c r="A1285" s="88"/>
      <c r="B1285" s="88"/>
      <c r="C1285" s="88"/>
      <c r="D1285" s="88"/>
      <c r="E1285" s="88"/>
      <c r="F1285" s="88"/>
      <c r="G1285" s="88"/>
      <c r="H1285" s="88"/>
      <c r="I1285" s="89"/>
    </row>
    <row r="1286" spans="1:9" x14ac:dyDescent="0.3">
      <c r="A1286" s="88"/>
      <c r="B1286" s="88"/>
      <c r="C1286" s="88"/>
      <c r="D1286" s="88"/>
      <c r="E1286" s="88"/>
      <c r="F1286" s="88"/>
      <c r="G1286" s="88"/>
      <c r="H1286" s="88"/>
      <c r="I1286" s="89"/>
    </row>
    <row r="1287" spans="1:9" x14ac:dyDescent="0.3">
      <c r="A1287" s="88"/>
      <c r="B1287" s="88"/>
      <c r="C1287" s="88"/>
      <c r="D1287" s="88"/>
      <c r="E1287" s="88"/>
      <c r="F1287" s="88"/>
      <c r="G1287" s="88"/>
      <c r="H1287" s="88"/>
      <c r="I1287" s="89"/>
    </row>
    <row r="1288" spans="1:9" x14ac:dyDescent="0.3">
      <c r="A1288" s="88"/>
      <c r="B1288" s="88"/>
      <c r="C1288" s="88"/>
      <c r="D1288" s="88"/>
      <c r="E1288" s="88"/>
      <c r="F1288" s="88"/>
      <c r="G1288" s="88"/>
      <c r="H1288" s="88"/>
      <c r="I1288" s="89"/>
    </row>
    <row r="1289" spans="1:9" x14ac:dyDescent="0.3">
      <c r="A1289" s="88"/>
      <c r="B1289" s="88"/>
      <c r="C1289" s="88"/>
      <c r="D1289" s="88"/>
      <c r="E1289" s="88"/>
      <c r="F1289" s="88"/>
      <c r="G1289" s="88"/>
      <c r="H1289" s="88"/>
      <c r="I1289" s="89"/>
    </row>
    <row r="1290" spans="1:9" x14ac:dyDescent="0.3">
      <c r="A1290" s="88"/>
      <c r="B1290" s="88"/>
      <c r="C1290" s="88"/>
      <c r="D1290" s="88"/>
      <c r="E1290" s="88"/>
      <c r="F1290" s="88"/>
      <c r="G1290" s="88"/>
      <c r="H1290" s="88"/>
      <c r="I1290" s="89"/>
    </row>
    <row r="1291" spans="1:9" x14ac:dyDescent="0.3">
      <c r="A1291" s="88"/>
      <c r="B1291" s="88"/>
      <c r="C1291" s="88"/>
      <c r="D1291" s="88"/>
      <c r="E1291" s="88"/>
      <c r="F1291" s="88"/>
      <c r="G1291" s="88"/>
      <c r="H1291" s="88"/>
      <c r="I1291" s="89"/>
    </row>
    <row r="1292" spans="1:9" x14ac:dyDescent="0.3">
      <c r="A1292" s="88"/>
      <c r="B1292" s="88"/>
      <c r="C1292" s="88"/>
      <c r="D1292" s="88"/>
      <c r="E1292" s="88"/>
      <c r="F1292" s="88"/>
      <c r="G1292" s="88"/>
      <c r="H1292" s="88"/>
      <c r="I1292" s="89"/>
    </row>
    <row r="1293" spans="1:9" x14ac:dyDescent="0.3">
      <c r="A1293" s="88"/>
      <c r="B1293" s="88"/>
      <c r="C1293" s="88"/>
      <c r="D1293" s="88"/>
      <c r="E1293" s="88"/>
      <c r="F1293" s="88"/>
      <c r="G1293" s="88"/>
      <c r="H1293" s="88"/>
      <c r="I1293" s="89"/>
    </row>
    <row r="1294" spans="1:9" x14ac:dyDescent="0.3">
      <c r="A1294" s="88"/>
      <c r="B1294" s="88"/>
      <c r="C1294" s="88"/>
      <c r="D1294" s="88"/>
      <c r="E1294" s="88"/>
      <c r="F1294" s="88"/>
      <c r="G1294" s="88"/>
      <c r="H1294" s="88"/>
      <c r="I1294" s="89"/>
    </row>
    <row r="1295" spans="1:9" x14ac:dyDescent="0.3">
      <c r="A1295" s="88"/>
      <c r="B1295" s="88"/>
      <c r="C1295" s="88"/>
      <c r="D1295" s="88"/>
      <c r="E1295" s="88"/>
      <c r="F1295" s="88"/>
      <c r="G1295" s="88"/>
      <c r="H1295" s="88"/>
      <c r="I1295" s="89"/>
    </row>
    <row r="1296" spans="1:9" x14ac:dyDescent="0.3">
      <c r="A1296" s="88"/>
      <c r="B1296" s="88"/>
      <c r="C1296" s="88"/>
      <c r="D1296" s="88"/>
      <c r="E1296" s="88"/>
      <c r="F1296" s="88"/>
      <c r="G1296" s="88"/>
      <c r="H1296" s="88"/>
      <c r="I1296" s="89"/>
    </row>
    <row r="1297" spans="1:9" x14ac:dyDescent="0.3">
      <c r="A1297" s="88"/>
      <c r="B1297" s="88"/>
      <c r="C1297" s="88"/>
      <c r="D1297" s="88"/>
      <c r="E1297" s="88"/>
      <c r="F1297" s="88"/>
      <c r="G1297" s="88"/>
      <c r="H1297" s="88"/>
      <c r="I1297" s="89"/>
    </row>
    <row r="1298" spans="1:9" x14ac:dyDescent="0.3">
      <c r="A1298" s="88"/>
      <c r="B1298" s="88"/>
      <c r="C1298" s="88"/>
      <c r="D1298" s="88"/>
      <c r="E1298" s="88"/>
      <c r="F1298" s="88"/>
      <c r="G1298" s="88"/>
      <c r="H1298" s="88"/>
      <c r="I1298" s="89"/>
    </row>
    <row r="1299" spans="1:9" x14ac:dyDescent="0.3">
      <c r="A1299" s="88"/>
      <c r="B1299" s="88"/>
      <c r="C1299" s="88"/>
      <c r="D1299" s="88"/>
      <c r="E1299" s="88"/>
      <c r="F1299" s="88"/>
      <c r="G1299" s="88"/>
      <c r="H1299" s="88"/>
      <c r="I1299" s="89"/>
    </row>
    <row r="1300" spans="1:9" x14ac:dyDescent="0.3">
      <c r="A1300" s="88"/>
      <c r="B1300" s="88"/>
      <c r="C1300" s="88"/>
      <c r="D1300" s="88"/>
      <c r="E1300" s="88"/>
      <c r="F1300" s="88"/>
      <c r="G1300" s="88"/>
      <c r="H1300" s="88"/>
      <c r="I1300" s="89"/>
    </row>
    <row r="1301" spans="1:9" x14ac:dyDescent="0.3">
      <c r="A1301" s="88"/>
      <c r="B1301" s="88"/>
      <c r="C1301" s="88"/>
      <c r="D1301" s="88"/>
      <c r="E1301" s="88"/>
      <c r="F1301" s="88"/>
      <c r="G1301" s="88"/>
      <c r="H1301" s="88"/>
      <c r="I1301" s="89"/>
    </row>
    <row r="1302" spans="1:9" x14ac:dyDescent="0.3">
      <c r="A1302" s="88"/>
      <c r="B1302" s="88"/>
      <c r="C1302" s="88"/>
      <c r="D1302" s="88"/>
      <c r="E1302" s="88"/>
      <c r="F1302" s="88"/>
      <c r="G1302" s="88"/>
      <c r="H1302" s="88"/>
      <c r="I1302" s="89"/>
    </row>
    <row r="1303" spans="1:9" x14ac:dyDescent="0.3">
      <c r="A1303" s="88"/>
      <c r="B1303" s="88"/>
      <c r="C1303" s="88"/>
      <c r="D1303" s="88"/>
      <c r="E1303" s="88"/>
      <c r="F1303" s="88"/>
      <c r="G1303" s="88"/>
      <c r="H1303" s="88"/>
      <c r="I1303" s="89"/>
    </row>
    <row r="1304" spans="1:9" x14ac:dyDescent="0.3">
      <c r="A1304" s="88"/>
      <c r="B1304" s="88"/>
      <c r="C1304" s="88"/>
      <c r="D1304" s="88"/>
      <c r="E1304" s="88"/>
      <c r="F1304" s="88"/>
      <c r="G1304" s="88"/>
      <c r="H1304" s="88"/>
      <c r="I1304" s="89"/>
    </row>
    <row r="1305" spans="1:9" x14ac:dyDescent="0.3">
      <c r="A1305" s="88"/>
      <c r="B1305" s="88"/>
      <c r="C1305" s="88"/>
      <c r="D1305" s="88"/>
      <c r="E1305" s="88"/>
      <c r="F1305" s="88"/>
      <c r="G1305" s="88"/>
      <c r="H1305" s="88"/>
      <c r="I1305" s="89"/>
    </row>
    <row r="1306" spans="1:9" x14ac:dyDescent="0.3">
      <c r="A1306" s="88"/>
      <c r="B1306" s="88"/>
      <c r="C1306" s="88"/>
      <c r="D1306" s="88"/>
      <c r="E1306" s="88"/>
      <c r="F1306" s="88"/>
      <c r="G1306" s="88"/>
      <c r="H1306" s="88"/>
      <c r="I1306" s="89"/>
    </row>
    <row r="1307" spans="1:9" x14ac:dyDescent="0.3">
      <c r="A1307" s="88"/>
      <c r="B1307" s="88"/>
      <c r="C1307" s="88"/>
      <c r="D1307" s="88"/>
      <c r="E1307" s="88"/>
      <c r="F1307" s="88"/>
      <c r="G1307" s="88"/>
      <c r="H1307" s="88"/>
      <c r="I1307" s="89"/>
    </row>
    <row r="1308" spans="1:9" x14ac:dyDescent="0.3">
      <c r="A1308" s="88"/>
      <c r="B1308" s="88"/>
      <c r="C1308" s="88"/>
      <c r="D1308" s="88"/>
      <c r="E1308" s="88"/>
      <c r="F1308" s="88"/>
      <c r="G1308" s="88"/>
      <c r="H1308" s="88"/>
      <c r="I1308" s="89"/>
    </row>
    <row r="1309" spans="1:9" x14ac:dyDescent="0.3">
      <c r="A1309" s="88"/>
      <c r="B1309" s="88"/>
      <c r="C1309" s="88"/>
      <c r="D1309" s="88"/>
      <c r="E1309" s="88"/>
      <c r="F1309" s="88"/>
      <c r="G1309" s="88"/>
      <c r="H1309" s="88"/>
      <c r="I1309" s="89"/>
    </row>
    <row r="1310" spans="1:9" x14ac:dyDescent="0.3">
      <c r="A1310" s="88"/>
      <c r="B1310" s="88"/>
      <c r="C1310" s="88"/>
      <c r="D1310" s="88"/>
      <c r="E1310" s="88"/>
      <c r="F1310" s="88"/>
      <c r="G1310" s="88"/>
      <c r="H1310" s="88"/>
      <c r="I1310" s="89"/>
    </row>
    <row r="1311" spans="1:9" x14ac:dyDescent="0.3">
      <c r="A1311" s="88"/>
      <c r="B1311" s="88"/>
      <c r="C1311" s="88"/>
      <c r="D1311" s="88"/>
      <c r="E1311" s="88"/>
      <c r="F1311" s="88"/>
      <c r="G1311" s="88"/>
      <c r="H1311" s="88"/>
      <c r="I1311" s="89"/>
    </row>
    <row r="1312" spans="1:9" x14ac:dyDescent="0.3">
      <c r="A1312" s="88"/>
      <c r="B1312" s="88"/>
      <c r="C1312" s="88"/>
      <c r="D1312" s="88"/>
      <c r="E1312" s="88"/>
      <c r="F1312" s="88"/>
      <c r="G1312" s="88"/>
      <c r="H1312" s="88"/>
      <c r="I1312" s="89"/>
    </row>
    <row r="1313" spans="1:9" x14ac:dyDescent="0.3">
      <c r="A1313" s="88"/>
      <c r="B1313" s="88"/>
      <c r="C1313" s="88"/>
      <c r="D1313" s="88"/>
      <c r="E1313" s="88"/>
      <c r="F1313" s="88"/>
      <c r="G1313" s="88"/>
      <c r="H1313" s="88"/>
      <c r="I1313" s="89"/>
    </row>
    <row r="1314" spans="1:9" x14ac:dyDescent="0.3">
      <c r="A1314" s="88"/>
      <c r="B1314" s="88"/>
      <c r="C1314" s="88"/>
      <c r="D1314" s="88"/>
      <c r="E1314" s="88"/>
      <c r="F1314" s="88"/>
      <c r="G1314" s="88"/>
      <c r="H1314" s="88"/>
      <c r="I1314" s="89"/>
    </row>
    <row r="1315" spans="1:9" x14ac:dyDescent="0.3">
      <c r="A1315" s="88"/>
      <c r="B1315" s="88"/>
      <c r="C1315" s="88"/>
      <c r="D1315" s="88"/>
      <c r="E1315" s="88"/>
      <c r="F1315" s="88"/>
      <c r="G1315" s="88"/>
      <c r="H1315" s="88"/>
      <c r="I1315" s="89"/>
    </row>
    <row r="1316" spans="1:9" x14ac:dyDescent="0.3">
      <c r="A1316" s="88"/>
      <c r="B1316" s="88"/>
      <c r="C1316" s="88"/>
      <c r="D1316" s="88"/>
      <c r="E1316" s="88"/>
      <c r="F1316" s="88"/>
      <c r="G1316" s="88"/>
      <c r="H1316" s="88"/>
      <c r="I1316" s="89"/>
    </row>
    <row r="1317" spans="1:9" x14ac:dyDescent="0.3">
      <c r="A1317" s="88"/>
      <c r="B1317" s="88"/>
      <c r="C1317" s="88"/>
      <c r="D1317" s="88"/>
      <c r="E1317" s="88"/>
      <c r="F1317" s="88"/>
      <c r="G1317" s="88"/>
      <c r="H1317" s="88"/>
      <c r="I1317" s="89"/>
    </row>
    <row r="1318" spans="1:9" x14ac:dyDescent="0.3">
      <c r="A1318" s="88"/>
      <c r="B1318" s="88"/>
      <c r="C1318" s="88"/>
      <c r="D1318" s="88"/>
      <c r="E1318" s="88"/>
      <c r="F1318" s="88"/>
      <c r="G1318" s="88"/>
      <c r="H1318" s="88"/>
      <c r="I1318" s="89"/>
    </row>
    <row r="1319" spans="1:9" x14ac:dyDescent="0.3">
      <c r="A1319" s="88"/>
      <c r="B1319" s="88"/>
      <c r="C1319" s="88"/>
      <c r="D1319" s="88"/>
      <c r="E1319" s="88"/>
      <c r="F1319" s="88"/>
      <c r="G1319" s="88"/>
      <c r="H1319" s="88"/>
      <c r="I1319" s="89"/>
    </row>
    <row r="1320" spans="1:9" x14ac:dyDescent="0.3">
      <c r="A1320" s="88"/>
      <c r="B1320" s="88"/>
      <c r="C1320" s="88"/>
      <c r="D1320" s="88"/>
      <c r="E1320" s="88"/>
      <c r="F1320" s="88"/>
      <c r="G1320" s="88"/>
      <c r="H1320" s="88"/>
      <c r="I1320" s="89"/>
    </row>
    <row r="1321" spans="1:9" x14ac:dyDescent="0.3">
      <c r="A1321" s="88"/>
      <c r="B1321" s="88"/>
      <c r="C1321" s="88"/>
      <c r="D1321" s="88"/>
      <c r="E1321" s="88"/>
      <c r="F1321" s="88"/>
      <c r="G1321" s="88"/>
      <c r="H1321" s="88"/>
      <c r="I1321" s="89"/>
    </row>
    <row r="1322" spans="1:9" x14ac:dyDescent="0.3">
      <c r="A1322" s="88"/>
      <c r="B1322" s="88"/>
      <c r="C1322" s="88"/>
      <c r="D1322" s="88"/>
      <c r="E1322" s="88"/>
      <c r="F1322" s="88"/>
      <c r="G1322" s="88"/>
      <c r="H1322" s="88"/>
      <c r="I1322" s="89"/>
    </row>
    <row r="1323" spans="1:9" x14ac:dyDescent="0.3">
      <c r="A1323" s="88"/>
      <c r="B1323" s="88"/>
      <c r="C1323" s="88"/>
      <c r="D1323" s="88"/>
      <c r="E1323" s="88"/>
      <c r="F1323" s="88"/>
      <c r="G1323" s="88"/>
      <c r="H1323" s="88"/>
      <c r="I1323" s="89"/>
    </row>
    <row r="1324" spans="1:9" x14ac:dyDescent="0.3">
      <c r="A1324" s="88"/>
      <c r="B1324" s="88"/>
      <c r="C1324" s="88"/>
      <c r="D1324" s="88"/>
      <c r="E1324" s="88"/>
      <c r="F1324" s="88"/>
      <c r="G1324" s="88"/>
      <c r="H1324" s="88"/>
      <c r="I1324" s="89"/>
    </row>
    <row r="1325" spans="1:9" x14ac:dyDescent="0.3">
      <c r="A1325" s="88"/>
      <c r="B1325" s="88"/>
      <c r="C1325" s="88"/>
      <c r="D1325" s="88"/>
      <c r="E1325" s="88"/>
      <c r="F1325" s="88"/>
      <c r="G1325" s="88"/>
      <c r="H1325" s="88"/>
      <c r="I1325" s="89"/>
    </row>
    <row r="1326" spans="1:9" x14ac:dyDescent="0.3">
      <c r="A1326" s="88"/>
      <c r="B1326" s="88"/>
      <c r="C1326" s="88"/>
      <c r="D1326" s="88"/>
      <c r="E1326" s="88"/>
      <c r="F1326" s="88"/>
      <c r="G1326" s="88"/>
      <c r="H1326" s="88"/>
      <c r="I1326" s="89"/>
    </row>
    <row r="1327" spans="1:9" x14ac:dyDescent="0.3">
      <c r="A1327" s="88"/>
      <c r="B1327" s="88"/>
      <c r="C1327" s="88"/>
      <c r="D1327" s="88"/>
      <c r="E1327" s="88"/>
      <c r="F1327" s="88"/>
      <c r="G1327" s="88"/>
      <c r="H1327" s="88"/>
      <c r="I1327" s="89"/>
    </row>
    <row r="1328" spans="1:9" x14ac:dyDescent="0.3">
      <c r="A1328" s="88"/>
      <c r="B1328" s="88"/>
      <c r="C1328" s="88"/>
      <c r="D1328" s="88"/>
      <c r="E1328" s="88"/>
      <c r="F1328" s="88"/>
      <c r="G1328" s="88"/>
      <c r="H1328" s="88"/>
      <c r="I1328" s="89"/>
    </row>
    <row r="1329" spans="1:9" x14ac:dyDescent="0.3">
      <c r="A1329" s="88"/>
      <c r="B1329" s="88"/>
      <c r="C1329" s="88"/>
      <c r="D1329" s="88"/>
      <c r="E1329" s="88"/>
      <c r="F1329" s="88"/>
      <c r="G1329" s="88"/>
      <c r="H1329" s="88"/>
      <c r="I1329" s="89"/>
    </row>
    <row r="1330" spans="1:9" x14ac:dyDescent="0.3">
      <c r="A1330" s="88"/>
      <c r="B1330" s="88"/>
      <c r="C1330" s="88"/>
      <c r="D1330" s="88"/>
      <c r="E1330" s="88"/>
      <c r="F1330" s="88"/>
      <c r="G1330" s="88"/>
      <c r="H1330" s="88"/>
      <c r="I1330" s="89"/>
    </row>
    <row r="1331" spans="1:9" x14ac:dyDescent="0.3">
      <c r="A1331" s="88"/>
      <c r="B1331" s="88"/>
      <c r="C1331" s="88"/>
      <c r="D1331" s="88"/>
      <c r="E1331" s="88"/>
      <c r="F1331" s="88"/>
      <c r="G1331" s="88"/>
      <c r="H1331" s="88"/>
      <c r="I1331" s="89"/>
    </row>
    <row r="1332" spans="1:9" x14ac:dyDescent="0.3">
      <c r="A1332" s="88"/>
      <c r="B1332" s="88"/>
      <c r="C1332" s="88"/>
      <c r="D1332" s="88"/>
      <c r="E1332" s="88"/>
      <c r="F1332" s="88"/>
      <c r="G1332" s="88"/>
      <c r="H1332" s="88"/>
      <c r="I1332" s="89"/>
    </row>
    <row r="1333" spans="1:9" x14ac:dyDescent="0.3">
      <c r="A1333" s="88"/>
      <c r="B1333" s="88"/>
      <c r="C1333" s="88"/>
      <c r="D1333" s="88"/>
      <c r="E1333" s="88"/>
      <c r="F1333" s="88"/>
      <c r="G1333" s="88"/>
      <c r="H1333" s="88"/>
      <c r="I1333" s="89"/>
    </row>
    <row r="1334" spans="1:9" x14ac:dyDescent="0.3">
      <c r="A1334" s="88"/>
      <c r="B1334" s="88"/>
      <c r="C1334" s="88"/>
      <c r="D1334" s="88"/>
      <c r="E1334" s="88"/>
      <c r="F1334" s="88"/>
      <c r="G1334" s="88"/>
      <c r="H1334" s="88"/>
      <c r="I1334" s="89"/>
    </row>
    <row r="1335" spans="1:9" x14ac:dyDescent="0.3">
      <c r="A1335" s="88"/>
      <c r="B1335" s="88"/>
      <c r="C1335" s="88"/>
      <c r="D1335" s="88"/>
      <c r="E1335" s="88"/>
      <c r="F1335" s="88"/>
      <c r="G1335" s="88"/>
      <c r="H1335" s="88"/>
      <c r="I1335" s="89"/>
    </row>
    <row r="1336" spans="1:9" x14ac:dyDescent="0.3">
      <c r="A1336" s="88"/>
      <c r="B1336" s="88"/>
      <c r="C1336" s="88"/>
      <c r="D1336" s="88"/>
      <c r="E1336" s="88"/>
      <c r="F1336" s="88"/>
      <c r="G1336" s="88"/>
      <c r="H1336" s="88"/>
      <c r="I1336" s="89"/>
    </row>
    <row r="1337" spans="1:9" x14ac:dyDescent="0.3">
      <c r="A1337" s="88"/>
      <c r="B1337" s="88"/>
      <c r="C1337" s="88"/>
      <c r="D1337" s="88"/>
      <c r="E1337" s="88"/>
      <c r="F1337" s="88"/>
      <c r="G1337" s="88"/>
      <c r="H1337" s="88"/>
      <c r="I1337" s="89"/>
    </row>
    <row r="1338" spans="1:9" x14ac:dyDescent="0.3">
      <c r="A1338" s="88"/>
      <c r="B1338" s="88"/>
      <c r="C1338" s="88"/>
      <c r="D1338" s="88"/>
      <c r="E1338" s="88"/>
      <c r="F1338" s="88"/>
      <c r="G1338" s="88"/>
      <c r="H1338" s="88"/>
      <c r="I1338" s="89"/>
    </row>
    <row r="1339" spans="1:9" x14ac:dyDescent="0.3">
      <c r="A1339" s="88"/>
      <c r="B1339" s="88"/>
      <c r="C1339" s="88"/>
      <c r="D1339" s="88"/>
      <c r="E1339" s="88"/>
      <c r="F1339" s="88"/>
      <c r="G1339" s="88"/>
      <c r="H1339" s="88"/>
      <c r="I1339" s="89"/>
    </row>
    <row r="1340" spans="1:9" x14ac:dyDescent="0.3">
      <c r="A1340" s="88"/>
      <c r="B1340" s="88"/>
      <c r="C1340" s="88"/>
      <c r="D1340" s="88"/>
      <c r="E1340" s="88"/>
      <c r="F1340" s="88"/>
      <c r="G1340" s="88"/>
      <c r="H1340" s="88"/>
      <c r="I1340" s="89"/>
    </row>
    <row r="1341" spans="1:9" x14ac:dyDescent="0.3">
      <c r="A1341" s="88"/>
      <c r="B1341" s="88"/>
      <c r="C1341" s="88"/>
      <c r="D1341" s="88"/>
      <c r="E1341" s="88"/>
      <c r="F1341" s="88"/>
      <c r="G1341" s="88"/>
      <c r="H1341" s="88"/>
      <c r="I1341" s="89"/>
    </row>
    <row r="1342" spans="1:9" x14ac:dyDescent="0.3">
      <c r="A1342" s="88"/>
      <c r="B1342" s="88"/>
      <c r="C1342" s="88"/>
      <c r="D1342" s="88"/>
      <c r="E1342" s="88"/>
      <c r="F1342" s="88"/>
      <c r="G1342" s="88"/>
      <c r="H1342" s="88"/>
      <c r="I1342" s="89"/>
    </row>
    <row r="1343" spans="1:9" x14ac:dyDescent="0.3">
      <c r="A1343" s="88"/>
      <c r="B1343" s="88"/>
      <c r="C1343" s="88"/>
      <c r="D1343" s="88"/>
      <c r="E1343" s="88"/>
      <c r="F1343" s="88"/>
      <c r="G1343" s="88"/>
      <c r="H1343" s="88"/>
      <c r="I1343" s="89"/>
    </row>
    <row r="1344" spans="1:9" x14ac:dyDescent="0.3">
      <c r="A1344" s="88"/>
      <c r="B1344" s="88"/>
      <c r="C1344" s="88"/>
      <c r="D1344" s="88"/>
      <c r="E1344" s="88"/>
      <c r="F1344" s="88"/>
      <c r="G1344" s="88"/>
      <c r="H1344" s="88"/>
      <c r="I1344" s="89"/>
    </row>
    <row r="1345" spans="1:9" x14ac:dyDescent="0.3">
      <c r="A1345" s="88"/>
      <c r="B1345" s="88"/>
      <c r="C1345" s="88"/>
      <c r="D1345" s="88"/>
      <c r="E1345" s="88"/>
      <c r="F1345" s="88"/>
      <c r="G1345" s="88"/>
      <c r="H1345" s="88"/>
      <c r="I1345" s="89"/>
    </row>
    <row r="1346" spans="1:9" x14ac:dyDescent="0.3">
      <c r="A1346" s="88"/>
      <c r="B1346" s="88"/>
      <c r="C1346" s="88"/>
      <c r="D1346" s="88"/>
      <c r="E1346" s="88"/>
      <c r="F1346" s="88"/>
      <c r="G1346" s="88"/>
      <c r="H1346" s="88"/>
      <c r="I1346" s="89"/>
    </row>
    <row r="1347" spans="1:9" x14ac:dyDescent="0.3">
      <c r="A1347" s="88"/>
      <c r="B1347" s="88"/>
      <c r="C1347" s="88"/>
      <c r="D1347" s="88"/>
      <c r="E1347" s="88"/>
      <c r="F1347" s="88"/>
      <c r="G1347" s="88"/>
      <c r="H1347" s="88"/>
      <c r="I1347" s="89"/>
    </row>
    <row r="1348" spans="1:9" x14ac:dyDescent="0.3">
      <c r="A1348" s="88"/>
      <c r="B1348" s="88"/>
      <c r="C1348" s="88"/>
      <c r="D1348" s="88"/>
      <c r="E1348" s="88"/>
      <c r="F1348" s="88"/>
      <c r="G1348" s="88"/>
      <c r="H1348" s="88"/>
      <c r="I1348" s="89"/>
    </row>
    <row r="1349" spans="1:9" x14ac:dyDescent="0.3">
      <c r="A1349" s="88"/>
      <c r="B1349" s="88"/>
      <c r="C1349" s="88"/>
      <c r="D1349" s="88"/>
      <c r="E1349" s="88"/>
      <c r="F1349" s="88"/>
      <c r="G1349" s="88"/>
      <c r="H1349" s="88"/>
      <c r="I1349" s="89"/>
    </row>
    <row r="1350" spans="1:9" x14ac:dyDescent="0.3">
      <c r="A1350" s="88"/>
      <c r="B1350" s="88"/>
      <c r="C1350" s="88"/>
      <c r="D1350" s="88"/>
      <c r="E1350" s="88"/>
      <c r="F1350" s="88"/>
      <c r="G1350" s="88"/>
      <c r="H1350" s="88"/>
      <c r="I1350" s="89"/>
    </row>
    <row r="1351" spans="1:9" x14ac:dyDescent="0.3">
      <c r="A1351" s="88"/>
      <c r="B1351" s="88"/>
      <c r="C1351" s="88"/>
      <c r="D1351" s="88"/>
      <c r="E1351" s="88"/>
      <c r="F1351" s="88"/>
      <c r="G1351" s="88"/>
      <c r="H1351" s="88"/>
      <c r="I1351" s="89"/>
    </row>
    <row r="1352" spans="1:9" x14ac:dyDescent="0.3">
      <c r="A1352" s="88"/>
      <c r="B1352" s="88"/>
      <c r="C1352" s="88"/>
      <c r="D1352" s="88"/>
      <c r="E1352" s="88"/>
      <c r="F1352" s="88"/>
      <c r="G1352" s="88"/>
      <c r="H1352" s="88"/>
      <c r="I1352" s="89"/>
    </row>
    <row r="1353" spans="1:9" x14ac:dyDescent="0.3">
      <c r="A1353" s="88"/>
      <c r="B1353" s="88"/>
      <c r="C1353" s="88"/>
      <c r="D1353" s="88"/>
      <c r="E1353" s="88"/>
      <c r="F1353" s="88"/>
      <c r="G1353" s="88"/>
      <c r="H1353" s="88"/>
      <c r="I1353" s="89"/>
    </row>
    <row r="1354" spans="1:9" x14ac:dyDescent="0.3">
      <c r="A1354" s="88"/>
      <c r="B1354" s="88"/>
      <c r="C1354" s="88"/>
      <c r="D1354" s="88"/>
      <c r="E1354" s="88"/>
      <c r="F1354" s="88"/>
      <c r="G1354" s="88"/>
      <c r="H1354" s="88"/>
      <c r="I1354" s="89"/>
    </row>
    <row r="1355" spans="1:9" x14ac:dyDescent="0.3">
      <c r="A1355" s="88"/>
      <c r="B1355" s="88"/>
      <c r="C1355" s="88"/>
      <c r="D1355" s="88"/>
      <c r="E1355" s="88"/>
      <c r="F1355" s="88"/>
      <c r="G1355" s="88"/>
      <c r="H1355" s="88"/>
      <c r="I1355" s="89"/>
    </row>
    <row r="1356" spans="1:9" x14ac:dyDescent="0.3">
      <c r="A1356" s="88"/>
      <c r="B1356" s="88"/>
      <c r="C1356" s="88"/>
      <c r="D1356" s="88"/>
      <c r="E1356" s="88"/>
      <c r="F1356" s="88"/>
      <c r="G1356" s="88"/>
      <c r="H1356" s="88"/>
      <c r="I1356" s="89"/>
    </row>
    <row r="1357" spans="1:9" x14ac:dyDescent="0.3">
      <c r="A1357" s="88"/>
      <c r="B1357" s="88"/>
      <c r="C1357" s="88"/>
      <c r="D1357" s="88"/>
      <c r="E1357" s="88"/>
      <c r="F1357" s="88"/>
      <c r="G1357" s="88"/>
      <c r="H1357" s="88"/>
      <c r="I1357" s="89"/>
    </row>
    <row r="1358" spans="1:9" x14ac:dyDescent="0.3">
      <c r="A1358" s="88"/>
      <c r="B1358" s="88"/>
      <c r="C1358" s="88"/>
      <c r="D1358" s="88"/>
      <c r="E1358" s="88"/>
      <c r="F1358" s="88"/>
      <c r="G1358" s="88"/>
      <c r="H1358" s="88"/>
      <c r="I1358" s="89"/>
    </row>
    <row r="1359" spans="1:9" x14ac:dyDescent="0.3">
      <c r="A1359" s="88"/>
      <c r="B1359" s="88"/>
      <c r="C1359" s="88"/>
      <c r="D1359" s="88"/>
      <c r="E1359" s="88"/>
      <c r="F1359" s="88"/>
      <c r="G1359" s="88"/>
      <c r="H1359" s="88"/>
      <c r="I1359" s="89"/>
    </row>
    <row r="1360" spans="1:9" x14ac:dyDescent="0.3">
      <c r="A1360" s="88"/>
      <c r="B1360" s="88"/>
      <c r="C1360" s="88"/>
      <c r="D1360" s="88"/>
      <c r="E1360" s="88"/>
      <c r="F1360" s="88"/>
      <c r="G1360" s="88"/>
      <c r="H1360" s="88"/>
      <c r="I1360" s="89"/>
    </row>
    <row r="1361" spans="1:9" x14ac:dyDescent="0.3">
      <c r="A1361" s="88"/>
      <c r="B1361" s="88"/>
      <c r="C1361" s="88"/>
      <c r="D1361" s="88"/>
      <c r="E1361" s="88"/>
      <c r="F1361" s="88"/>
      <c r="G1361" s="88"/>
      <c r="H1361" s="88"/>
      <c r="I1361" s="89"/>
    </row>
    <row r="1362" spans="1:9" x14ac:dyDescent="0.3">
      <c r="A1362" s="88"/>
      <c r="B1362" s="88"/>
      <c r="C1362" s="88"/>
      <c r="D1362" s="88"/>
      <c r="E1362" s="88"/>
      <c r="F1362" s="88"/>
      <c r="G1362" s="88"/>
      <c r="H1362" s="88"/>
      <c r="I1362" s="89"/>
    </row>
    <row r="1363" spans="1:9" x14ac:dyDescent="0.3">
      <c r="A1363" s="88"/>
      <c r="B1363" s="88"/>
      <c r="C1363" s="88"/>
      <c r="D1363" s="88"/>
      <c r="E1363" s="88"/>
      <c r="F1363" s="88"/>
      <c r="G1363" s="88"/>
      <c r="H1363" s="88"/>
      <c r="I1363" s="89"/>
    </row>
    <row r="1364" spans="1:9" x14ac:dyDescent="0.3">
      <c r="A1364" s="88"/>
      <c r="B1364" s="88"/>
      <c r="C1364" s="88"/>
      <c r="D1364" s="88"/>
      <c r="E1364" s="88"/>
      <c r="F1364" s="88"/>
      <c r="G1364" s="88"/>
      <c r="H1364" s="88"/>
      <c r="I1364" s="89"/>
    </row>
    <row r="1365" spans="1:9" x14ac:dyDescent="0.3">
      <c r="A1365" s="88"/>
      <c r="B1365" s="88"/>
      <c r="C1365" s="88"/>
      <c r="D1365" s="88"/>
      <c r="E1365" s="88"/>
      <c r="F1365" s="88"/>
      <c r="G1365" s="88"/>
      <c r="H1365" s="88"/>
      <c r="I1365" s="89"/>
    </row>
    <row r="1366" spans="1:9" x14ac:dyDescent="0.3">
      <c r="A1366" s="88"/>
      <c r="B1366" s="88"/>
      <c r="C1366" s="88"/>
      <c r="D1366" s="88"/>
      <c r="E1366" s="88"/>
      <c r="F1366" s="88"/>
      <c r="G1366" s="88"/>
      <c r="H1366" s="88"/>
      <c r="I1366" s="89"/>
    </row>
    <row r="1367" spans="1:9" x14ac:dyDescent="0.3">
      <c r="A1367" s="88"/>
      <c r="B1367" s="88"/>
      <c r="C1367" s="88"/>
      <c r="D1367" s="88"/>
      <c r="E1367" s="88"/>
      <c r="F1367" s="88"/>
      <c r="G1367" s="88"/>
      <c r="H1367" s="88"/>
      <c r="I1367" s="89"/>
    </row>
    <row r="1368" spans="1:9" x14ac:dyDescent="0.3">
      <c r="A1368" s="88"/>
      <c r="B1368" s="88"/>
      <c r="C1368" s="88"/>
      <c r="D1368" s="88"/>
      <c r="E1368" s="88"/>
      <c r="F1368" s="88"/>
      <c r="G1368" s="88"/>
      <c r="H1368" s="88"/>
      <c r="I1368" s="89"/>
    </row>
    <row r="1369" spans="1:9" x14ac:dyDescent="0.3">
      <c r="A1369" s="88"/>
      <c r="B1369" s="88"/>
      <c r="C1369" s="88"/>
      <c r="D1369" s="88"/>
      <c r="E1369" s="88"/>
      <c r="F1369" s="88"/>
      <c r="G1369" s="88"/>
      <c r="H1369" s="88"/>
      <c r="I1369" s="89"/>
    </row>
    <row r="1370" spans="1:9" x14ac:dyDescent="0.3">
      <c r="A1370" s="88"/>
      <c r="B1370" s="88"/>
      <c r="C1370" s="88"/>
      <c r="D1370" s="88"/>
      <c r="E1370" s="88"/>
      <c r="F1370" s="88"/>
      <c r="G1370" s="88"/>
      <c r="H1370" s="88"/>
      <c r="I1370" s="89"/>
    </row>
    <row r="1371" spans="1:9" x14ac:dyDescent="0.3">
      <c r="A1371" s="88"/>
      <c r="B1371" s="88"/>
      <c r="C1371" s="88"/>
      <c r="D1371" s="88"/>
      <c r="E1371" s="88"/>
      <c r="F1371" s="88"/>
      <c r="G1371" s="88"/>
      <c r="H1371" s="88"/>
      <c r="I1371" s="89"/>
    </row>
    <row r="1372" spans="1:9" x14ac:dyDescent="0.3">
      <c r="A1372" s="88"/>
      <c r="B1372" s="88"/>
      <c r="C1372" s="88"/>
      <c r="D1372" s="88"/>
      <c r="E1372" s="88"/>
      <c r="F1372" s="88"/>
      <c r="G1372" s="88"/>
      <c r="H1372" s="88"/>
      <c r="I1372" s="89"/>
    </row>
    <row r="1373" spans="1:9" x14ac:dyDescent="0.3">
      <c r="A1373" s="88"/>
      <c r="B1373" s="88"/>
      <c r="C1373" s="88"/>
      <c r="D1373" s="88"/>
      <c r="E1373" s="88"/>
      <c r="F1373" s="88"/>
      <c r="G1373" s="88"/>
      <c r="H1373" s="88"/>
      <c r="I1373" s="89"/>
    </row>
    <row r="1374" spans="1:9" x14ac:dyDescent="0.3">
      <c r="A1374" s="88"/>
      <c r="B1374" s="88"/>
      <c r="C1374" s="88"/>
      <c r="D1374" s="88"/>
      <c r="E1374" s="88"/>
      <c r="F1374" s="88"/>
      <c r="G1374" s="88"/>
      <c r="H1374" s="88"/>
      <c r="I1374" s="89"/>
    </row>
    <row r="1375" spans="1:9" x14ac:dyDescent="0.3">
      <c r="A1375" s="88"/>
      <c r="B1375" s="88"/>
      <c r="C1375" s="88"/>
      <c r="D1375" s="88"/>
      <c r="E1375" s="88"/>
      <c r="F1375" s="88"/>
      <c r="G1375" s="88"/>
      <c r="H1375" s="88"/>
      <c r="I1375" s="89"/>
    </row>
    <row r="1376" spans="1:9" x14ac:dyDescent="0.3">
      <c r="A1376" s="88"/>
      <c r="B1376" s="88"/>
      <c r="C1376" s="88"/>
      <c r="D1376" s="88"/>
      <c r="E1376" s="88"/>
      <c r="F1376" s="88"/>
      <c r="G1376" s="88"/>
      <c r="H1376" s="88"/>
      <c r="I1376" s="89"/>
    </row>
    <row r="1377" spans="1:9" x14ac:dyDescent="0.3">
      <c r="A1377" s="88"/>
      <c r="B1377" s="88"/>
      <c r="C1377" s="88"/>
      <c r="D1377" s="88"/>
      <c r="E1377" s="88"/>
      <c r="F1377" s="88"/>
      <c r="G1377" s="88"/>
      <c r="H1377" s="88"/>
      <c r="I1377" s="89"/>
    </row>
    <row r="1378" spans="1:9" x14ac:dyDescent="0.3">
      <c r="A1378" s="88"/>
      <c r="B1378" s="88"/>
      <c r="C1378" s="88"/>
      <c r="D1378" s="88"/>
      <c r="E1378" s="88"/>
      <c r="F1378" s="88"/>
      <c r="G1378" s="88"/>
      <c r="H1378" s="88"/>
      <c r="I1378" s="89"/>
    </row>
    <row r="1379" spans="1:9" x14ac:dyDescent="0.3">
      <c r="A1379" s="88"/>
      <c r="B1379" s="88"/>
      <c r="C1379" s="88"/>
      <c r="D1379" s="88"/>
      <c r="E1379" s="88"/>
      <c r="F1379" s="88"/>
      <c r="G1379" s="88"/>
      <c r="H1379" s="88"/>
      <c r="I1379" s="89"/>
    </row>
    <row r="1380" spans="1:9" x14ac:dyDescent="0.3">
      <c r="A1380" s="88"/>
      <c r="B1380" s="88"/>
      <c r="C1380" s="88"/>
      <c r="D1380" s="88"/>
      <c r="E1380" s="88"/>
      <c r="F1380" s="88"/>
      <c r="G1380" s="88"/>
      <c r="H1380" s="88"/>
      <c r="I1380" s="89"/>
    </row>
    <row r="1381" spans="1:9" x14ac:dyDescent="0.3">
      <c r="A1381" s="88"/>
      <c r="B1381" s="88"/>
      <c r="C1381" s="88"/>
      <c r="D1381" s="88"/>
      <c r="E1381" s="88"/>
      <c r="F1381" s="88"/>
      <c r="G1381" s="88"/>
      <c r="H1381" s="88"/>
      <c r="I1381" s="89"/>
    </row>
    <row r="1382" spans="1:9" x14ac:dyDescent="0.3">
      <c r="A1382" s="88"/>
      <c r="B1382" s="88"/>
      <c r="C1382" s="88"/>
      <c r="D1382" s="88"/>
      <c r="E1382" s="88"/>
      <c r="F1382" s="88"/>
      <c r="G1382" s="88"/>
      <c r="H1382" s="88"/>
      <c r="I1382" s="89"/>
    </row>
    <row r="1383" spans="1:9" x14ac:dyDescent="0.3">
      <c r="A1383" s="88"/>
      <c r="B1383" s="88"/>
      <c r="C1383" s="88"/>
      <c r="D1383" s="88"/>
      <c r="E1383" s="88"/>
      <c r="F1383" s="88"/>
      <c r="G1383" s="88"/>
      <c r="H1383" s="88"/>
      <c r="I1383" s="89"/>
    </row>
    <row r="1384" spans="1:9" x14ac:dyDescent="0.3">
      <c r="A1384" s="88"/>
      <c r="B1384" s="88"/>
      <c r="C1384" s="88"/>
      <c r="D1384" s="88"/>
      <c r="E1384" s="88"/>
      <c r="F1384" s="88"/>
      <c r="G1384" s="88"/>
      <c r="H1384" s="88"/>
      <c r="I1384" s="89"/>
    </row>
    <row r="1385" spans="1:9" x14ac:dyDescent="0.3">
      <c r="A1385" s="88"/>
      <c r="B1385" s="88"/>
      <c r="C1385" s="88"/>
      <c r="D1385" s="88"/>
      <c r="E1385" s="88"/>
      <c r="F1385" s="88"/>
      <c r="G1385" s="88"/>
      <c r="H1385" s="88"/>
      <c r="I1385" s="89"/>
    </row>
    <row r="1386" spans="1:9" x14ac:dyDescent="0.3">
      <c r="A1386" s="88"/>
      <c r="B1386" s="88"/>
      <c r="C1386" s="88"/>
      <c r="D1386" s="88"/>
      <c r="E1386" s="88"/>
      <c r="F1386" s="88"/>
      <c r="G1386" s="88"/>
      <c r="H1386" s="88"/>
      <c r="I1386" s="89"/>
    </row>
    <row r="1387" spans="1:9" x14ac:dyDescent="0.3">
      <c r="A1387" s="88"/>
      <c r="B1387" s="88"/>
      <c r="C1387" s="88"/>
      <c r="D1387" s="88"/>
      <c r="E1387" s="88"/>
      <c r="F1387" s="88"/>
      <c r="G1387" s="88"/>
      <c r="H1387" s="88"/>
      <c r="I1387" s="89"/>
    </row>
    <row r="1388" spans="1:9" x14ac:dyDescent="0.3">
      <c r="A1388" s="88"/>
      <c r="B1388" s="88"/>
      <c r="C1388" s="88"/>
      <c r="D1388" s="88"/>
      <c r="E1388" s="88"/>
      <c r="F1388" s="88"/>
      <c r="G1388" s="88"/>
      <c r="H1388" s="88"/>
      <c r="I1388" s="89"/>
    </row>
    <row r="1389" spans="1:9" x14ac:dyDescent="0.3">
      <c r="A1389" s="88"/>
      <c r="B1389" s="88"/>
      <c r="C1389" s="88"/>
      <c r="D1389" s="88"/>
      <c r="E1389" s="88"/>
      <c r="F1389" s="88"/>
      <c r="G1389" s="88"/>
      <c r="H1389" s="88"/>
      <c r="I1389" s="89"/>
    </row>
    <row r="1390" spans="1:9" x14ac:dyDescent="0.3">
      <c r="A1390" s="88"/>
      <c r="B1390" s="88"/>
      <c r="C1390" s="88"/>
      <c r="D1390" s="88"/>
      <c r="E1390" s="88"/>
      <c r="F1390" s="88"/>
      <c r="G1390" s="88"/>
      <c r="H1390" s="88"/>
      <c r="I1390" s="89"/>
    </row>
    <row r="1391" spans="1:9" x14ac:dyDescent="0.3">
      <c r="A1391" s="88"/>
      <c r="B1391" s="88"/>
      <c r="C1391" s="88"/>
      <c r="D1391" s="88"/>
      <c r="E1391" s="88"/>
      <c r="F1391" s="88"/>
      <c r="G1391" s="88"/>
      <c r="H1391" s="88"/>
      <c r="I1391" s="89"/>
    </row>
    <row r="1392" spans="1:9" x14ac:dyDescent="0.3">
      <c r="A1392" s="88"/>
      <c r="B1392" s="88"/>
      <c r="C1392" s="88"/>
      <c r="D1392" s="88"/>
      <c r="E1392" s="88"/>
      <c r="F1392" s="88"/>
      <c r="G1392" s="88"/>
      <c r="H1392" s="88"/>
      <c r="I1392" s="89"/>
    </row>
    <row r="1393" spans="1:9" x14ac:dyDescent="0.3">
      <c r="A1393" s="88"/>
      <c r="B1393" s="88"/>
      <c r="C1393" s="88"/>
      <c r="D1393" s="88"/>
      <c r="E1393" s="88"/>
      <c r="F1393" s="88"/>
      <c r="G1393" s="88"/>
      <c r="H1393" s="88"/>
      <c r="I1393" s="89"/>
    </row>
    <row r="1394" spans="1:9" x14ac:dyDescent="0.3">
      <c r="A1394" s="88"/>
      <c r="B1394" s="88"/>
      <c r="C1394" s="88"/>
      <c r="D1394" s="88"/>
      <c r="E1394" s="88"/>
      <c r="F1394" s="88"/>
      <c r="G1394" s="88"/>
      <c r="H1394" s="88"/>
      <c r="I1394" s="89"/>
    </row>
    <row r="1395" spans="1:9" x14ac:dyDescent="0.3">
      <c r="A1395" s="88"/>
      <c r="B1395" s="88"/>
      <c r="C1395" s="88"/>
      <c r="D1395" s="88"/>
      <c r="E1395" s="88"/>
      <c r="F1395" s="88"/>
      <c r="G1395" s="88"/>
      <c r="H1395" s="88"/>
      <c r="I1395" s="89"/>
    </row>
    <row r="1396" spans="1:9" x14ac:dyDescent="0.3">
      <c r="A1396" s="88"/>
      <c r="B1396" s="88"/>
      <c r="C1396" s="88"/>
      <c r="D1396" s="88"/>
      <c r="E1396" s="88"/>
      <c r="F1396" s="88"/>
      <c r="G1396" s="88"/>
      <c r="H1396" s="88"/>
      <c r="I1396" s="89"/>
    </row>
    <row r="1397" spans="1:9" x14ac:dyDescent="0.3">
      <c r="A1397" s="88"/>
      <c r="B1397" s="88"/>
      <c r="C1397" s="88"/>
      <c r="D1397" s="88"/>
      <c r="E1397" s="88"/>
      <c r="F1397" s="88"/>
      <c r="G1397" s="88"/>
      <c r="H1397" s="88"/>
      <c r="I1397" s="89"/>
    </row>
    <row r="1398" spans="1:9" x14ac:dyDescent="0.3">
      <c r="A1398" s="88"/>
      <c r="B1398" s="88"/>
      <c r="C1398" s="88"/>
      <c r="D1398" s="88"/>
      <c r="E1398" s="88"/>
      <c r="F1398" s="88"/>
      <c r="G1398" s="88"/>
      <c r="H1398" s="88"/>
      <c r="I1398" s="89"/>
    </row>
    <row r="1399" spans="1:9" x14ac:dyDescent="0.3">
      <c r="A1399" s="88"/>
      <c r="B1399" s="88"/>
      <c r="C1399" s="88"/>
      <c r="D1399" s="88"/>
      <c r="E1399" s="88"/>
      <c r="F1399" s="88"/>
      <c r="G1399" s="88"/>
      <c r="H1399" s="88"/>
      <c r="I1399" s="89"/>
    </row>
    <row r="1400" spans="1:9" x14ac:dyDescent="0.3">
      <c r="A1400" s="88"/>
      <c r="B1400" s="88"/>
      <c r="C1400" s="88"/>
      <c r="D1400" s="88"/>
      <c r="E1400" s="88"/>
      <c r="F1400" s="88"/>
      <c r="G1400" s="88"/>
      <c r="H1400" s="88"/>
      <c r="I1400" s="89"/>
    </row>
    <row r="1401" spans="1:9" x14ac:dyDescent="0.3">
      <c r="A1401" s="88"/>
      <c r="B1401" s="88"/>
      <c r="C1401" s="88"/>
      <c r="D1401" s="88"/>
      <c r="E1401" s="88"/>
      <c r="F1401" s="88"/>
      <c r="G1401" s="88"/>
      <c r="H1401" s="88"/>
      <c r="I1401" s="89"/>
    </row>
    <row r="1402" spans="1:9" x14ac:dyDescent="0.3">
      <c r="A1402" s="88"/>
      <c r="B1402" s="88"/>
      <c r="C1402" s="88"/>
      <c r="D1402" s="88"/>
      <c r="E1402" s="88"/>
      <c r="F1402" s="88"/>
      <c r="G1402" s="88"/>
      <c r="H1402" s="88"/>
      <c r="I1402" s="89"/>
    </row>
    <row r="1403" spans="1:9" x14ac:dyDescent="0.3">
      <c r="A1403" s="88"/>
      <c r="B1403" s="88"/>
      <c r="C1403" s="88"/>
      <c r="D1403" s="88"/>
      <c r="E1403" s="88"/>
      <c r="F1403" s="88"/>
      <c r="G1403" s="88"/>
      <c r="H1403" s="88"/>
      <c r="I1403" s="89"/>
    </row>
    <row r="1404" spans="1:9" x14ac:dyDescent="0.3">
      <c r="A1404" s="88"/>
      <c r="B1404" s="88"/>
      <c r="C1404" s="88"/>
      <c r="D1404" s="88"/>
      <c r="E1404" s="88"/>
      <c r="F1404" s="88"/>
      <c r="G1404" s="88"/>
      <c r="H1404" s="88"/>
      <c r="I1404" s="89"/>
    </row>
    <row r="1405" spans="1:9" x14ac:dyDescent="0.3">
      <c r="A1405" s="88"/>
      <c r="B1405" s="88"/>
      <c r="C1405" s="88"/>
      <c r="D1405" s="88"/>
      <c r="E1405" s="88"/>
      <c r="F1405" s="88"/>
      <c r="G1405" s="88"/>
      <c r="H1405" s="88"/>
      <c r="I1405" s="89"/>
    </row>
    <row r="1406" spans="1:9" x14ac:dyDescent="0.3">
      <c r="A1406" s="88"/>
      <c r="B1406" s="88"/>
      <c r="C1406" s="88"/>
      <c r="D1406" s="88"/>
      <c r="E1406" s="88"/>
      <c r="F1406" s="88"/>
      <c r="G1406" s="88"/>
      <c r="H1406" s="88"/>
      <c r="I1406" s="89"/>
    </row>
    <row r="1407" spans="1:9" x14ac:dyDescent="0.3">
      <c r="A1407" s="88"/>
      <c r="B1407" s="88"/>
      <c r="C1407" s="88"/>
      <c r="D1407" s="88"/>
      <c r="E1407" s="88"/>
      <c r="F1407" s="88"/>
      <c r="G1407" s="88"/>
      <c r="H1407" s="88"/>
      <c r="I1407" s="89"/>
    </row>
    <row r="1408" spans="1:9" x14ac:dyDescent="0.3">
      <c r="A1408" s="88"/>
      <c r="B1408" s="88"/>
      <c r="C1408" s="88"/>
      <c r="D1408" s="88"/>
      <c r="E1408" s="88"/>
      <c r="F1408" s="88"/>
      <c r="G1408" s="88"/>
      <c r="H1408" s="88"/>
      <c r="I1408" s="89"/>
    </row>
    <row r="1409" spans="1:9" x14ac:dyDescent="0.3">
      <c r="A1409" s="88"/>
      <c r="B1409" s="88"/>
      <c r="C1409" s="88"/>
      <c r="D1409" s="88"/>
      <c r="E1409" s="88"/>
      <c r="F1409" s="88"/>
      <c r="G1409" s="88"/>
      <c r="H1409" s="88"/>
      <c r="I1409" s="89"/>
    </row>
    <row r="1410" spans="1:9" x14ac:dyDescent="0.3">
      <c r="A1410" s="88"/>
      <c r="B1410" s="88"/>
      <c r="C1410" s="88"/>
      <c r="D1410" s="88"/>
      <c r="E1410" s="88"/>
      <c r="F1410" s="88"/>
      <c r="G1410" s="88"/>
      <c r="H1410" s="88"/>
      <c r="I1410" s="89"/>
    </row>
    <row r="1411" spans="1:9" x14ac:dyDescent="0.3">
      <c r="A1411" s="88"/>
      <c r="B1411" s="88"/>
      <c r="C1411" s="88"/>
      <c r="D1411" s="88"/>
      <c r="E1411" s="88"/>
      <c r="F1411" s="88"/>
      <c r="G1411" s="88"/>
      <c r="H1411" s="88"/>
      <c r="I1411" s="89"/>
    </row>
    <row r="1412" spans="1:9" x14ac:dyDescent="0.3">
      <c r="A1412" s="88"/>
      <c r="B1412" s="88"/>
      <c r="C1412" s="88"/>
      <c r="D1412" s="88"/>
      <c r="E1412" s="88"/>
      <c r="F1412" s="88"/>
      <c r="G1412" s="88"/>
      <c r="H1412" s="88"/>
      <c r="I1412" s="89"/>
    </row>
    <row r="1413" spans="1:9" x14ac:dyDescent="0.3">
      <c r="A1413" s="88"/>
      <c r="B1413" s="88"/>
      <c r="C1413" s="88"/>
      <c r="D1413" s="88"/>
      <c r="E1413" s="88"/>
      <c r="F1413" s="88"/>
      <c r="G1413" s="88"/>
      <c r="H1413" s="88"/>
      <c r="I1413" s="89"/>
    </row>
    <row r="1414" spans="1:9" x14ac:dyDescent="0.3">
      <c r="A1414" s="88"/>
      <c r="B1414" s="88"/>
      <c r="C1414" s="88"/>
      <c r="D1414" s="88"/>
      <c r="E1414" s="88"/>
      <c r="F1414" s="88"/>
      <c r="G1414" s="88"/>
      <c r="H1414" s="88"/>
      <c r="I1414" s="89"/>
    </row>
    <row r="1415" spans="1:9" x14ac:dyDescent="0.3">
      <c r="A1415" s="88"/>
      <c r="B1415" s="88"/>
      <c r="C1415" s="88"/>
      <c r="D1415" s="88"/>
      <c r="E1415" s="88"/>
      <c r="F1415" s="88"/>
      <c r="G1415" s="88"/>
      <c r="H1415" s="88"/>
      <c r="I1415" s="89"/>
    </row>
    <row r="1416" spans="1:9" x14ac:dyDescent="0.3">
      <c r="A1416" s="88"/>
      <c r="B1416" s="88"/>
      <c r="C1416" s="88"/>
      <c r="D1416" s="88"/>
      <c r="E1416" s="88"/>
      <c r="F1416" s="88"/>
      <c r="G1416" s="88"/>
      <c r="H1416" s="88"/>
      <c r="I1416" s="89"/>
    </row>
    <row r="1417" spans="1:9" x14ac:dyDescent="0.3">
      <c r="A1417" s="88"/>
      <c r="B1417" s="88"/>
      <c r="C1417" s="88"/>
      <c r="D1417" s="88"/>
      <c r="E1417" s="88"/>
      <c r="F1417" s="88"/>
      <c r="G1417" s="88"/>
      <c r="H1417" s="88"/>
      <c r="I1417" s="89"/>
    </row>
    <row r="1418" spans="1:9" x14ac:dyDescent="0.3">
      <c r="A1418" s="88"/>
      <c r="B1418" s="88"/>
      <c r="C1418" s="88"/>
      <c r="D1418" s="88"/>
      <c r="E1418" s="88"/>
      <c r="F1418" s="88"/>
      <c r="G1418" s="88"/>
      <c r="H1418" s="88"/>
      <c r="I1418" s="89"/>
    </row>
    <row r="1419" spans="1:9" x14ac:dyDescent="0.3">
      <c r="A1419" s="88"/>
      <c r="B1419" s="88"/>
      <c r="C1419" s="88"/>
      <c r="D1419" s="88"/>
      <c r="E1419" s="88"/>
      <c r="F1419" s="88"/>
      <c r="G1419" s="88"/>
      <c r="H1419" s="88"/>
      <c r="I1419" s="89"/>
    </row>
    <row r="1420" spans="1:9" x14ac:dyDescent="0.3">
      <c r="A1420" s="88"/>
      <c r="B1420" s="88"/>
      <c r="C1420" s="88"/>
      <c r="D1420" s="88"/>
      <c r="E1420" s="88"/>
      <c r="F1420" s="88"/>
      <c r="G1420" s="88"/>
      <c r="H1420" s="88"/>
      <c r="I1420" s="89"/>
    </row>
    <row r="1421" spans="1:9" x14ac:dyDescent="0.3">
      <c r="A1421" s="88"/>
      <c r="B1421" s="88"/>
      <c r="C1421" s="88"/>
      <c r="D1421" s="88"/>
      <c r="E1421" s="88"/>
      <c r="F1421" s="88"/>
      <c r="G1421" s="88"/>
      <c r="H1421" s="88"/>
      <c r="I1421" s="89"/>
    </row>
    <row r="1422" spans="1:9" x14ac:dyDescent="0.3">
      <c r="A1422" s="88"/>
      <c r="B1422" s="88"/>
      <c r="C1422" s="88"/>
      <c r="D1422" s="88"/>
      <c r="E1422" s="88"/>
      <c r="F1422" s="88"/>
      <c r="G1422" s="88"/>
      <c r="H1422" s="88"/>
      <c r="I1422" s="89"/>
    </row>
    <row r="1423" spans="1:9" x14ac:dyDescent="0.3">
      <c r="A1423" s="88"/>
      <c r="B1423" s="88"/>
      <c r="C1423" s="88"/>
      <c r="D1423" s="88"/>
      <c r="E1423" s="88"/>
      <c r="F1423" s="88"/>
      <c r="G1423" s="88"/>
      <c r="H1423" s="88"/>
      <c r="I1423" s="89"/>
    </row>
    <row r="1424" spans="1:9" x14ac:dyDescent="0.3">
      <c r="A1424" s="88"/>
      <c r="B1424" s="88"/>
      <c r="C1424" s="88"/>
      <c r="D1424" s="88"/>
      <c r="E1424" s="88"/>
      <c r="F1424" s="88"/>
      <c r="G1424" s="88"/>
      <c r="H1424" s="88"/>
      <c r="I1424" s="89"/>
    </row>
    <row r="1425" spans="1:9" x14ac:dyDescent="0.3">
      <c r="A1425" s="88"/>
      <c r="B1425" s="88"/>
      <c r="C1425" s="88"/>
      <c r="D1425" s="88"/>
      <c r="E1425" s="88"/>
      <c r="F1425" s="88"/>
      <c r="G1425" s="88"/>
      <c r="H1425" s="88"/>
      <c r="I1425" s="89"/>
    </row>
    <row r="1426" spans="1:9" x14ac:dyDescent="0.3">
      <c r="A1426" s="88"/>
      <c r="B1426" s="88"/>
      <c r="C1426" s="88"/>
      <c r="D1426" s="88"/>
      <c r="E1426" s="88"/>
      <c r="F1426" s="88"/>
      <c r="G1426" s="88"/>
      <c r="H1426" s="88"/>
      <c r="I1426" s="89"/>
    </row>
    <row r="1427" spans="1:9" x14ac:dyDescent="0.3">
      <c r="A1427" s="88"/>
      <c r="B1427" s="88"/>
      <c r="C1427" s="88"/>
      <c r="D1427" s="88"/>
      <c r="E1427" s="88"/>
      <c r="F1427" s="88"/>
      <c r="G1427" s="88"/>
      <c r="H1427" s="88"/>
      <c r="I1427" s="89"/>
    </row>
    <row r="1428" spans="1:9" x14ac:dyDescent="0.3">
      <c r="A1428" s="88"/>
      <c r="B1428" s="88"/>
      <c r="C1428" s="88"/>
      <c r="D1428" s="88"/>
      <c r="E1428" s="88"/>
      <c r="F1428" s="88"/>
      <c r="G1428" s="88"/>
      <c r="H1428" s="88"/>
      <c r="I1428" s="89"/>
    </row>
    <row r="1429" spans="1:9" x14ac:dyDescent="0.3">
      <c r="A1429" s="88"/>
      <c r="B1429" s="88"/>
      <c r="C1429" s="88"/>
      <c r="D1429" s="88"/>
      <c r="E1429" s="88"/>
      <c r="F1429" s="88"/>
      <c r="G1429" s="88"/>
      <c r="H1429" s="88"/>
      <c r="I1429" s="89"/>
    </row>
    <row r="1430" spans="1:9" x14ac:dyDescent="0.3">
      <c r="A1430" s="88"/>
      <c r="B1430" s="88"/>
      <c r="C1430" s="88"/>
      <c r="D1430" s="88"/>
      <c r="E1430" s="88"/>
      <c r="F1430" s="88"/>
      <c r="G1430" s="88"/>
      <c r="H1430" s="88"/>
      <c r="I1430" s="89"/>
    </row>
    <row r="1431" spans="1:9" x14ac:dyDescent="0.3">
      <c r="A1431" s="88"/>
      <c r="B1431" s="88"/>
      <c r="C1431" s="88"/>
      <c r="D1431" s="88"/>
      <c r="E1431" s="88"/>
      <c r="F1431" s="88"/>
      <c r="G1431" s="88"/>
      <c r="H1431" s="88"/>
      <c r="I1431" s="89"/>
    </row>
    <row r="1432" spans="1:9" x14ac:dyDescent="0.3">
      <c r="A1432" s="88"/>
      <c r="B1432" s="88"/>
      <c r="C1432" s="88"/>
      <c r="D1432" s="88"/>
      <c r="E1432" s="88"/>
      <c r="F1432" s="88"/>
      <c r="G1432" s="88"/>
      <c r="H1432" s="88"/>
      <c r="I1432" s="89"/>
    </row>
    <row r="1433" spans="1:9" x14ac:dyDescent="0.3">
      <c r="A1433" s="88"/>
      <c r="B1433" s="88"/>
      <c r="C1433" s="88"/>
      <c r="D1433" s="88"/>
      <c r="E1433" s="88"/>
      <c r="F1433" s="88"/>
      <c r="G1433" s="88"/>
      <c r="H1433" s="88"/>
      <c r="I1433" s="89"/>
    </row>
    <row r="1434" spans="1:9" x14ac:dyDescent="0.3">
      <c r="A1434" s="88"/>
      <c r="B1434" s="88"/>
      <c r="C1434" s="88"/>
      <c r="D1434" s="88"/>
      <c r="E1434" s="88"/>
      <c r="F1434" s="88"/>
      <c r="G1434" s="88"/>
      <c r="H1434" s="88"/>
      <c r="I1434" s="89"/>
    </row>
    <row r="1435" spans="1:9" x14ac:dyDescent="0.3">
      <c r="A1435" s="88"/>
      <c r="B1435" s="88"/>
      <c r="C1435" s="88"/>
      <c r="D1435" s="88"/>
      <c r="E1435" s="88"/>
      <c r="F1435" s="88"/>
      <c r="G1435" s="88"/>
      <c r="H1435" s="88"/>
      <c r="I1435" s="89"/>
    </row>
    <row r="1436" spans="1:9" x14ac:dyDescent="0.3">
      <c r="A1436" s="88"/>
      <c r="B1436" s="88"/>
      <c r="C1436" s="88"/>
      <c r="D1436" s="88"/>
      <c r="E1436" s="88"/>
      <c r="F1436" s="88"/>
      <c r="G1436" s="88"/>
      <c r="H1436" s="88"/>
      <c r="I1436" s="89"/>
    </row>
    <row r="1437" spans="1:9" x14ac:dyDescent="0.3">
      <c r="A1437" s="88"/>
      <c r="B1437" s="88"/>
      <c r="C1437" s="88"/>
      <c r="D1437" s="88"/>
      <c r="E1437" s="88"/>
      <c r="F1437" s="88"/>
      <c r="G1437" s="88"/>
      <c r="H1437" s="88"/>
      <c r="I1437" s="89"/>
    </row>
    <row r="1438" spans="1:9" x14ac:dyDescent="0.3">
      <c r="A1438" s="88"/>
      <c r="B1438" s="88"/>
      <c r="C1438" s="88"/>
      <c r="D1438" s="88"/>
      <c r="E1438" s="88"/>
      <c r="F1438" s="88"/>
      <c r="G1438" s="88"/>
      <c r="H1438" s="88"/>
      <c r="I1438" s="89"/>
    </row>
    <row r="1439" spans="1:9" x14ac:dyDescent="0.3">
      <c r="A1439" s="88"/>
      <c r="B1439" s="88"/>
      <c r="C1439" s="88"/>
      <c r="D1439" s="88"/>
      <c r="E1439" s="88"/>
      <c r="F1439" s="88"/>
      <c r="G1439" s="88"/>
      <c r="H1439" s="88"/>
      <c r="I1439" s="89"/>
    </row>
    <row r="1440" spans="1:9" x14ac:dyDescent="0.3">
      <c r="A1440" s="88"/>
      <c r="B1440" s="88"/>
      <c r="C1440" s="88"/>
      <c r="D1440" s="88"/>
      <c r="E1440" s="88"/>
      <c r="F1440" s="88"/>
      <c r="G1440" s="88"/>
      <c r="H1440" s="88"/>
      <c r="I1440" s="89"/>
    </row>
    <row r="1441" spans="1:9" x14ac:dyDescent="0.3">
      <c r="A1441" s="88"/>
      <c r="B1441" s="88"/>
      <c r="C1441" s="88"/>
      <c r="D1441" s="88"/>
      <c r="E1441" s="88"/>
      <c r="F1441" s="88"/>
      <c r="G1441" s="88"/>
      <c r="H1441" s="88"/>
      <c r="I1441" s="89"/>
    </row>
    <row r="1442" spans="1:9" x14ac:dyDescent="0.3">
      <c r="A1442" s="88"/>
      <c r="B1442" s="88"/>
      <c r="C1442" s="88"/>
      <c r="D1442" s="88"/>
      <c r="E1442" s="88"/>
      <c r="F1442" s="88"/>
      <c r="G1442" s="88"/>
      <c r="H1442" s="88"/>
      <c r="I1442" s="89"/>
    </row>
    <row r="1443" spans="1:9" x14ac:dyDescent="0.3">
      <c r="A1443" s="88"/>
      <c r="B1443" s="88"/>
      <c r="C1443" s="88"/>
      <c r="D1443" s="88"/>
      <c r="E1443" s="88"/>
      <c r="F1443" s="88"/>
      <c r="G1443" s="88"/>
      <c r="H1443" s="88"/>
      <c r="I1443" s="89"/>
    </row>
    <row r="1444" spans="1:9" x14ac:dyDescent="0.3">
      <c r="A1444" s="88"/>
      <c r="B1444" s="88"/>
      <c r="C1444" s="88"/>
      <c r="D1444" s="88"/>
      <c r="E1444" s="88"/>
      <c r="F1444" s="88"/>
      <c r="G1444" s="88"/>
      <c r="H1444" s="88"/>
      <c r="I1444" s="89"/>
    </row>
    <row r="1445" spans="1:9" x14ac:dyDescent="0.3">
      <c r="A1445" s="88"/>
      <c r="B1445" s="88"/>
      <c r="C1445" s="88"/>
      <c r="D1445" s="88"/>
      <c r="E1445" s="88"/>
      <c r="F1445" s="88"/>
      <c r="G1445" s="88"/>
      <c r="H1445" s="88"/>
      <c r="I1445" s="89"/>
    </row>
    <row r="1446" spans="1:9" x14ac:dyDescent="0.3">
      <c r="A1446" s="88"/>
      <c r="B1446" s="88"/>
      <c r="C1446" s="88"/>
      <c r="D1446" s="88"/>
      <c r="E1446" s="88"/>
      <c r="F1446" s="88"/>
      <c r="G1446" s="88"/>
      <c r="H1446" s="88"/>
      <c r="I1446" s="89"/>
    </row>
    <row r="1447" spans="1:9" x14ac:dyDescent="0.3">
      <c r="A1447" s="88"/>
      <c r="B1447" s="88"/>
      <c r="C1447" s="88"/>
      <c r="D1447" s="88"/>
      <c r="E1447" s="88"/>
      <c r="F1447" s="88"/>
      <c r="G1447" s="88"/>
      <c r="H1447" s="88"/>
      <c r="I1447" s="89"/>
    </row>
    <row r="1448" spans="1:9" x14ac:dyDescent="0.3">
      <c r="A1448" s="88"/>
      <c r="B1448" s="88"/>
      <c r="C1448" s="88"/>
      <c r="D1448" s="88"/>
      <c r="E1448" s="88"/>
      <c r="F1448" s="88"/>
      <c r="G1448" s="88"/>
      <c r="H1448" s="88"/>
      <c r="I1448" s="89"/>
    </row>
    <row r="1449" spans="1:9" x14ac:dyDescent="0.3">
      <c r="A1449" s="88"/>
      <c r="B1449" s="88"/>
      <c r="C1449" s="88"/>
      <c r="D1449" s="88"/>
      <c r="E1449" s="88"/>
      <c r="F1449" s="88"/>
      <c r="G1449" s="88"/>
      <c r="H1449" s="88"/>
      <c r="I1449" s="89"/>
    </row>
    <row r="1450" spans="1:9" x14ac:dyDescent="0.3">
      <c r="A1450" s="88"/>
      <c r="B1450" s="88"/>
      <c r="C1450" s="88"/>
      <c r="D1450" s="88"/>
      <c r="E1450" s="88"/>
      <c r="F1450" s="88"/>
      <c r="G1450" s="88"/>
      <c r="H1450" s="88"/>
      <c r="I1450" s="89"/>
    </row>
    <row r="1451" spans="1:9" x14ac:dyDescent="0.3">
      <c r="A1451" s="88"/>
      <c r="B1451" s="88"/>
      <c r="C1451" s="88"/>
      <c r="D1451" s="88"/>
      <c r="E1451" s="88"/>
      <c r="F1451" s="88"/>
      <c r="G1451" s="88"/>
      <c r="H1451" s="88"/>
      <c r="I1451" s="89"/>
    </row>
    <row r="1452" spans="1:9" x14ac:dyDescent="0.3">
      <c r="A1452" s="88"/>
      <c r="B1452" s="88"/>
      <c r="C1452" s="88"/>
      <c r="D1452" s="88"/>
      <c r="E1452" s="88"/>
      <c r="F1452" s="88"/>
      <c r="G1452" s="88"/>
      <c r="H1452" s="88"/>
      <c r="I1452" s="89"/>
    </row>
    <row r="1453" spans="1:9" x14ac:dyDescent="0.3">
      <c r="A1453" s="88"/>
      <c r="B1453" s="88"/>
      <c r="C1453" s="88"/>
      <c r="D1453" s="88"/>
      <c r="E1453" s="88"/>
      <c r="F1453" s="88"/>
      <c r="G1453" s="88"/>
      <c r="H1453" s="88"/>
      <c r="I1453" s="89"/>
    </row>
    <row r="1454" spans="1:9" x14ac:dyDescent="0.3">
      <c r="A1454" s="88"/>
      <c r="B1454" s="88"/>
      <c r="C1454" s="88"/>
      <c r="D1454" s="88"/>
      <c r="E1454" s="88"/>
      <c r="F1454" s="88"/>
      <c r="G1454" s="88"/>
      <c r="H1454" s="88"/>
      <c r="I1454" s="89"/>
    </row>
    <row r="1455" spans="1:9" x14ac:dyDescent="0.3">
      <c r="A1455" s="88"/>
      <c r="B1455" s="88"/>
      <c r="C1455" s="88"/>
      <c r="D1455" s="88"/>
      <c r="E1455" s="88"/>
      <c r="F1455" s="88"/>
      <c r="G1455" s="88"/>
      <c r="H1455" s="88"/>
      <c r="I1455" s="89"/>
    </row>
    <row r="1456" spans="1:9" x14ac:dyDescent="0.3">
      <c r="A1456" s="88"/>
      <c r="B1456" s="88"/>
      <c r="C1456" s="88"/>
      <c r="D1456" s="88"/>
      <c r="E1456" s="88"/>
      <c r="F1456" s="88"/>
      <c r="G1456" s="88"/>
      <c r="H1456" s="88"/>
      <c r="I1456" s="89"/>
    </row>
    <row r="1457" spans="1:9" x14ac:dyDescent="0.3">
      <c r="A1457" s="88"/>
      <c r="B1457" s="88"/>
      <c r="C1457" s="88"/>
      <c r="D1457" s="88"/>
      <c r="E1457" s="88"/>
      <c r="F1457" s="88"/>
      <c r="G1457" s="88"/>
      <c r="H1457" s="88"/>
      <c r="I1457" s="89"/>
    </row>
    <row r="1458" spans="1:9" x14ac:dyDescent="0.3">
      <c r="A1458" s="88"/>
      <c r="B1458" s="88"/>
      <c r="C1458" s="88"/>
      <c r="D1458" s="88"/>
      <c r="E1458" s="88"/>
      <c r="F1458" s="88"/>
      <c r="G1458" s="88"/>
      <c r="H1458" s="88"/>
      <c r="I1458" s="89"/>
    </row>
    <row r="1459" spans="1:9" x14ac:dyDescent="0.3">
      <c r="A1459" s="88"/>
      <c r="B1459" s="88"/>
      <c r="C1459" s="88"/>
      <c r="D1459" s="88"/>
      <c r="E1459" s="88"/>
      <c r="F1459" s="88"/>
      <c r="G1459" s="88"/>
      <c r="H1459" s="88"/>
      <c r="I1459" s="89"/>
    </row>
    <row r="1460" spans="1:9" x14ac:dyDescent="0.3">
      <c r="A1460" s="88"/>
      <c r="B1460" s="88"/>
      <c r="C1460" s="88"/>
      <c r="D1460" s="88"/>
      <c r="E1460" s="88"/>
      <c r="F1460" s="88"/>
      <c r="G1460" s="88"/>
      <c r="H1460" s="88"/>
      <c r="I1460" s="89"/>
    </row>
    <row r="1461" spans="1:9" x14ac:dyDescent="0.3">
      <c r="A1461" s="88"/>
      <c r="B1461" s="88"/>
      <c r="C1461" s="88"/>
      <c r="D1461" s="88"/>
      <c r="E1461" s="88"/>
      <c r="F1461" s="88"/>
      <c r="G1461" s="88"/>
      <c r="H1461" s="88"/>
      <c r="I1461" s="89"/>
    </row>
    <row r="1462" spans="1:9" x14ac:dyDescent="0.3">
      <c r="A1462" s="88"/>
      <c r="B1462" s="88"/>
      <c r="C1462" s="88"/>
      <c r="D1462" s="88"/>
      <c r="E1462" s="88"/>
      <c r="F1462" s="88"/>
      <c r="G1462" s="88"/>
      <c r="H1462" s="88"/>
      <c r="I1462" s="89"/>
    </row>
    <row r="1463" spans="1:9" x14ac:dyDescent="0.3">
      <c r="A1463" s="88"/>
      <c r="B1463" s="88"/>
      <c r="C1463" s="88"/>
      <c r="D1463" s="88"/>
      <c r="E1463" s="88"/>
      <c r="F1463" s="88"/>
      <c r="G1463" s="88"/>
      <c r="H1463" s="88"/>
      <c r="I1463" s="89"/>
    </row>
    <row r="1464" spans="1:9" x14ac:dyDescent="0.3">
      <c r="A1464" s="88"/>
      <c r="B1464" s="88"/>
      <c r="C1464" s="88"/>
      <c r="D1464" s="88"/>
      <c r="E1464" s="88"/>
      <c r="F1464" s="88"/>
      <c r="G1464" s="88"/>
      <c r="H1464" s="88"/>
      <c r="I1464" s="89"/>
    </row>
    <row r="1465" spans="1:9" x14ac:dyDescent="0.3">
      <c r="A1465" s="88"/>
      <c r="B1465" s="88"/>
      <c r="C1465" s="88"/>
      <c r="D1465" s="88"/>
      <c r="E1465" s="88"/>
      <c r="F1465" s="88"/>
      <c r="G1465" s="88"/>
      <c r="H1465" s="88"/>
      <c r="I1465" s="89"/>
    </row>
    <row r="1466" spans="1:9" x14ac:dyDescent="0.3">
      <c r="A1466" s="88"/>
      <c r="B1466" s="88"/>
      <c r="C1466" s="88"/>
      <c r="D1466" s="88"/>
      <c r="E1466" s="88"/>
      <c r="F1466" s="88"/>
      <c r="G1466" s="88"/>
      <c r="H1466" s="88"/>
      <c r="I1466" s="89"/>
    </row>
    <row r="1467" spans="1:9" x14ac:dyDescent="0.3">
      <c r="A1467" s="88"/>
      <c r="B1467" s="88"/>
      <c r="C1467" s="88"/>
      <c r="D1467" s="88"/>
      <c r="E1467" s="88"/>
      <c r="F1467" s="88"/>
      <c r="G1467" s="88"/>
      <c r="H1467" s="88"/>
      <c r="I1467" s="89"/>
    </row>
    <row r="1468" spans="1:9" x14ac:dyDescent="0.3">
      <c r="A1468" s="88"/>
      <c r="B1468" s="88"/>
      <c r="C1468" s="88"/>
      <c r="D1468" s="88"/>
      <c r="E1468" s="88"/>
      <c r="F1468" s="88"/>
      <c r="G1468" s="88"/>
      <c r="H1468" s="88"/>
      <c r="I1468" s="89"/>
    </row>
    <row r="1469" spans="1:9" x14ac:dyDescent="0.3">
      <c r="A1469" s="88"/>
      <c r="B1469" s="88"/>
      <c r="C1469" s="88"/>
      <c r="D1469" s="88"/>
      <c r="E1469" s="88"/>
      <c r="F1469" s="88"/>
      <c r="G1469" s="88"/>
      <c r="H1469" s="88"/>
      <c r="I1469" s="89"/>
    </row>
    <row r="1470" spans="1:9" x14ac:dyDescent="0.3">
      <c r="A1470" s="88"/>
      <c r="B1470" s="88"/>
      <c r="C1470" s="88"/>
      <c r="D1470" s="88"/>
      <c r="E1470" s="88"/>
      <c r="F1470" s="88"/>
      <c r="G1470" s="88"/>
      <c r="H1470" s="88"/>
      <c r="I1470" s="89"/>
    </row>
    <row r="1471" spans="1:9" x14ac:dyDescent="0.3">
      <c r="A1471" s="88"/>
      <c r="B1471" s="88"/>
      <c r="C1471" s="88"/>
      <c r="D1471" s="88"/>
      <c r="E1471" s="88"/>
      <c r="F1471" s="88"/>
      <c r="G1471" s="88"/>
      <c r="H1471" s="88"/>
      <c r="I1471" s="89"/>
    </row>
    <row r="1472" spans="1:9" x14ac:dyDescent="0.3">
      <c r="A1472" s="88"/>
      <c r="B1472" s="88"/>
      <c r="C1472" s="88"/>
      <c r="D1472" s="88"/>
      <c r="E1472" s="88"/>
      <c r="F1472" s="88"/>
      <c r="G1472" s="88"/>
      <c r="H1472" s="88"/>
      <c r="I1472" s="89"/>
    </row>
    <row r="1473" spans="1:9" x14ac:dyDescent="0.3">
      <c r="A1473" s="88"/>
      <c r="B1473" s="88"/>
      <c r="C1473" s="88"/>
      <c r="D1473" s="88"/>
      <c r="E1473" s="88"/>
      <c r="F1473" s="88"/>
      <c r="G1473" s="88"/>
      <c r="H1473" s="88"/>
      <c r="I1473" s="89"/>
    </row>
    <row r="1474" spans="1:9" x14ac:dyDescent="0.3">
      <c r="A1474" s="88"/>
      <c r="B1474" s="88"/>
      <c r="C1474" s="88"/>
      <c r="D1474" s="88"/>
      <c r="E1474" s="88"/>
      <c r="F1474" s="88"/>
      <c r="G1474" s="88"/>
      <c r="H1474" s="88"/>
      <c r="I1474" s="89"/>
    </row>
    <row r="1475" spans="1:9" x14ac:dyDescent="0.3">
      <c r="A1475" s="88"/>
      <c r="B1475" s="88"/>
      <c r="C1475" s="88"/>
      <c r="D1475" s="88"/>
      <c r="E1475" s="88"/>
      <c r="F1475" s="88"/>
      <c r="G1475" s="88"/>
      <c r="H1475" s="88"/>
      <c r="I1475" s="89"/>
    </row>
    <row r="1476" spans="1:9" x14ac:dyDescent="0.3">
      <c r="A1476" s="88"/>
      <c r="B1476" s="88"/>
      <c r="C1476" s="88"/>
      <c r="D1476" s="88"/>
      <c r="E1476" s="88"/>
      <c r="F1476" s="88"/>
      <c r="G1476" s="88"/>
      <c r="H1476" s="88"/>
      <c r="I1476" s="89"/>
    </row>
    <row r="1477" spans="1:9" x14ac:dyDescent="0.3">
      <c r="A1477" s="88"/>
      <c r="B1477" s="88"/>
      <c r="C1477" s="88"/>
      <c r="D1477" s="88"/>
      <c r="E1477" s="88"/>
      <c r="F1477" s="88"/>
      <c r="G1477" s="88"/>
      <c r="H1477" s="88"/>
      <c r="I1477" s="89"/>
    </row>
    <row r="1478" spans="1:9" x14ac:dyDescent="0.3">
      <c r="A1478" s="88"/>
      <c r="B1478" s="88"/>
      <c r="C1478" s="88"/>
      <c r="D1478" s="88"/>
      <c r="E1478" s="88"/>
      <c r="F1478" s="88"/>
      <c r="G1478" s="88"/>
      <c r="H1478" s="88"/>
      <c r="I1478" s="89"/>
    </row>
    <row r="1479" spans="1:9" x14ac:dyDescent="0.3">
      <c r="A1479" s="88"/>
      <c r="B1479" s="88"/>
      <c r="C1479" s="88"/>
      <c r="D1479" s="88"/>
      <c r="E1479" s="88"/>
      <c r="F1479" s="88"/>
      <c r="G1479" s="88"/>
      <c r="H1479" s="88"/>
      <c r="I1479" s="89"/>
    </row>
    <row r="1480" spans="1:9" x14ac:dyDescent="0.3">
      <c r="A1480" s="88"/>
      <c r="B1480" s="88"/>
      <c r="C1480" s="88"/>
      <c r="D1480" s="88"/>
      <c r="E1480" s="88"/>
      <c r="F1480" s="88"/>
      <c r="G1480" s="88"/>
      <c r="H1480" s="88"/>
      <c r="I1480" s="89"/>
    </row>
    <row r="1481" spans="1:9" x14ac:dyDescent="0.3">
      <c r="A1481" s="88"/>
      <c r="B1481" s="88"/>
      <c r="C1481" s="88"/>
      <c r="D1481" s="88"/>
      <c r="E1481" s="88"/>
      <c r="F1481" s="88"/>
      <c r="G1481" s="88"/>
      <c r="H1481" s="88"/>
      <c r="I1481" s="89"/>
    </row>
    <row r="1482" spans="1:9" x14ac:dyDescent="0.3">
      <c r="A1482" s="88"/>
      <c r="B1482" s="88"/>
      <c r="C1482" s="88"/>
      <c r="D1482" s="88"/>
      <c r="E1482" s="88"/>
      <c r="F1482" s="88"/>
      <c r="G1482" s="88"/>
      <c r="H1482" s="88"/>
      <c r="I1482" s="89"/>
    </row>
    <row r="1483" spans="1:9" x14ac:dyDescent="0.3">
      <c r="A1483" s="88"/>
      <c r="B1483" s="88"/>
      <c r="C1483" s="88"/>
      <c r="D1483" s="88"/>
      <c r="E1483" s="88"/>
      <c r="F1483" s="88"/>
      <c r="G1483" s="88"/>
      <c r="H1483" s="88"/>
      <c r="I1483" s="89"/>
    </row>
    <row r="1484" spans="1:9" x14ac:dyDescent="0.3">
      <c r="A1484" s="88"/>
      <c r="B1484" s="88"/>
      <c r="C1484" s="88"/>
      <c r="D1484" s="88"/>
      <c r="E1484" s="88"/>
      <c r="F1484" s="88"/>
      <c r="G1484" s="88"/>
      <c r="H1484" s="88"/>
      <c r="I1484" s="89"/>
    </row>
    <row r="1485" spans="1:9" x14ac:dyDescent="0.3">
      <c r="A1485" s="88"/>
      <c r="B1485" s="88"/>
      <c r="C1485" s="88"/>
      <c r="D1485" s="88"/>
      <c r="E1485" s="88"/>
      <c r="F1485" s="88"/>
      <c r="G1485" s="88"/>
      <c r="H1485" s="88"/>
      <c r="I1485" s="89"/>
    </row>
    <row r="1486" spans="1:9" x14ac:dyDescent="0.3">
      <c r="A1486" s="88"/>
      <c r="B1486" s="88"/>
      <c r="C1486" s="88"/>
      <c r="D1486" s="88"/>
      <c r="E1486" s="88"/>
      <c r="F1486" s="88"/>
      <c r="G1486" s="88"/>
      <c r="H1486" s="88"/>
      <c r="I1486" s="89"/>
    </row>
    <row r="1487" spans="1:9" x14ac:dyDescent="0.3">
      <c r="A1487" s="88"/>
      <c r="B1487" s="88"/>
      <c r="C1487" s="88"/>
      <c r="D1487" s="88"/>
      <c r="E1487" s="88"/>
      <c r="F1487" s="88"/>
      <c r="G1487" s="88"/>
      <c r="H1487" s="88"/>
      <c r="I1487" s="89"/>
    </row>
    <row r="1488" spans="1:9" x14ac:dyDescent="0.3">
      <c r="A1488" s="88"/>
      <c r="B1488" s="88"/>
      <c r="C1488" s="88"/>
      <c r="D1488" s="88"/>
      <c r="E1488" s="88"/>
      <c r="F1488" s="88"/>
      <c r="G1488" s="88"/>
      <c r="H1488" s="88"/>
      <c r="I1488" s="89"/>
    </row>
    <row r="1489" spans="1:9" x14ac:dyDescent="0.3">
      <c r="A1489" s="88"/>
      <c r="B1489" s="88"/>
      <c r="C1489" s="88"/>
      <c r="D1489" s="88"/>
      <c r="E1489" s="88"/>
      <c r="F1489" s="88"/>
      <c r="G1489" s="88"/>
      <c r="H1489" s="88"/>
      <c r="I1489" s="89"/>
    </row>
    <row r="1490" spans="1:9" x14ac:dyDescent="0.3">
      <c r="A1490" s="88"/>
      <c r="B1490" s="88"/>
      <c r="C1490" s="88"/>
      <c r="D1490" s="88"/>
      <c r="E1490" s="88"/>
      <c r="F1490" s="88"/>
      <c r="G1490" s="88"/>
      <c r="H1490" s="88"/>
      <c r="I1490" s="89"/>
    </row>
    <row r="1491" spans="1:9" x14ac:dyDescent="0.3">
      <c r="A1491" s="88"/>
      <c r="B1491" s="88"/>
      <c r="C1491" s="88"/>
      <c r="D1491" s="88"/>
      <c r="E1491" s="88"/>
      <c r="F1491" s="88"/>
      <c r="G1491" s="88"/>
      <c r="H1491" s="88"/>
      <c r="I1491" s="89"/>
    </row>
    <row r="1492" spans="1:9" x14ac:dyDescent="0.3">
      <c r="A1492" s="88"/>
      <c r="B1492" s="88"/>
      <c r="C1492" s="88"/>
      <c r="D1492" s="88"/>
      <c r="E1492" s="88"/>
      <c r="F1492" s="88"/>
      <c r="G1492" s="88"/>
      <c r="H1492" s="88"/>
      <c r="I1492" s="89"/>
    </row>
    <row r="1493" spans="1:9" x14ac:dyDescent="0.3">
      <c r="A1493" s="88"/>
      <c r="B1493" s="88"/>
      <c r="C1493" s="88"/>
      <c r="D1493" s="88"/>
      <c r="E1493" s="88"/>
      <c r="F1493" s="88"/>
      <c r="G1493" s="88"/>
      <c r="H1493" s="88"/>
      <c r="I1493" s="89"/>
    </row>
    <row r="1494" spans="1:9" x14ac:dyDescent="0.3">
      <c r="A1494" s="88"/>
      <c r="B1494" s="88"/>
      <c r="C1494" s="88"/>
      <c r="D1494" s="88"/>
      <c r="E1494" s="88"/>
      <c r="F1494" s="88"/>
      <c r="G1494" s="88"/>
      <c r="H1494" s="88"/>
      <c r="I1494" s="89"/>
    </row>
    <row r="1495" spans="1:9" x14ac:dyDescent="0.3">
      <c r="A1495" s="88"/>
      <c r="B1495" s="88"/>
      <c r="C1495" s="88"/>
      <c r="D1495" s="88"/>
      <c r="E1495" s="88"/>
      <c r="F1495" s="88"/>
      <c r="G1495" s="88"/>
      <c r="H1495" s="88"/>
      <c r="I1495" s="89"/>
    </row>
    <row r="1496" spans="1:9" x14ac:dyDescent="0.3">
      <c r="A1496" s="88"/>
      <c r="B1496" s="88"/>
      <c r="C1496" s="88"/>
      <c r="D1496" s="88"/>
      <c r="E1496" s="88"/>
      <c r="F1496" s="88"/>
      <c r="G1496" s="88"/>
      <c r="H1496" s="88"/>
      <c r="I1496" s="89"/>
    </row>
    <row r="1497" spans="1:9" x14ac:dyDescent="0.3">
      <c r="A1497" s="88"/>
      <c r="B1497" s="88"/>
      <c r="C1497" s="88"/>
      <c r="D1497" s="88"/>
      <c r="E1497" s="88"/>
      <c r="F1497" s="88"/>
      <c r="G1497" s="88"/>
      <c r="H1497" s="88"/>
      <c r="I1497" s="89"/>
    </row>
    <row r="1498" spans="1:9" x14ac:dyDescent="0.3">
      <c r="A1498" s="88"/>
      <c r="B1498" s="88"/>
      <c r="C1498" s="88"/>
      <c r="D1498" s="88"/>
      <c r="E1498" s="88"/>
      <c r="F1498" s="88"/>
      <c r="G1498" s="88"/>
      <c r="H1498" s="88"/>
      <c r="I1498" s="89"/>
    </row>
    <row r="1499" spans="1:9" x14ac:dyDescent="0.3">
      <c r="A1499" s="88"/>
      <c r="B1499" s="88"/>
      <c r="C1499" s="88"/>
      <c r="D1499" s="88"/>
      <c r="E1499" s="88"/>
      <c r="F1499" s="88"/>
      <c r="G1499" s="88"/>
      <c r="H1499" s="88"/>
      <c r="I1499" s="89"/>
    </row>
    <row r="1500" spans="1:9" x14ac:dyDescent="0.3">
      <c r="A1500" s="88"/>
      <c r="B1500" s="88"/>
      <c r="C1500" s="88"/>
      <c r="D1500" s="88"/>
      <c r="E1500" s="88"/>
      <c r="F1500" s="88"/>
      <c r="G1500" s="88"/>
      <c r="H1500" s="88"/>
      <c r="I1500" s="89"/>
    </row>
    <row r="1501" spans="1:9" x14ac:dyDescent="0.3">
      <c r="A1501" s="88"/>
      <c r="B1501" s="88"/>
      <c r="C1501" s="88"/>
      <c r="D1501" s="88"/>
      <c r="E1501" s="88"/>
      <c r="F1501" s="88"/>
      <c r="G1501" s="88"/>
      <c r="H1501" s="88"/>
      <c r="I1501" s="89"/>
    </row>
    <row r="1502" spans="1:9" x14ac:dyDescent="0.3">
      <c r="A1502" s="88"/>
      <c r="B1502" s="88"/>
      <c r="C1502" s="88"/>
      <c r="D1502" s="88"/>
      <c r="E1502" s="88"/>
      <c r="F1502" s="88"/>
      <c r="G1502" s="88"/>
      <c r="H1502" s="88"/>
      <c r="I1502" s="89"/>
    </row>
    <row r="1503" spans="1:9" x14ac:dyDescent="0.3">
      <c r="A1503" s="88"/>
      <c r="B1503" s="88"/>
      <c r="C1503" s="88"/>
      <c r="D1503" s="88"/>
      <c r="E1503" s="88"/>
      <c r="F1503" s="88"/>
      <c r="G1503" s="88"/>
      <c r="H1503" s="88"/>
      <c r="I1503" s="89"/>
    </row>
    <row r="1504" spans="1:9" x14ac:dyDescent="0.3">
      <c r="A1504" s="88"/>
      <c r="B1504" s="88"/>
      <c r="C1504" s="88"/>
      <c r="D1504" s="88"/>
      <c r="E1504" s="88"/>
      <c r="F1504" s="88"/>
      <c r="G1504" s="88"/>
      <c r="H1504" s="88"/>
      <c r="I1504" s="89"/>
    </row>
    <row r="1505" spans="1:9" x14ac:dyDescent="0.3">
      <c r="A1505" s="88"/>
      <c r="B1505" s="88"/>
      <c r="C1505" s="88"/>
      <c r="D1505" s="88"/>
      <c r="E1505" s="88"/>
      <c r="F1505" s="88"/>
      <c r="G1505" s="88"/>
      <c r="H1505" s="88"/>
      <c r="I1505" s="89"/>
    </row>
    <row r="1506" spans="1:9" x14ac:dyDescent="0.3">
      <c r="A1506" s="88"/>
      <c r="B1506" s="88"/>
      <c r="C1506" s="88"/>
      <c r="D1506" s="88"/>
      <c r="E1506" s="88"/>
      <c r="F1506" s="88"/>
      <c r="G1506" s="88"/>
      <c r="H1506" s="88"/>
      <c r="I1506" s="89"/>
    </row>
    <row r="1507" spans="1:9" x14ac:dyDescent="0.3">
      <c r="A1507" s="88"/>
      <c r="B1507" s="88"/>
      <c r="C1507" s="88"/>
      <c r="D1507" s="88"/>
      <c r="E1507" s="88"/>
      <c r="F1507" s="88"/>
      <c r="G1507" s="88"/>
      <c r="H1507" s="88"/>
      <c r="I1507" s="89"/>
    </row>
    <row r="1508" spans="1:9" x14ac:dyDescent="0.3">
      <c r="A1508" s="88"/>
      <c r="B1508" s="88"/>
      <c r="C1508" s="88"/>
      <c r="D1508" s="88"/>
      <c r="E1508" s="88"/>
      <c r="F1508" s="88"/>
      <c r="G1508" s="88"/>
      <c r="H1508" s="88"/>
      <c r="I1508" s="89"/>
    </row>
    <row r="1509" spans="1:9" x14ac:dyDescent="0.3">
      <c r="A1509" s="88"/>
      <c r="B1509" s="88"/>
      <c r="C1509" s="88"/>
      <c r="D1509" s="88"/>
      <c r="E1509" s="88"/>
      <c r="F1509" s="88"/>
      <c r="G1509" s="88"/>
      <c r="H1509" s="88"/>
      <c r="I1509" s="89"/>
    </row>
    <row r="1510" spans="1:9" x14ac:dyDescent="0.3">
      <c r="A1510" s="88"/>
      <c r="B1510" s="88"/>
      <c r="C1510" s="88"/>
      <c r="D1510" s="88"/>
      <c r="E1510" s="88"/>
      <c r="F1510" s="88"/>
      <c r="G1510" s="88"/>
      <c r="H1510" s="88"/>
      <c r="I1510" s="89"/>
    </row>
    <row r="1511" spans="1:9" x14ac:dyDescent="0.3">
      <c r="A1511" s="88"/>
      <c r="B1511" s="88"/>
      <c r="C1511" s="88"/>
      <c r="D1511" s="88"/>
      <c r="E1511" s="88"/>
      <c r="F1511" s="88"/>
      <c r="G1511" s="88"/>
      <c r="H1511" s="88"/>
      <c r="I1511" s="89"/>
    </row>
    <row r="1512" spans="1:9" x14ac:dyDescent="0.3">
      <c r="A1512" s="88"/>
      <c r="B1512" s="88"/>
      <c r="C1512" s="88"/>
      <c r="D1512" s="88"/>
      <c r="E1512" s="88"/>
      <c r="F1512" s="88"/>
      <c r="G1512" s="88"/>
      <c r="H1512" s="88"/>
      <c r="I1512" s="89"/>
    </row>
    <row r="1513" spans="1:9" x14ac:dyDescent="0.3">
      <c r="A1513" s="88"/>
      <c r="B1513" s="88"/>
      <c r="C1513" s="88"/>
      <c r="D1513" s="88"/>
      <c r="E1513" s="88"/>
      <c r="F1513" s="88"/>
      <c r="G1513" s="88"/>
      <c r="H1513" s="88"/>
      <c r="I1513" s="89"/>
    </row>
    <row r="1514" spans="1:9" x14ac:dyDescent="0.3">
      <c r="A1514" s="88"/>
      <c r="B1514" s="88"/>
      <c r="C1514" s="88"/>
      <c r="D1514" s="88"/>
      <c r="E1514" s="88"/>
      <c r="F1514" s="88"/>
      <c r="G1514" s="88"/>
      <c r="H1514" s="88"/>
      <c r="I1514" s="89"/>
    </row>
    <row r="1515" spans="1:9" x14ac:dyDescent="0.3">
      <c r="A1515" s="88"/>
      <c r="B1515" s="88"/>
      <c r="C1515" s="88"/>
      <c r="D1515" s="88"/>
      <c r="E1515" s="88"/>
      <c r="F1515" s="88"/>
      <c r="G1515" s="88"/>
      <c r="H1515" s="88"/>
      <c r="I1515" s="89"/>
    </row>
    <row r="1516" spans="1:9" x14ac:dyDescent="0.3">
      <c r="A1516" s="88"/>
      <c r="B1516" s="88"/>
      <c r="C1516" s="88"/>
      <c r="D1516" s="88"/>
      <c r="E1516" s="88"/>
      <c r="F1516" s="88"/>
      <c r="G1516" s="88"/>
      <c r="H1516" s="88"/>
      <c r="I1516" s="89"/>
    </row>
    <row r="1517" spans="1:9" x14ac:dyDescent="0.3">
      <c r="A1517" s="88"/>
      <c r="B1517" s="88"/>
      <c r="C1517" s="88"/>
      <c r="D1517" s="88"/>
      <c r="E1517" s="88"/>
      <c r="F1517" s="88"/>
      <c r="G1517" s="88"/>
      <c r="H1517" s="88"/>
      <c r="I1517" s="89"/>
    </row>
    <row r="1518" spans="1:9" x14ac:dyDescent="0.3">
      <c r="A1518" s="88"/>
      <c r="B1518" s="88"/>
      <c r="C1518" s="88"/>
      <c r="D1518" s="88"/>
      <c r="E1518" s="88"/>
      <c r="F1518" s="88"/>
      <c r="G1518" s="88"/>
      <c r="H1518" s="88"/>
      <c r="I1518" s="89"/>
    </row>
    <row r="1519" spans="1:9" x14ac:dyDescent="0.3">
      <c r="A1519" s="88"/>
      <c r="B1519" s="88"/>
      <c r="C1519" s="88"/>
      <c r="D1519" s="88"/>
      <c r="E1519" s="88"/>
      <c r="F1519" s="88"/>
      <c r="G1519" s="88"/>
      <c r="H1519" s="88"/>
      <c r="I1519" s="89"/>
    </row>
    <row r="1520" spans="1:9" x14ac:dyDescent="0.3">
      <c r="A1520" s="88"/>
      <c r="B1520" s="88"/>
      <c r="C1520" s="88"/>
      <c r="D1520" s="88"/>
      <c r="E1520" s="88"/>
      <c r="F1520" s="88"/>
      <c r="G1520" s="88"/>
      <c r="H1520" s="88"/>
      <c r="I1520" s="89"/>
    </row>
    <row r="1521" spans="1:9" x14ac:dyDescent="0.3">
      <c r="A1521" s="88"/>
      <c r="B1521" s="88"/>
      <c r="C1521" s="88"/>
      <c r="D1521" s="88"/>
      <c r="E1521" s="88"/>
      <c r="F1521" s="88"/>
      <c r="G1521" s="88"/>
      <c r="H1521" s="88"/>
      <c r="I1521" s="89"/>
    </row>
    <row r="1522" spans="1:9" x14ac:dyDescent="0.3">
      <c r="A1522" s="88"/>
      <c r="B1522" s="88"/>
      <c r="C1522" s="88"/>
      <c r="D1522" s="88"/>
      <c r="E1522" s="88"/>
      <c r="F1522" s="88"/>
      <c r="G1522" s="88"/>
      <c r="H1522" s="88"/>
      <c r="I1522" s="89"/>
    </row>
    <row r="1523" spans="1:9" x14ac:dyDescent="0.3">
      <c r="A1523" s="88"/>
      <c r="B1523" s="88"/>
      <c r="C1523" s="88"/>
      <c r="D1523" s="88"/>
      <c r="E1523" s="88"/>
      <c r="F1523" s="88"/>
      <c r="G1523" s="88"/>
      <c r="H1523" s="88"/>
      <c r="I1523" s="89"/>
    </row>
    <row r="1524" spans="1:9" x14ac:dyDescent="0.3">
      <c r="A1524" s="88"/>
      <c r="B1524" s="88"/>
      <c r="C1524" s="88"/>
      <c r="D1524" s="88"/>
      <c r="E1524" s="88"/>
      <c r="F1524" s="88"/>
      <c r="G1524" s="88"/>
      <c r="H1524" s="88"/>
      <c r="I1524" s="89"/>
    </row>
    <row r="1525" spans="1:9" x14ac:dyDescent="0.3">
      <c r="A1525" s="88"/>
      <c r="B1525" s="88"/>
      <c r="C1525" s="88"/>
      <c r="D1525" s="88"/>
      <c r="E1525" s="88"/>
      <c r="F1525" s="88"/>
      <c r="G1525" s="88"/>
      <c r="H1525" s="88"/>
      <c r="I1525" s="89"/>
    </row>
    <row r="1526" spans="1:9" x14ac:dyDescent="0.3">
      <c r="A1526" s="88"/>
      <c r="B1526" s="88"/>
      <c r="C1526" s="88"/>
      <c r="D1526" s="88"/>
      <c r="E1526" s="88"/>
      <c r="F1526" s="88"/>
      <c r="G1526" s="88"/>
      <c r="H1526" s="88"/>
      <c r="I1526" s="89"/>
    </row>
    <row r="1527" spans="1:9" x14ac:dyDescent="0.3">
      <c r="A1527" s="88"/>
      <c r="B1527" s="88"/>
      <c r="C1527" s="88"/>
      <c r="D1527" s="88"/>
      <c r="E1527" s="88"/>
      <c r="F1527" s="88"/>
      <c r="G1527" s="88"/>
      <c r="H1527" s="88"/>
      <c r="I1527" s="89"/>
    </row>
    <row r="1528" spans="1:9" x14ac:dyDescent="0.3">
      <c r="A1528" s="88"/>
      <c r="B1528" s="88"/>
      <c r="C1528" s="88"/>
      <c r="D1528" s="88"/>
      <c r="E1528" s="88"/>
      <c r="F1528" s="88"/>
      <c r="G1528" s="88"/>
      <c r="H1528" s="88"/>
      <c r="I1528" s="89"/>
    </row>
    <row r="1529" spans="1:9" x14ac:dyDescent="0.3">
      <c r="A1529" s="88"/>
      <c r="B1529" s="88"/>
      <c r="C1529" s="88"/>
      <c r="D1529" s="88"/>
      <c r="E1529" s="88"/>
      <c r="F1529" s="88"/>
      <c r="G1529" s="88"/>
      <c r="H1529" s="88"/>
      <c r="I1529" s="89"/>
    </row>
    <row r="1530" spans="1:9" x14ac:dyDescent="0.3">
      <c r="A1530" s="88"/>
      <c r="B1530" s="88"/>
      <c r="C1530" s="88"/>
      <c r="D1530" s="88"/>
      <c r="E1530" s="88"/>
      <c r="F1530" s="88"/>
      <c r="G1530" s="88"/>
      <c r="H1530" s="88"/>
      <c r="I1530" s="89"/>
    </row>
    <row r="1531" spans="1:9" x14ac:dyDescent="0.3">
      <c r="A1531" s="88"/>
      <c r="B1531" s="88"/>
      <c r="C1531" s="88"/>
      <c r="D1531" s="88"/>
      <c r="E1531" s="88"/>
      <c r="F1531" s="88"/>
      <c r="G1531" s="88"/>
      <c r="H1531" s="88"/>
      <c r="I1531" s="89"/>
    </row>
    <row r="1532" spans="1:9" x14ac:dyDescent="0.3">
      <c r="A1532" s="88"/>
      <c r="B1532" s="88"/>
      <c r="C1532" s="88"/>
      <c r="D1532" s="88"/>
      <c r="E1532" s="88"/>
      <c r="F1532" s="88"/>
      <c r="G1532" s="88"/>
      <c r="H1532" s="88"/>
      <c r="I1532" s="89"/>
    </row>
    <row r="1533" spans="1:9" x14ac:dyDescent="0.3">
      <c r="A1533" s="88"/>
      <c r="B1533" s="88"/>
      <c r="C1533" s="88"/>
      <c r="D1533" s="88"/>
      <c r="E1533" s="88"/>
      <c r="F1533" s="88"/>
      <c r="G1533" s="88"/>
      <c r="H1533" s="88"/>
      <c r="I1533" s="89"/>
    </row>
    <row r="1534" spans="1:9" x14ac:dyDescent="0.3">
      <c r="A1534" s="88"/>
      <c r="B1534" s="88"/>
      <c r="C1534" s="88"/>
      <c r="D1534" s="88"/>
      <c r="E1534" s="88"/>
      <c r="F1534" s="88"/>
      <c r="G1534" s="88"/>
      <c r="H1534" s="88"/>
      <c r="I1534" s="89"/>
    </row>
    <row r="1535" spans="1:9" x14ac:dyDescent="0.3">
      <c r="A1535" s="88"/>
      <c r="B1535" s="88"/>
      <c r="C1535" s="88"/>
      <c r="D1535" s="88"/>
      <c r="E1535" s="88"/>
      <c r="F1535" s="88"/>
      <c r="G1535" s="88"/>
      <c r="H1535" s="88"/>
      <c r="I1535" s="89"/>
    </row>
    <row r="1536" spans="1:9" x14ac:dyDescent="0.3">
      <c r="A1536" s="88"/>
      <c r="B1536" s="88"/>
      <c r="C1536" s="88"/>
      <c r="D1536" s="88"/>
      <c r="E1536" s="88"/>
      <c r="F1536" s="88"/>
      <c r="G1536" s="88"/>
      <c r="H1536" s="88"/>
      <c r="I1536" s="89"/>
    </row>
    <row r="1537" spans="1:9" x14ac:dyDescent="0.3">
      <c r="A1537" s="88"/>
      <c r="B1537" s="88"/>
      <c r="C1537" s="88"/>
      <c r="D1537" s="88"/>
      <c r="E1537" s="88"/>
      <c r="F1537" s="88"/>
      <c r="G1537" s="88"/>
      <c r="H1537" s="88"/>
      <c r="I1537" s="89"/>
    </row>
    <row r="1538" spans="1:9" x14ac:dyDescent="0.3">
      <c r="A1538" s="88"/>
      <c r="B1538" s="88"/>
      <c r="C1538" s="88"/>
      <c r="D1538" s="88"/>
      <c r="E1538" s="88"/>
      <c r="F1538" s="88"/>
      <c r="G1538" s="88"/>
      <c r="H1538" s="88"/>
      <c r="I1538" s="89"/>
    </row>
    <row r="1539" spans="1:9" x14ac:dyDescent="0.3">
      <c r="A1539" s="88"/>
      <c r="B1539" s="88"/>
      <c r="C1539" s="88"/>
      <c r="D1539" s="88"/>
      <c r="E1539" s="88"/>
      <c r="F1539" s="88"/>
      <c r="G1539" s="88"/>
      <c r="H1539" s="88"/>
      <c r="I1539" s="89"/>
    </row>
    <row r="1540" spans="1:9" x14ac:dyDescent="0.3">
      <c r="A1540" s="88"/>
      <c r="B1540" s="88"/>
      <c r="C1540" s="88"/>
      <c r="D1540" s="88"/>
      <c r="E1540" s="88"/>
      <c r="F1540" s="88"/>
      <c r="G1540" s="88"/>
      <c r="H1540" s="88"/>
      <c r="I1540" s="89"/>
    </row>
    <row r="1541" spans="1:9" x14ac:dyDescent="0.3">
      <c r="A1541" s="88"/>
      <c r="B1541" s="88"/>
      <c r="C1541" s="88"/>
      <c r="D1541" s="88"/>
      <c r="E1541" s="88"/>
      <c r="F1541" s="88"/>
      <c r="G1541" s="88"/>
      <c r="H1541" s="88"/>
      <c r="I1541" s="89"/>
    </row>
    <row r="1542" spans="1:9" x14ac:dyDescent="0.3">
      <c r="A1542" s="88"/>
      <c r="B1542" s="88"/>
      <c r="C1542" s="88"/>
      <c r="D1542" s="88"/>
      <c r="E1542" s="88"/>
      <c r="F1542" s="88"/>
      <c r="G1542" s="88"/>
      <c r="H1542" s="88"/>
      <c r="I1542" s="89"/>
    </row>
    <row r="1543" spans="1:9" x14ac:dyDescent="0.3">
      <c r="A1543" s="88"/>
      <c r="B1543" s="88"/>
      <c r="C1543" s="88"/>
      <c r="D1543" s="88"/>
      <c r="E1543" s="88"/>
      <c r="F1543" s="88"/>
      <c r="G1543" s="88"/>
      <c r="H1543" s="88"/>
      <c r="I1543" s="89"/>
    </row>
    <row r="1544" spans="1:9" x14ac:dyDescent="0.3">
      <c r="A1544" s="88"/>
      <c r="B1544" s="88"/>
      <c r="C1544" s="88"/>
      <c r="D1544" s="88"/>
      <c r="E1544" s="88"/>
      <c r="F1544" s="88"/>
      <c r="G1544" s="88"/>
      <c r="H1544" s="88"/>
      <c r="I1544" s="89"/>
    </row>
    <row r="1545" spans="1:9" x14ac:dyDescent="0.3">
      <c r="A1545" s="88"/>
      <c r="B1545" s="88"/>
      <c r="C1545" s="88"/>
      <c r="D1545" s="88"/>
      <c r="E1545" s="88"/>
      <c r="F1545" s="88"/>
      <c r="G1545" s="88"/>
      <c r="H1545" s="88"/>
      <c r="I1545" s="89"/>
    </row>
    <row r="1546" spans="1:9" x14ac:dyDescent="0.3">
      <c r="A1546" s="88"/>
      <c r="B1546" s="88"/>
      <c r="C1546" s="88"/>
      <c r="D1546" s="88"/>
      <c r="E1546" s="88"/>
      <c r="F1546" s="88"/>
      <c r="G1546" s="88"/>
      <c r="H1546" s="88"/>
      <c r="I1546" s="89"/>
    </row>
    <row r="1547" spans="1:9" x14ac:dyDescent="0.3">
      <c r="A1547" s="88"/>
      <c r="B1547" s="88"/>
      <c r="C1547" s="88"/>
      <c r="D1547" s="88"/>
      <c r="E1547" s="88"/>
      <c r="F1547" s="88"/>
      <c r="G1547" s="88"/>
      <c r="H1547" s="88"/>
      <c r="I1547" s="89"/>
    </row>
    <row r="1548" spans="1:9" x14ac:dyDescent="0.3">
      <c r="A1548" s="88"/>
      <c r="B1548" s="88"/>
      <c r="C1548" s="88"/>
      <c r="D1548" s="88"/>
      <c r="E1548" s="88"/>
      <c r="F1548" s="88"/>
      <c r="G1548" s="88"/>
      <c r="H1548" s="88"/>
      <c r="I1548" s="89"/>
    </row>
    <row r="1549" spans="1:9" x14ac:dyDescent="0.3">
      <c r="A1549" s="88"/>
      <c r="B1549" s="88"/>
      <c r="C1549" s="88"/>
      <c r="D1549" s="88"/>
      <c r="E1549" s="88"/>
      <c r="F1549" s="88"/>
      <c r="G1549" s="88"/>
      <c r="H1549" s="88"/>
      <c r="I1549" s="89"/>
    </row>
    <row r="1550" spans="1:9" x14ac:dyDescent="0.3">
      <c r="A1550" s="88"/>
      <c r="B1550" s="88"/>
      <c r="C1550" s="88"/>
      <c r="D1550" s="88"/>
      <c r="E1550" s="88"/>
      <c r="F1550" s="88"/>
      <c r="G1550" s="88"/>
      <c r="H1550" s="88"/>
      <c r="I1550" s="89"/>
    </row>
    <row r="1551" spans="1:9" x14ac:dyDescent="0.3">
      <c r="A1551" s="88"/>
      <c r="B1551" s="88"/>
      <c r="C1551" s="88"/>
      <c r="D1551" s="88"/>
      <c r="E1551" s="88"/>
      <c r="F1551" s="88"/>
      <c r="G1551" s="88"/>
      <c r="H1551" s="88"/>
      <c r="I1551" s="89"/>
    </row>
    <row r="1552" spans="1:9" x14ac:dyDescent="0.3">
      <c r="A1552" s="88"/>
      <c r="B1552" s="88"/>
      <c r="C1552" s="88"/>
      <c r="D1552" s="88"/>
      <c r="E1552" s="88"/>
      <c r="F1552" s="88"/>
      <c r="G1552" s="88"/>
      <c r="H1552" s="88"/>
      <c r="I1552" s="89"/>
    </row>
    <row r="1553" spans="1:9" x14ac:dyDescent="0.3">
      <c r="A1553" s="88"/>
      <c r="B1553" s="88"/>
      <c r="C1553" s="88"/>
      <c r="D1553" s="88"/>
      <c r="E1553" s="88"/>
      <c r="F1553" s="88"/>
      <c r="G1553" s="88"/>
      <c r="H1553" s="88"/>
      <c r="I1553" s="89"/>
    </row>
    <row r="1554" spans="1:9" x14ac:dyDescent="0.3">
      <c r="A1554" s="88"/>
      <c r="B1554" s="88"/>
      <c r="C1554" s="88"/>
      <c r="D1554" s="88"/>
      <c r="E1554" s="88"/>
      <c r="F1554" s="88"/>
      <c r="G1554" s="88"/>
      <c r="H1554" s="88"/>
      <c r="I1554" s="89"/>
    </row>
    <row r="1555" spans="1:9" x14ac:dyDescent="0.3">
      <c r="A1555" s="88"/>
      <c r="B1555" s="88"/>
      <c r="C1555" s="88"/>
      <c r="D1555" s="88"/>
      <c r="E1555" s="88"/>
      <c r="F1555" s="88"/>
      <c r="G1555" s="88"/>
      <c r="H1555" s="88"/>
      <c r="I1555" s="89"/>
    </row>
    <row r="1556" spans="1:9" x14ac:dyDescent="0.3">
      <c r="A1556" s="88"/>
      <c r="B1556" s="88"/>
      <c r="C1556" s="88"/>
      <c r="D1556" s="88"/>
      <c r="E1556" s="88"/>
      <c r="F1556" s="88"/>
      <c r="G1556" s="88"/>
      <c r="H1556" s="88"/>
      <c r="I1556" s="89"/>
    </row>
    <row r="1557" spans="1:9" x14ac:dyDescent="0.3">
      <c r="A1557" s="88"/>
      <c r="B1557" s="88"/>
      <c r="C1557" s="88"/>
      <c r="D1557" s="88"/>
      <c r="E1557" s="88"/>
      <c r="F1557" s="88"/>
      <c r="G1557" s="88"/>
      <c r="H1557" s="88"/>
      <c r="I1557" s="89"/>
    </row>
    <row r="1558" spans="1:9" x14ac:dyDescent="0.3">
      <c r="A1558" s="88"/>
      <c r="B1558" s="88"/>
      <c r="C1558" s="88"/>
      <c r="D1558" s="88"/>
      <c r="E1558" s="88"/>
      <c r="F1558" s="88"/>
      <c r="G1558" s="88"/>
      <c r="H1558" s="88"/>
      <c r="I1558" s="89"/>
    </row>
    <row r="1559" spans="1:9" x14ac:dyDescent="0.3">
      <c r="A1559" s="88"/>
      <c r="B1559" s="88"/>
      <c r="C1559" s="88"/>
      <c r="D1559" s="88"/>
      <c r="E1559" s="88"/>
      <c r="F1559" s="88"/>
      <c r="G1559" s="88"/>
      <c r="H1559" s="88"/>
      <c r="I1559" s="89"/>
    </row>
    <row r="1560" spans="1:9" x14ac:dyDescent="0.3">
      <c r="A1560" s="88"/>
      <c r="B1560" s="88"/>
      <c r="C1560" s="88"/>
      <c r="D1560" s="88"/>
      <c r="E1560" s="88"/>
      <c r="F1560" s="88"/>
      <c r="G1560" s="88"/>
      <c r="H1560" s="88"/>
      <c r="I1560" s="89"/>
    </row>
    <row r="1561" spans="1:9" x14ac:dyDescent="0.3">
      <c r="A1561" s="88"/>
      <c r="B1561" s="88"/>
      <c r="C1561" s="88"/>
      <c r="D1561" s="88"/>
      <c r="E1561" s="88"/>
      <c r="F1561" s="88"/>
      <c r="G1561" s="88"/>
      <c r="H1561" s="88"/>
      <c r="I1561" s="89"/>
    </row>
    <row r="1562" spans="1:9" x14ac:dyDescent="0.3">
      <c r="A1562" s="88"/>
      <c r="B1562" s="88"/>
      <c r="C1562" s="88"/>
      <c r="D1562" s="88"/>
      <c r="E1562" s="88"/>
      <c r="F1562" s="88"/>
      <c r="G1562" s="88"/>
      <c r="H1562" s="88"/>
      <c r="I1562" s="89"/>
    </row>
    <row r="1563" spans="1:9" x14ac:dyDescent="0.3">
      <c r="A1563" s="88"/>
      <c r="B1563" s="88"/>
      <c r="C1563" s="88"/>
      <c r="D1563" s="88"/>
      <c r="E1563" s="88"/>
      <c r="F1563" s="88"/>
      <c r="G1563" s="88"/>
      <c r="H1563" s="88"/>
      <c r="I1563" s="89"/>
    </row>
    <row r="1564" spans="1:9" x14ac:dyDescent="0.3">
      <c r="A1564" s="88"/>
      <c r="B1564" s="88"/>
      <c r="C1564" s="88"/>
      <c r="D1564" s="88"/>
      <c r="E1564" s="88"/>
      <c r="F1564" s="88"/>
      <c r="G1564" s="88"/>
      <c r="H1564" s="88"/>
      <c r="I1564" s="89"/>
    </row>
    <row r="1565" spans="1:9" x14ac:dyDescent="0.3">
      <c r="A1565" s="88"/>
      <c r="B1565" s="88"/>
      <c r="C1565" s="88"/>
      <c r="D1565" s="88"/>
      <c r="E1565" s="88"/>
      <c r="F1565" s="88"/>
      <c r="G1565" s="88"/>
      <c r="H1565" s="88"/>
      <c r="I1565" s="89"/>
    </row>
    <row r="1566" spans="1:9" x14ac:dyDescent="0.3">
      <c r="A1566" s="88"/>
      <c r="B1566" s="88"/>
      <c r="C1566" s="88"/>
      <c r="D1566" s="88"/>
      <c r="E1566" s="88"/>
      <c r="F1566" s="88"/>
      <c r="G1566" s="88"/>
      <c r="H1566" s="88"/>
      <c r="I1566" s="89"/>
    </row>
    <row r="1567" spans="1:9" x14ac:dyDescent="0.3">
      <c r="A1567" s="88"/>
      <c r="B1567" s="88"/>
      <c r="C1567" s="88"/>
      <c r="D1567" s="88"/>
      <c r="E1567" s="88"/>
      <c r="F1567" s="88"/>
      <c r="G1567" s="88"/>
      <c r="H1567" s="88"/>
      <c r="I1567" s="89"/>
    </row>
    <row r="1568" spans="1:9" x14ac:dyDescent="0.3">
      <c r="A1568" s="88"/>
      <c r="B1568" s="88"/>
      <c r="C1568" s="88"/>
      <c r="D1568" s="88"/>
      <c r="E1568" s="88"/>
      <c r="F1568" s="88"/>
      <c r="G1568" s="88"/>
      <c r="H1568" s="88"/>
      <c r="I1568" s="89"/>
    </row>
    <row r="1569" spans="1:9" x14ac:dyDescent="0.3">
      <c r="A1569" s="88"/>
      <c r="B1569" s="88"/>
      <c r="C1569" s="88"/>
      <c r="D1569" s="88"/>
      <c r="E1569" s="88"/>
      <c r="F1569" s="88"/>
      <c r="G1569" s="88"/>
      <c r="H1569" s="88"/>
      <c r="I1569" s="89"/>
    </row>
    <row r="1570" spans="1:9" x14ac:dyDescent="0.3">
      <c r="A1570" s="88"/>
      <c r="B1570" s="88"/>
      <c r="C1570" s="88"/>
      <c r="D1570" s="88"/>
      <c r="E1570" s="88"/>
      <c r="F1570" s="88"/>
      <c r="G1570" s="88"/>
      <c r="H1570" s="88"/>
      <c r="I1570" s="89"/>
    </row>
    <row r="1571" spans="1:9" x14ac:dyDescent="0.3">
      <c r="A1571" s="88"/>
      <c r="B1571" s="88"/>
      <c r="C1571" s="88"/>
      <c r="D1571" s="88"/>
      <c r="E1571" s="88"/>
      <c r="F1571" s="88"/>
      <c r="G1571" s="88"/>
      <c r="H1571" s="88"/>
      <c r="I1571" s="89"/>
    </row>
    <row r="1572" spans="1:9" x14ac:dyDescent="0.3">
      <c r="A1572" s="88"/>
      <c r="B1572" s="88"/>
      <c r="C1572" s="88"/>
      <c r="D1572" s="88"/>
      <c r="E1572" s="88"/>
      <c r="F1572" s="88"/>
      <c r="G1572" s="88"/>
      <c r="H1572" s="88"/>
      <c r="I1572" s="89"/>
    </row>
    <row r="1573" spans="1:9" x14ac:dyDescent="0.3">
      <c r="A1573" s="88"/>
      <c r="B1573" s="88"/>
      <c r="C1573" s="88"/>
      <c r="D1573" s="88"/>
      <c r="E1573" s="88"/>
      <c r="F1573" s="88"/>
      <c r="G1573" s="88"/>
      <c r="H1573" s="88"/>
      <c r="I1573" s="89"/>
    </row>
    <row r="1574" spans="1:9" x14ac:dyDescent="0.3">
      <c r="A1574" s="88"/>
      <c r="B1574" s="88"/>
      <c r="C1574" s="88"/>
      <c r="D1574" s="88"/>
      <c r="E1574" s="88"/>
      <c r="F1574" s="88"/>
      <c r="G1574" s="88"/>
      <c r="H1574" s="88"/>
      <c r="I1574" s="89"/>
    </row>
    <row r="1575" spans="1:9" x14ac:dyDescent="0.3">
      <c r="A1575" s="88"/>
      <c r="B1575" s="88"/>
      <c r="C1575" s="88"/>
      <c r="D1575" s="88"/>
      <c r="E1575" s="88"/>
      <c r="F1575" s="88"/>
      <c r="G1575" s="88"/>
      <c r="H1575" s="88"/>
      <c r="I1575" s="89"/>
    </row>
    <row r="1576" spans="1:9" x14ac:dyDescent="0.3">
      <c r="A1576" s="88"/>
      <c r="B1576" s="88"/>
      <c r="C1576" s="88"/>
      <c r="D1576" s="88"/>
      <c r="E1576" s="88"/>
      <c r="F1576" s="88"/>
      <c r="G1576" s="88"/>
      <c r="H1576" s="88"/>
      <c r="I1576" s="89"/>
    </row>
    <row r="1577" spans="1:9" x14ac:dyDescent="0.3">
      <c r="A1577" s="88"/>
      <c r="B1577" s="88"/>
      <c r="C1577" s="88"/>
      <c r="D1577" s="88"/>
      <c r="E1577" s="88"/>
      <c r="F1577" s="88"/>
      <c r="G1577" s="88"/>
      <c r="H1577" s="88"/>
      <c r="I1577" s="89"/>
    </row>
    <row r="1578" spans="1:9" x14ac:dyDescent="0.3">
      <c r="A1578" s="88"/>
      <c r="B1578" s="88"/>
      <c r="C1578" s="88"/>
      <c r="D1578" s="88"/>
      <c r="E1578" s="88"/>
      <c r="F1578" s="88"/>
      <c r="G1578" s="88"/>
      <c r="H1578" s="88"/>
      <c r="I1578" s="89"/>
    </row>
    <row r="1579" spans="1:9" x14ac:dyDescent="0.3">
      <c r="A1579" s="88"/>
      <c r="B1579" s="88"/>
      <c r="C1579" s="88"/>
      <c r="D1579" s="88"/>
      <c r="E1579" s="88"/>
      <c r="F1579" s="88"/>
      <c r="G1579" s="88"/>
      <c r="H1579" s="88"/>
      <c r="I1579" s="89"/>
    </row>
    <row r="1580" spans="1:9" x14ac:dyDescent="0.3">
      <c r="A1580" s="88"/>
      <c r="B1580" s="88"/>
      <c r="C1580" s="88"/>
      <c r="D1580" s="88"/>
      <c r="E1580" s="88"/>
      <c r="F1580" s="88"/>
      <c r="G1580" s="88"/>
      <c r="H1580" s="88"/>
      <c r="I1580" s="89"/>
    </row>
    <row r="1581" spans="1:9" x14ac:dyDescent="0.3">
      <c r="A1581" s="88"/>
      <c r="B1581" s="88"/>
      <c r="C1581" s="88"/>
      <c r="D1581" s="88"/>
      <c r="E1581" s="88"/>
      <c r="F1581" s="88"/>
      <c r="G1581" s="88"/>
      <c r="H1581" s="88"/>
      <c r="I1581" s="89"/>
    </row>
    <row r="1582" spans="1:9" x14ac:dyDescent="0.3">
      <c r="A1582" s="88"/>
      <c r="B1582" s="88"/>
      <c r="C1582" s="88"/>
      <c r="D1582" s="88"/>
      <c r="E1582" s="88"/>
      <c r="F1582" s="88"/>
      <c r="G1582" s="88"/>
      <c r="H1582" s="88"/>
      <c r="I1582" s="89"/>
    </row>
    <row r="1583" spans="1:9" x14ac:dyDescent="0.3">
      <c r="A1583" s="88"/>
      <c r="B1583" s="88"/>
      <c r="C1583" s="88"/>
      <c r="D1583" s="88"/>
      <c r="E1583" s="88"/>
      <c r="F1583" s="88"/>
      <c r="G1583" s="88"/>
      <c r="H1583" s="88"/>
      <c r="I1583" s="89"/>
    </row>
    <row r="1584" spans="1:9" x14ac:dyDescent="0.3">
      <c r="A1584" s="88"/>
      <c r="B1584" s="88"/>
      <c r="C1584" s="88"/>
      <c r="D1584" s="88"/>
      <c r="E1584" s="88"/>
      <c r="F1584" s="88"/>
      <c r="G1584" s="88"/>
      <c r="H1584" s="88"/>
      <c r="I1584" s="89"/>
    </row>
    <row r="1585" spans="1:9" x14ac:dyDescent="0.3">
      <c r="A1585" s="88"/>
      <c r="B1585" s="88"/>
      <c r="C1585" s="88"/>
      <c r="D1585" s="88"/>
      <c r="E1585" s="88"/>
      <c r="F1585" s="88"/>
      <c r="G1585" s="88"/>
      <c r="H1585" s="88"/>
      <c r="I1585" s="89"/>
    </row>
    <row r="1586" spans="1:9" x14ac:dyDescent="0.3">
      <c r="A1586" s="88"/>
      <c r="B1586" s="88"/>
      <c r="C1586" s="88"/>
      <c r="D1586" s="88"/>
      <c r="E1586" s="88"/>
      <c r="F1586" s="88"/>
      <c r="G1586" s="88"/>
      <c r="H1586" s="88"/>
      <c r="I1586" s="89"/>
    </row>
    <row r="1587" spans="1:9" x14ac:dyDescent="0.3">
      <c r="A1587" s="88"/>
      <c r="B1587" s="88"/>
      <c r="C1587" s="88"/>
      <c r="D1587" s="88"/>
      <c r="E1587" s="88"/>
      <c r="F1587" s="88"/>
      <c r="G1587" s="88"/>
      <c r="H1587" s="88"/>
      <c r="I1587" s="89"/>
    </row>
    <row r="1588" spans="1:9" x14ac:dyDescent="0.3">
      <c r="A1588" s="88"/>
      <c r="B1588" s="88"/>
      <c r="C1588" s="88"/>
      <c r="D1588" s="88"/>
      <c r="E1588" s="88"/>
      <c r="F1588" s="88"/>
      <c r="G1588" s="88"/>
      <c r="H1588" s="88"/>
      <c r="I1588" s="89"/>
    </row>
    <row r="1589" spans="1:9" x14ac:dyDescent="0.3">
      <c r="A1589" s="88"/>
      <c r="B1589" s="88"/>
      <c r="C1589" s="88"/>
      <c r="D1589" s="88"/>
      <c r="E1589" s="88"/>
      <c r="F1589" s="88"/>
      <c r="G1589" s="88"/>
      <c r="H1589" s="88"/>
      <c r="I1589" s="89"/>
    </row>
    <row r="1590" spans="1:9" x14ac:dyDescent="0.3">
      <c r="A1590" s="88"/>
      <c r="B1590" s="88"/>
      <c r="C1590" s="88"/>
      <c r="D1590" s="88"/>
      <c r="E1590" s="88"/>
      <c r="F1590" s="88"/>
      <c r="G1590" s="88"/>
      <c r="H1590" s="88"/>
      <c r="I1590" s="89"/>
    </row>
    <row r="1591" spans="1:9" x14ac:dyDescent="0.3">
      <c r="A1591" s="88"/>
      <c r="B1591" s="88"/>
      <c r="C1591" s="88"/>
      <c r="D1591" s="88"/>
      <c r="E1591" s="88"/>
      <c r="F1591" s="88"/>
      <c r="G1591" s="88"/>
      <c r="H1591" s="88"/>
      <c r="I1591" s="89"/>
    </row>
    <row r="1592" spans="1:9" x14ac:dyDescent="0.3">
      <c r="A1592" s="88"/>
      <c r="B1592" s="88"/>
      <c r="C1592" s="88"/>
      <c r="D1592" s="88"/>
      <c r="E1592" s="88"/>
      <c r="F1592" s="88"/>
      <c r="G1592" s="88"/>
      <c r="H1592" s="88"/>
      <c r="I1592" s="89"/>
    </row>
    <row r="1593" spans="1:9" x14ac:dyDescent="0.3">
      <c r="A1593" s="88"/>
      <c r="B1593" s="88"/>
      <c r="C1593" s="88"/>
      <c r="D1593" s="88"/>
      <c r="E1593" s="88"/>
      <c r="F1593" s="88"/>
      <c r="G1593" s="88"/>
      <c r="H1593" s="88"/>
      <c r="I1593" s="89"/>
    </row>
    <row r="1594" spans="1:9" x14ac:dyDescent="0.3">
      <c r="A1594" s="88"/>
      <c r="B1594" s="88"/>
      <c r="C1594" s="88"/>
      <c r="D1594" s="88"/>
      <c r="E1594" s="88"/>
      <c r="F1594" s="88"/>
      <c r="G1594" s="88"/>
      <c r="H1594" s="88"/>
      <c r="I1594" s="89"/>
    </row>
    <row r="1595" spans="1:9" x14ac:dyDescent="0.3">
      <c r="A1595" s="88"/>
      <c r="B1595" s="88"/>
      <c r="C1595" s="88"/>
      <c r="D1595" s="88"/>
      <c r="E1595" s="88"/>
      <c r="F1595" s="88"/>
      <c r="G1595" s="88"/>
      <c r="H1595" s="88"/>
      <c r="I1595" s="89"/>
    </row>
    <row r="1596" spans="1:9" x14ac:dyDescent="0.3">
      <c r="A1596" s="88"/>
      <c r="B1596" s="88"/>
      <c r="C1596" s="88"/>
      <c r="D1596" s="88"/>
      <c r="E1596" s="88"/>
      <c r="F1596" s="88"/>
      <c r="G1596" s="88"/>
      <c r="H1596" s="88"/>
      <c r="I1596" s="89"/>
    </row>
    <row r="1597" spans="1:9" x14ac:dyDescent="0.3">
      <c r="A1597" s="88"/>
      <c r="B1597" s="88"/>
      <c r="C1597" s="88"/>
      <c r="D1597" s="88"/>
      <c r="E1597" s="88"/>
      <c r="F1597" s="88"/>
      <c r="G1597" s="88"/>
      <c r="H1597" s="88"/>
      <c r="I1597" s="89"/>
    </row>
    <row r="1598" spans="1:9" x14ac:dyDescent="0.3">
      <c r="A1598" s="88"/>
      <c r="B1598" s="88"/>
      <c r="C1598" s="88"/>
      <c r="D1598" s="88"/>
      <c r="E1598" s="88"/>
      <c r="F1598" s="88"/>
      <c r="G1598" s="88"/>
      <c r="H1598" s="88"/>
      <c r="I1598" s="89"/>
    </row>
    <row r="1599" spans="1:9" x14ac:dyDescent="0.3">
      <c r="A1599" s="88"/>
      <c r="B1599" s="88"/>
      <c r="C1599" s="88"/>
      <c r="D1599" s="88"/>
      <c r="E1599" s="88"/>
      <c r="F1599" s="88"/>
      <c r="G1599" s="88"/>
      <c r="H1599" s="88"/>
      <c r="I1599" s="89"/>
    </row>
    <row r="1600" spans="1:9" x14ac:dyDescent="0.3">
      <c r="A1600" s="88"/>
      <c r="B1600" s="88"/>
      <c r="C1600" s="88"/>
      <c r="D1600" s="88"/>
      <c r="E1600" s="88"/>
      <c r="F1600" s="88"/>
      <c r="G1600" s="88"/>
      <c r="H1600" s="88"/>
      <c r="I1600" s="89"/>
    </row>
    <row r="1601" spans="1:9" x14ac:dyDescent="0.3">
      <c r="A1601" s="88"/>
      <c r="B1601" s="88"/>
      <c r="C1601" s="88"/>
      <c r="D1601" s="88"/>
      <c r="E1601" s="88"/>
      <c r="F1601" s="88"/>
      <c r="G1601" s="88"/>
      <c r="H1601" s="88"/>
      <c r="I1601" s="89"/>
    </row>
    <row r="1602" spans="1:9" x14ac:dyDescent="0.3">
      <c r="A1602" s="88"/>
      <c r="B1602" s="88"/>
      <c r="C1602" s="88"/>
      <c r="D1602" s="88"/>
      <c r="E1602" s="88"/>
      <c r="F1602" s="88"/>
      <c r="G1602" s="88"/>
      <c r="H1602" s="88"/>
      <c r="I1602" s="89"/>
    </row>
    <row r="1603" spans="1:9" x14ac:dyDescent="0.3">
      <c r="A1603" s="88"/>
      <c r="B1603" s="88"/>
      <c r="C1603" s="88"/>
      <c r="D1603" s="88"/>
      <c r="E1603" s="88"/>
      <c r="F1603" s="88"/>
      <c r="G1603" s="88"/>
      <c r="H1603" s="88"/>
      <c r="I1603" s="89"/>
    </row>
    <row r="1604" spans="1:9" x14ac:dyDescent="0.3">
      <c r="A1604" s="88"/>
      <c r="B1604" s="88"/>
      <c r="C1604" s="88"/>
      <c r="D1604" s="88"/>
      <c r="E1604" s="88"/>
      <c r="F1604" s="88"/>
      <c r="G1604" s="88"/>
      <c r="H1604" s="88"/>
      <c r="I1604" s="89"/>
    </row>
    <row r="1605" spans="1:9" x14ac:dyDescent="0.3">
      <c r="A1605" s="88"/>
      <c r="B1605" s="88"/>
      <c r="C1605" s="88"/>
      <c r="D1605" s="88"/>
      <c r="E1605" s="88"/>
      <c r="F1605" s="88"/>
      <c r="G1605" s="88"/>
      <c r="H1605" s="88"/>
      <c r="I1605" s="89"/>
    </row>
    <row r="1606" spans="1:9" x14ac:dyDescent="0.3">
      <c r="A1606" s="88"/>
      <c r="B1606" s="88"/>
      <c r="C1606" s="88"/>
      <c r="D1606" s="88"/>
      <c r="E1606" s="88"/>
      <c r="F1606" s="88"/>
      <c r="G1606" s="88"/>
      <c r="H1606" s="88"/>
      <c r="I1606" s="89"/>
    </row>
    <row r="1607" spans="1:9" x14ac:dyDescent="0.3">
      <c r="A1607" s="88"/>
      <c r="B1607" s="88"/>
      <c r="C1607" s="88"/>
      <c r="D1607" s="88"/>
      <c r="E1607" s="88"/>
      <c r="F1607" s="88"/>
      <c r="G1607" s="88"/>
      <c r="H1607" s="88"/>
      <c r="I1607" s="89"/>
    </row>
    <row r="1608" spans="1:9" x14ac:dyDescent="0.3">
      <c r="A1608" s="88"/>
      <c r="B1608" s="88"/>
      <c r="C1608" s="88"/>
      <c r="D1608" s="88"/>
      <c r="E1608" s="88"/>
      <c r="F1608" s="88"/>
      <c r="G1608" s="88"/>
      <c r="H1608" s="88"/>
      <c r="I1608" s="89"/>
    </row>
    <row r="1609" spans="1:9" x14ac:dyDescent="0.3">
      <c r="A1609" s="88"/>
      <c r="B1609" s="88"/>
      <c r="C1609" s="88"/>
      <c r="D1609" s="88"/>
      <c r="E1609" s="88"/>
      <c r="F1609" s="88"/>
      <c r="G1609" s="88"/>
      <c r="H1609" s="88"/>
      <c r="I1609" s="89"/>
    </row>
    <row r="1610" spans="1:9" x14ac:dyDescent="0.3">
      <c r="A1610" s="88"/>
      <c r="B1610" s="88"/>
      <c r="C1610" s="88"/>
      <c r="D1610" s="88"/>
      <c r="E1610" s="88"/>
      <c r="F1610" s="88"/>
      <c r="G1610" s="88"/>
      <c r="H1610" s="88"/>
      <c r="I1610" s="89"/>
    </row>
    <row r="1611" spans="1:9" x14ac:dyDescent="0.3">
      <c r="A1611" s="88"/>
      <c r="B1611" s="88"/>
      <c r="C1611" s="88"/>
      <c r="D1611" s="88"/>
      <c r="E1611" s="88"/>
      <c r="F1611" s="88"/>
      <c r="G1611" s="88"/>
      <c r="H1611" s="88"/>
      <c r="I1611" s="89"/>
    </row>
    <row r="1612" spans="1:9" x14ac:dyDescent="0.3">
      <c r="A1612" s="88"/>
      <c r="B1612" s="88"/>
      <c r="C1612" s="88"/>
      <c r="D1612" s="88"/>
      <c r="E1612" s="88"/>
      <c r="F1612" s="88"/>
      <c r="G1612" s="88"/>
      <c r="H1612" s="88"/>
      <c r="I1612" s="89"/>
    </row>
    <row r="1613" spans="1:9" x14ac:dyDescent="0.3">
      <c r="A1613" s="88"/>
      <c r="B1613" s="88"/>
      <c r="C1613" s="88"/>
      <c r="D1613" s="88"/>
      <c r="E1613" s="88"/>
      <c r="F1613" s="88"/>
      <c r="G1613" s="88"/>
      <c r="H1613" s="88"/>
      <c r="I1613" s="89"/>
    </row>
    <row r="1614" spans="1:9" x14ac:dyDescent="0.3">
      <c r="A1614" s="88"/>
      <c r="B1614" s="88"/>
      <c r="C1614" s="88"/>
      <c r="D1614" s="88"/>
      <c r="E1614" s="88"/>
      <c r="F1614" s="88"/>
      <c r="G1614" s="88"/>
      <c r="H1614" s="88"/>
      <c r="I1614" s="89"/>
    </row>
    <row r="1615" spans="1:9" x14ac:dyDescent="0.3">
      <c r="A1615" s="88"/>
      <c r="B1615" s="88"/>
      <c r="C1615" s="88"/>
      <c r="D1615" s="88"/>
      <c r="E1615" s="88"/>
      <c r="F1615" s="88"/>
      <c r="G1615" s="88"/>
      <c r="H1615" s="88"/>
      <c r="I1615" s="89"/>
    </row>
    <row r="1616" spans="1:9" x14ac:dyDescent="0.3">
      <c r="A1616" s="88"/>
      <c r="B1616" s="88"/>
      <c r="C1616" s="88"/>
      <c r="D1616" s="88"/>
      <c r="E1616" s="88"/>
      <c r="F1616" s="88"/>
      <c r="G1616" s="88"/>
      <c r="H1616" s="88"/>
      <c r="I1616" s="89"/>
    </row>
    <row r="1617" spans="1:9" x14ac:dyDescent="0.3">
      <c r="A1617" s="88"/>
      <c r="B1617" s="88"/>
      <c r="C1617" s="88"/>
      <c r="D1617" s="88"/>
      <c r="E1617" s="88"/>
      <c r="F1617" s="88"/>
      <c r="G1617" s="88"/>
      <c r="H1617" s="88"/>
      <c r="I1617" s="89"/>
    </row>
    <row r="1618" spans="1:9" x14ac:dyDescent="0.3">
      <c r="A1618" s="88"/>
      <c r="B1618" s="88"/>
      <c r="C1618" s="88"/>
      <c r="D1618" s="88"/>
      <c r="E1618" s="88"/>
      <c r="F1618" s="88"/>
      <c r="G1618" s="88"/>
      <c r="H1618" s="88"/>
      <c r="I1618" s="89"/>
    </row>
    <row r="1619" spans="1:9" x14ac:dyDescent="0.3">
      <c r="A1619" s="88"/>
      <c r="B1619" s="88"/>
      <c r="C1619" s="88"/>
      <c r="D1619" s="88"/>
      <c r="E1619" s="88"/>
      <c r="F1619" s="88"/>
      <c r="G1619" s="88"/>
      <c r="H1619" s="88"/>
      <c r="I1619" s="89"/>
    </row>
    <row r="1620" spans="1:9" x14ac:dyDescent="0.3">
      <c r="A1620" s="88"/>
      <c r="B1620" s="88"/>
      <c r="C1620" s="88"/>
      <c r="D1620" s="88"/>
      <c r="E1620" s="88"/>
      <c r="F1620" s="88"/>
      <c r="G1620" s="88"/>
      <c r="H1620" s="88"/>
      <c r="I1620" s="89"/>
    </row>
    <row r="1621" spans="1:9" x14ac:dyDescent="0.3">
      <c r="A1621" s="88"/>
      <c r="B1621" s="88"/>
      <c r="C1621" s="88"/>
      <c r="D1621" s="88"/>
      <c r="E1621" s="88"/>
      <c r="F1621" s="88"/>
      <c r="G1621" s="88"/>
      <c r="H1621" s="88"/>
      <c r="I1621" s="89"/>
    </row>
    <row r="1622" spans="1:9" x14ac:dyDescent="0.3">
      <c r="A1622" s="88"/>
      <c r="B1622" s="88"/>
      <c r="C1622" s="88"/>
      <c r="D1622" s="88"/>
      <c r="E1622" s="88"/>
      <c r="F1622" s="88"/>
      <c r="G1622" s="88"/>
      <c r="H1622" s="88"/>
      <c r="I1622" s="89"/>
    </row>
    <row r="1623" spans="1:9" x14ac:dyDescent="0.3">
      <c r="A1623" s="88"/>
      <c r="B1623" s="88"/>
      <c r="C1623" s="88"/>
      <c r="D1623" s="88"/>
      <c r="E1623" s="88"/>
      <c r="F1623" s="88"/>
      <c r="G1623" s="88"/>
      <c r="H1623" s="88"/>
      <c r="I1623" s="89"/>
    </row>
    <row r="1624" spans="1:9" x14ac:dyDescent="0.3">
      <c r="A1624" s="88"/>
      <c r="B1624" s="88"/>
      <c r="C1624" s="88"/>
      <c r="D1624" s="88"/>
      <c r="E1624" s="88"/>
      <c r="F1624" s="88"/>
      <c r="G1624" s="88"/>
      <c r="H1624" s="88"/>
      <c r="I1624" s="89"/>
    </row>
    <row r="1625" spans="1:9" x14ac:dyDescent="0.3">
      <c r="A1625" s="88"/>
      <c r="B1625" s="88"/>
      <c r="C1625" s="88"/>
      <c r="D1625" s="88"/>
      <c r="E1625" s="88"/>
      <c r="F1625" s="88"/>
      <c r="G1625" s="88"/>
      <c r="H1625" s="88"/>
      <c r="I1625" s="89"/>
    </row>
    <row r="1626" spans="1:9" x14ac:dyDescent="0.3">
      <c r="A1626" s="88"/>
      <c r="B1626" s="88"/>
      <c r="C1626" s="88"/>
      <c r="D1626" s="88"/>
      <c r="E1626" s="88"/>
      <c r="F1626" s="88"/>
      <c r="G1626" s="88"/>
      <c r="H1626" s="88"/>
      <c r="I1626" s="89"/>
    </row>
    <row r="1627" spans="1:9" x14ac:dyDescent="0.3">
      <c r="A1627" s="88"/>
      <c r="B1627" s="88"/>
      <c r="C1627" s="88"/>
      <c r="D1627" s="88"/>
      <c r="E1627" s="88"/>
      <c r="F1627" s="88"/>
      <c r="G1627" s="88"/>
      <c r="H1627" s="88"/>
      <c r="I1627" s="89"/>
    </row>
    <row r="1628" spans="1:9" x14ac:dyDescent="0.3">
      <c r="A1628" s="88"/>
      <c r="B1628" s="88"/>
      <c r="C1628" s="88"/>
      <c r="D1628" s="88"/>
      <c r="E1628" s="88"/>
      <c r="F1628" s="88"/>
      <c r="G1628" s="88"/>
      <c r="H1628" s="88"/>
      <c r="I1628" s="89"/>
    </row>
    <row r="1629" spans="1:9" x14ac:dyDescent="0.3">
      <c r="A1629" s="88"/>
      <c r="B1629" s="88"/>
      <c r="C1629" s="88"/>
      <c r="D1629" s="88"/>
      <c r="E1629" s="88"/>
      <c r="F1629" s="88"/>
      <c r="G1629" s="88"/>
      <c r="H1629" s="88"/>
      <c r="I1629" s="89"/>
    </row>
    <row r="1630" spans="1:9" x14ac:dyDescent="0.3">
      <c r="A1630" s="88"/>
      <c r="B1630" s="88"/>
      <c r="C1630" s="88"/>
      <c r="D1630" s="88"/>
      <c r="E1630" s="88"/>
      <c r="F1630" s="88"/>
      <c r="G1630" s="88"/>
      <c r="H1630" s="88"/>
      <c r="I1630" s="89"/>
    </row>
    <row r="1631" spans="1:9" x14ac:dyDescent="0.3">
      <c r="A1631" s="88"/>
      <c r="B1631" s="88"/>
      <c r="C1631" s="88"/>
      <c r="D1631" s="88"/>
      <c r="E1631" s="88"/>
      <c r="F1631" s="88"/>
      <c r="G1631" s="88"/>
      <c r="H1631" s="88"/>
      <c r="I1631" s="89"/>
    </row>
    <row r="1632" spans="1:9" x14ac:dyDescent="0.3">
      <c r="A1632" s="88"/>
      <c r="B1632" s="88"/>
      <c r="C1632" s="88"/>
      <c r="D1632" s="88"/>
      <c r="E1632" s="88"/>
      <c r="F1632" s="88"/>
      <c r="G1632" s="88"/>
      <c r="H1632" s="88"/>
      <c r="I1632" s="89"/>
    </row>
    <row r="1633" spans="1:9" x14ac:dyDescent="0.3">
      <c r="A1633" s="88"/>
      <c r="B1633" s="88"/>
      <c r="C1633" s="88"/>
      <c r="D1633" s="88"/>
      <c r="E1633" s="88"/>
      <c r="F1633" s="88"/>
      <c r="G1633" s="88"/>
      <c r="H1633" s="88"/>
      <c r="I1633" s="89"/>
    </row>
    <row r="1634" spans="1:9" x14ac:dyDescent="0.3">
      <c r="A1634" s="88"/>
      <c r="B1634" s="88"/>
      <c r="C1634" s="88"/>
      <c r="D1634" s="88"/>
      <c r="E1634" s="88"/>
      <c r="F1634" s="88"/>
      <c r="G1634" s="88"/>
      <c r="H1634" s="88"/>
      <c r="I1634" s="89"/>
    </row>
    <row r="1635" spans="1:9" x14ac:dyDescent="0.3">
      <c r="A1635" s="88"/>
      <c r="B1635" s="88"/>
      <c r="C1635" s="88"/>
      <c r="D1635" s="88"/>
      <c r="E1635" s="88"/>
      <c r="F1635" s="88"/>
      <c r="G1635" s="88"/>
      <c r="H1635" s="88"/>
      <c r="I1635" s="89"/>
    </row>
    <row r="1636" spans="1:9" x14ac:dyDescent="0.3">
      <c r="A1636" s="88"/>
      <c r="B1636" s="88"/>
      <c r="C1636" s="88"/>
      <c r="D1636" s="88"/>
      <c r="E1636" s="88"/>
      <c r="F1636" s="88"/>
      <c r="G1636" s="88"/>
      <c r="H1636" s="88"/>
      <c r="I1636" s="89"/>
    </row>
    <row r="1637" spans="1:9" x14ac:dyDescent="0.3">
      <c r="A1637" s="88"/>
      <c r="B1637" s="88"/>
      <c r="C1637" s="88"/>
      <c r="D1637" s="88"/>
      <c r="E1637" s="88"/>
      <c r="F1637" s="88"/>
      <c r="G1637" s="88"/>
      <c r="H1637" s="88"/>
      <c r="I1637" s="89"/>
    </row>
    <row r="1638" spans="1:9" x14ac:dyDescent="0.3">
      <c r="A1638" s="88"/>
      <c r="B1638" s="88"/>
      <c r="C1638" s="88"/>
      <c r="D1638" s="88"/>
      <c r="E1638" s="88"/>
      <c r="F1638" s="88"/>
      <c r="G1638" s="88"/>
      <c r="H1638" s="88"/>
      <c r="I1638" s="89"/>
    </row>
    <row r="1639" spans="1:9" x14ac:dyDescent="0.3">
      <c r="A1639" s="88"/>
      <c r="B1639" s="88"/>
      <c r="C1639" s="88"/>
      <c r="D1639" s="88"/>
      <c r="E1639" s="88"/>
      <c r="F1639" s="88"/>
      <c r="G1639" s="88"/>
      <c r="H1639" s="88"/>
      <c r="I1639" s="89"/>
    </row>
    <row r="1640" spans="1:9" x14ac:dyDescent="0.3">
      <c r="A1640" s="88"/>
      <c r="B1640" s="88"/>
      <c r="C1640" s="88"/>
      <c r="D1640" s="88"/>
      <c r="E1640" s="88"/>
      <c r="F1640" s="88"/>
      <c r="G1640" s="88"/>
      <c r="H1640" s="88"/>
      <c r="I1640" s="89"/>
    </row>
    <row r="1641" spans="1:9" x14ac:dyDescent="0.3">
      <c r="A1641" s="88"/>
      <c r="B1641" s="88"/>
      <c r="C1641" s="88"/>
      <c r="D1641" s="88"/>
      <c r="E1641" s="88"/>
      <c r="F1641" s="88"/>
      <c r="G1641" s="88"/>
      <c r="H1641" s="88"/>
      <c r="I1641" s="89"/>
    </row>
    <row r="1642" spans="1:9" x14ac:dyDescent="0.3">
      <c r="A1642" s="88"/>
      <c r="B1642" s="88"/>
      <c r="C1642" s="88"/>
      <c r="D1642" s="88"/>
      <c r="E1642" s="88"/>
      <c r="F1642" s="88"/>
      <c r="G1642" s="88"/>
      <c r="H1642" s="88"/>
      <c r="I1642" s="89"/>
    </row>
    <row r="1643" spans="1:9" x14ac:dyDescent="0.3">
      <c r="A1643" s="88"/>
      <c r="B1643" s="88"/>
      <c r="C1643" s="88"/>
      <c r="D1643" s="88"/>
      <c r="E1643" s="88"/>
      <c r="F1643" s="88"/>
      <c r="G1643" s="88"/>
      <c r="H1643" s="88"/>
      <c r="I1643" s="89"/>
    </row>
    <row r="1644" spans="1:9" x14ac:dyDescent="0.3">
      <c r="A1644" s="88"/>
      <c r="B1644" s="88"/>
      <c r="C1644" s="88"/>
      <c r="D1644" s="88"/>
      <c r="E1644" s="88"/>
      <c r="F1644" s="88"/>
      <c r="G1644" s="88"/>
      <c r="H1644" s="88"/>
      <c r="I1644" s="89"/>
    </row>
    <row r="1645" spans="1:9" x14ac:dyDescent="0.3">
      <c r="A1645" s="88"/>
      <c r="B1645" s="88"/>
      <c r="C1645" s="88"/>
      <c r="D1645" s="88"/>
      <c r="E1645" s="88"/>
      <c r="F1645" s="88"/>
      <c r="G1645" s="88"/>
      <c r="H1645" s="88"/>
      <c r="I1645" s="89"/>
    </row>
    <row r="1646" spans="1:9" x14ac:dyDescent="0.3">
      <c r="A1646" s="88"/>
      <c r="B1646" s="88"/>
      <c r="C1646" s="88"/>
      <c r="D1646" s="88"/>
      <c r="E1646" s="88"/>
      <c r="F1646" s="88"/>
      <c r="G1646" s="88"/>
      <c r="H1646" s="88"/>
      <c r="I1646" s="89"/>
    </row>
    <row r="1647" spans="1:9" x14ac:dyDescent="0.3">
      <c r="A1647" s="88"/>
      <c r="B1647" s="88"/>
      <c r="C1647" s="88"/>
      <c r="D1647" s="88"/>
      <c r="E1647" s="88"/>
      <c r="F1647" s="88"/>
      <c r="G1647" s="88"/>
      <c r="H1647" s="88"/>
      <c r="I1647" s="89"/>
    </row>
    <row r="1648" spans="1:9" x14ac:dyDescent="0.3">
      <c r="A1648" s="88"/>
      <c r="B1648" s="88"/>
      <c r="C1648" s="88"/>
      <c r="D1648" s="88"/>
      <c r="E1648" s="88"/>
      <c r="F1648" s="88"/>
      <c r="G1648" s="88"/>
      <c r="H1648" s="88"/>
      <c r="I1648" s="89"/>
    </row>
    <row r="1649" spans="1:9" x14ac:dyDescent="0.3">
      <c r="A1649" s="88"/>
      <c r="B1649" s="88"/>
      <c r="C1649" s="88"/>
      <c r="D1649" s="88"/>
      <c r="E1649" s="88"/>
      <c r="F1649" s="88"/>
      <c r="G1649" s="88"/>
      <c r="H1649" s="88"/>
      <c r="I1649" s="89"/>
    </row>
    <row r="1650" spans="1:9" x14ac:dyDescent="0.3">
      <c r="A1650" s="88"/>
      <c r="B1650" s="88"/>
      <c r="C1650" s="88"/>
      <c r="D1650" s="88"/>
      <c r="E1650" s="88"/>
      <c r="F1650" s="88"/>
      <c r="G1650" s="88"/>
      <c r="H1650" s="88"/>
      <c r="I1650" s="89"/>
    </row>
    <row r="1651" spans="1:9" x14ac:dyDescent="0.3">
      <c r="A1651" s="88"/>
      <c r="B1651" s="88"/>
      <c r="C1651" s="88"/>
      <c r="D1651" s="88"/>
      <c r="E1651" s="88"/>
      <c r="F1651" s="88"/>
      <c r="G1651" s="88"/>
      <c r="H1651" s="88"/>
      <c r="I1651" s="89"/>
    </row>
    <row r="1652" spans="1:9" x14ac:dyDescent="0.3">
      <c r="A1652" s="88"/>
      <c r="B1652" s="88"/>
      <c r="C1652" s="88"/>
      <c r="D1652" s="88"/>
      <c r="E1652" s="88"/>
      <c r="F1652" s="88"/>
      <c r="G1652" s="88"/>
      <c r="H1652" s="88"/>
      <c r="I1652" s="89"/>
    </row>
    <row r="1653" spans="1:9" x14ac:dyDescent="0.3">
      <c r="A1653" s="88"/>
      <c r="B1653" s="88"/>
      <c r="C1653" s="88"/>
      <c r="D1653" s="88"/>
      <c r="E1653" s="88"/>
      <c r="F1653" s="88"/>
      <c r="G1653" s="88"/>
      <c r="H1653" s="88"/>
      <c r="I1653" s="89"/>
    </row>
    <row r="1654" spans="1:9" x14ac:dyDescent="0.3">
      <c r="A1654" s="88"/>
      <c r="B1654" s="88"/>
      <c r="C1654" s="88"/>
      <c r="D1654" s="88"/>
      <c r="E1654" s="88"/>
      <c r="F1654" s="88"/>
      <c r="G1654" s="88"/>
      <c r="H1654" s="88"/>
      <c r="I1654" s="89"/>
    </row>
    <row r="1655" spans="1:9" x14ac:dyDescent="0.3">
      <c r="A1655" s="88"/>
      <c r="B1655" s="88"/>
      <c r="C1655" s="88"/>
      <c r="D1655" s="88"/>
      <c r="E1655" s="88"/>
      <c r="F1655" s="88"/>
      <c r="G1655" s="88"/>
      <c r="H1655" s="88"/>
      <c r="I1655" s="89"/>
    </row>
    <row r="1656" spans="1:9" x14ac:dyDescent="0.3">
      <c r="A1656" s="88"/>
      <c r="B1656" s="88"/>
      <c r="C1656" s="88"/>
      <c r="D1656" s="88"/>
      <c r="E1656" s="88"/>
      <c r="F1656" s="88"/>
      <c r="G1656" s="88"/>
      <c r="H1656" s="88"/>
      <c r="I1656" s="89"/>
    </row>
    <row r="1657" spans="1:9" x14ac:dyDescent="0.3">
      <c r="A1657" s="88"/>
      <c r="B1657" s="88"/>
      <c r="C1657" s="88"/>
      <c r="D1657" s="88"/>
      <c r="E1657" s="88"/>
      <c r="F1657" s="88"/>
      <c r="G1657" s="88"/>
      <c r="H1657" s="88"/>
      <c r="I1657" s="89"/>
    </row>
    <row r="1658" spans="1:9" x14ac:dyDescent="0.3">
      <c r="A1658" s="88"/>
      <c r="B1658" s="88"/>
      <c r="C1658" s="88"/>
      <c r="D1658" s="88"/>
      <c r="E1658" s="88"/>
      <c r="F1658" s="88"/>
      <c r="G1658" s="88"/>
      <c r="H1658" s="88"/>
      <c r="I1658" s="89"/>
    </row>
    <row r="1659" spans="1:9" x14ac:dyDescent="0.3">
      <c r="A1659" s="88"/>
      <c r="B1659" s="88"/>
      <c r="C1659" s="88"/>
      <c r="D1659" s="88"/>
      <c r="E1659" s="88"/>
      <c r="F1659" s="88"/>
      <c r="G1659" s="88"/>
      <c r="H1659" s="88"/>
      <c r="I1659" s="89"/>
    </row>
    <row r="1660" spans="1:9" x14ac:dyDescent="0.3">
      <c r="A1660" s="88"/>
      <c r="B1660" s="88"/>
      <c r="C1660" s="88"/>
      <c r="D1660" s="88"/>
      <c r="E1660" s="88"/>
      <c r="F1660" s="88"/>
      <c r="G1660" s="88"/>
      <c r="H1660" s="88"/>
      <c r="I1660" s="89"/>
    </row>
    <row r="1661" spans="1:9" x14ac:dyDescent="0.3">
      <c r="A1661" s="88"/>
      <c r="B1661" s="88"/>
      <c r="C1661" s="88"/>
      <c r="D1661" s="88"/>
      <c r="E1661" s="88"/>
      <c r="F1661" s="88"/>
      <c r="G1661" s="88"/>
      <c r="H1661" s="88"/>
      <c r="I1661" s="89"/>
    </row>
    <row r="1662" spans="1:9" x14ac:dyDescent="0.3">
      <c r="A1662" s="88"/>
      <c r="B1662" s="88"/>
      <c r="C1662" s="88"/>
      <c r="D1662" s="88"/>
      <c r="E1662" s="88"/>
      <c r="F1662" s="88"/>
      <c r="G1662" s="88"/>
      <c r="H1662" s="88"/>
      <c r="I1662" s="89"/>
    </row>
    <row r="1663" spans="1:9" x14ac:dyDescent="0.3">
      <c r="A1663" s="88"/>
      <c r="B1663" s="88"/>
      <c r="C1663" s="88"/>
      <c r="D1663" s="88"/>
      <c r="E1663" s="88"/>
      <c r="F1663" s="88"/>
      <c r="G1663" s="88"/>
      <c r="H1663" s="88"/>
      <c r="I1663" s="89"/>
    </row>
    <row r="1664" spans="1:9" x14ac:dyDescent="0.3">
      <c r="A1664" s="88"/>
      <c r="B1664" s="88"/>
      <c r="C1664" s="88"/>
      <c r="D1664" s="88"/>
      <c r="E1664" s="88"/>
      <c r="F1664" s="88"/>
      <c r="G1664" s="88"/>
      <c r="H1664" s="88"/>
      <c r="I1664" s="89"/>
    </row>
    <row r="1665" spans="1:9" x14ac:dyDescent="0.3">
      <c r="A1665" s="88"/>
      <c r="B1665" s="88"/>
      <c r="C1665" s="88"/>
      <c r="D1665" s="88"/>
      <c r="E1665" s="88"/>
      <c r="F1665" s="88"/>
      <c r="G1665" s="88"/>
      <c r="H1665" s="88"/>
      <c r="I1665" s="89"/>
    </row>
    <row r="1666" spans="1:9" x14ac:dyDescent="0.3">
      <c r="A1666" s="88"/>
      <c r="B1666" s="88"/>
      <c r="C1666" s="88"/>
      <c r="D1666" s="88"/>
      <c r="E1666" s="88"/>
      <c r="F1666" s="88"/>
      <c r="G1666" s="88"/>
      <c r="H1666" s="88"/>
      <c r="I1666" s="89"/>
    </row>
    <row r="1667" spans="1:9" x14ac:dyDescent="0.3">
      <c r="A1667" s="88"/>
      <c r="B1667" s="88"/>
      <c r="C1667" s="88"/>
      <c r="D1667" s="88"/>
      <c r="E1667" s="88"/>
      <c r="F1667" s="88"/>
      <c r="G1667" s="88"/>
      <c r="H1667" s="88"/>
      <c r="I1667" s="89"/>
    </row>
    <row r="1668" spans="1:9" x14ac:dyDescent="0.3">
      <c r="A1668" s="88"/>
      <c r="B1668" s="88"/>
      <c r="C1668" s="88"/>
      <c r="D1668" s="88"/>
      <c r="E1668" s="88"/>
      <c r="F1668" s="88"/>
      <c r="G1668" s="88"/>
      <c r="H1668" s="88"/>
      <c r="I1668" s="89"/>
    </row>
    <row r="1669" spans="1:9" x14ac:dyDescent="0.3">
      <c r="A1669" s="88"/>
      <c r="B1669" s="88"/>
      <c r="C1669" s="88"/>
      <c r="D1669" s="88"/>
      <c r="E1669" s="88"/>
      <c r="F1669" s="88"/>
      <c r="G1669" s="88"/>
      <c r="H1669" s="88"/>
      <c r="I1669" s="89"/>
    </row>
    <row r="1670" spans="1:9" x14ac:dyDescent="0.3">
      <c r="A1670" s="88"/>
      <c r="B1670" s="88"/>
      <c r="C1670" s="88"/>
      <c r="D1670" s="88"/>
      <c r="E1670" s="88"/>
      <c r="F1670" s="88"/>
      <c r="G1670" s="88"/>
      <c r="H1670" s="88"/>
      <c r="I1670" s="89"/>
    </row>
    <row r="1671" spans="1:9" x14ac:dyDescent="0.3">
      <c r="A1671" s="88"/>
      <c r="B1671" s="88"/>
      <c r="C1671" s="88"/>
      <c r="D1671" s="88"/>
      <c r="E1671" s="88"/>
      <c r="F1671" s="88"/>
      <c r="G1671" s="88"/>
      <c r="H1671" s="88"/>
      <c r="I1671" s="89"/>
    </row>
    <row r="1672" spans="1:9" x14ac:dyDescent="0.3">
      <c r="A1672" s="88"/>
      <c r="B1672" s="88"/>
      <c r="C1672" s="88"/>
      <c r="D1672" s="88"/>
      <c r="E1672" s="88"/>
      <c r="F1672" s="88"/>
      <c r="G1672" s="88"/>
      <c r="H1672" s="88"/>
      <c r="I1672" s="89"/>
    </row>
    <row r="1673" spans="1:9" x14ac:dyDescent="0.3">
      <c r="A1673" s="88"/>
      <c r="B1673" s="88"/>
      <c r="C1673" s="88"/>
      <c r="D1673" s="88"/>
      <c r="E1673" s="88"/>
      <c r="F1673" s="88"/>
      <c r="G1673" s="88"/>
      <c r="H1673" s="88"/>
      <c r="I1673" s="89"/>
    </row>
    <row r="1674" spans="1:9" x14ac:dyDescent="0.3">
      <c r="A1674" s="88"/>
      <c r="B1674" s="88"/>
      <c r="C1674" s="88"/>
      <c r="D1674" s="88"/>
      <c r="E1674" s="88"/>
      <c r="F1674" s="88"/>
      <c r="G1674" s="88"/>
      <c r="H1674" s="88"/>
      <c r="I1674" s="89"/>
    </row>
    <row r="1675" spans="1:9" x14ac:dyDescent="0.3">
      <c r="A1675" s="88"/>
      <c r="B1675" s="88"/>
      <c r="C1675" s="88"/>
      <c r="D1675" s="88"/>
      <c r="E1675" s="88"/>
      <c r="F1675" s="88"/>
      <c r="G1675" s="88"/>
      <c r="H1675" s="88"/>
      <c r="I1675" s="89"/>
    </row>
    <row r="1676" spans="1:9" x14ac:dyDescent="0.3">
      <c r="A1676" s="88"/>
      <c r="B1676" s="88"/>
      <c r="C1676" s="88"/>
      <c r="D1676" s="88"/>
      <c r="E1676" s="88"/>
      <c r="F1676" s="88"/>
      <c r="G1676" s="88"/>
      <c r="H1676" s="88"/>
      <c r="I1676" s="89"/>
    </row>
    <row r="1677" spans="1:9" x14ac:dyDescent="0.3">
      <c r="A1677" s="88"/>
      <c r="B1677" s="88"/>
      <c r="C1677" s="88"/>
      <c r="D1677" s="88"/>
      <c r="E1677" s="88"/>
      <c r="F1677" s="88"/>
      <c r="G1677" s="88"/>
      <c r="H1677" s="88"/>
      <c r="I1677" s="89"/>
    </row>
    <row r="1678" spans="1:9" x14ac:dyDescent="0.3">
      <c r="A1678" s="88"/>
      <c r="B1678" s="88"/>
      <c r="C1678" s="88"/>
      <c r="D1678" s="88"/>
      <c r="E1678" s="88"/>
      <c r="F1678" s="88"/>
      <c r="G1678" s="88"/>
      <c r="H1678" s="88"/>
      <c r="I1678" s="89"/>
    </row>
    <row r="1679" spans="1:9" x14ac:dyDescent="0.3">
      <c r="A1679" s="88"/>
      <c r="B1679" s="88"/>
      <c r="C1679" s="88"/>
      <c r="D1679" s="88"/>
      <c r="E1679" s="88"/>
      <c r="F1679" s="88"/>
      <c r="G1679" s="88"/>
      <c r="H1679" s="88"/>
      <c r="I1679" s="89"/>
    </row>
    <row r="1680" spans="1:9" x14ac:dyDescent="0.3">
      <c r="A1680" s="88"/>
      <c r="B1680" s="88"/>
      <c r="C1680" s="88"/>
      <c r="D1680" s="88"/>
      <c r="E1680" s="88"/>
      <c r="F1680" s="88"/>
      <c r="G1680" s="88"/>
      <c r="H1680" s="88"/>
      <c r="I1680" s="89"/>
    </row>
    <row r="1681" spans="1:9" x14ac:dyDescent="0.3">
      <c r="A1681" s="88"/>
      <c r="B1681" s="88"/>
      <c r="C1681" s="88"/>
      <c r="D1681" s="88"/>
      <c r="E1681" s="88"/>
      <c r="F1681" s="88"/>
      <c r="G1681" s="88"/>
      <c r="H1681" s="88"/>
      <c r="I1681" s="89"/>
    </row>
    <row r="1682" spans="1:9" x14ac:dyDescent="0.3">
      <c r="A1682" s="88"/>
      <c r="B1682" s="88"/>
      <c r="C1682" s="88"/>
      <c r="D1682" s="88"/>
      <c r="E1682" s="88"/>
      <c r="F1682" s="88"/>
      <c r="G1682" s="88"/>
      <c r="H1682" s="88"/>
      <c r="I1682" s="89"/>
    </row>
    <row r="1683" spans="1:9" x14ac:dyDescent="0.3">
      <c r="A1683" s="88"/>
      <c r="B1683" s="88"/>
      <c r="C1683" s="88"/>
      <c r="D1683" s="88"/>
      <c r="E1683" s="88"/>
      <c r="F1683" s="88"/>
      <c r="G1683" s="88"/>
      <c r="H1683" s="88"/>
      <c r="I1683" s="89"/>
    </row>
    <row r="1684" spans="1:9" x14ac:dyDescent="0.3">
      <c r="A1684" s="88"/>
      <c r="B1684" s="88"/>
      <c r="C1684" s="88"/>
      <c r="D1684" s="88"/>
      <c r="E1684" s="88"/>
      <c r="F1684" s="88"/>
      <c r="G1684" s="88"/>
      <c r="H1684" s="88"/>
      <c r="I1684" s="89"/>
    </row>
    <row r="1685" spans="1:9" x14ac:dyDescent="0.3">
      <c r="A1685" s="88"/>
      <c r="B1685" s="88"/>
      <c r="C1685" s="88"/>
      <c r="D1685" s="88"/>
      <c r="E1685" s="88"/>
      <c r="F1685" s="88"/>
      <c r="G1685" s="88"/>
      <c r="H1685" s="88"/>
      <c r="I1685" s="89"/>
    </row>
    <row r="1686" spans="1:9" x14ac:dyDescent="0.3">
      <c r="A1686" s="88"/>
      <c r="B1686" s="88"/>
      <c r="C1686" s="88"/>
      <c r="D1686" s="88"/>
      <c r="E1686" s="88"/>
      <c r="F1686" s="88"/>
      <c r="G1686" s="88"/>
      <c r="H1686" s="88"/>
      <c r="I1686" s="89"/>
    </row>
    <row r="1687" spans="1:9" x14ac:dyDescent="0.3">
      <c r="A1687" s="88"/>
      <c r="B1687" s="88"/>
      <c r="C1687" s="88"/>
      <c r="D1687" s="88"/>
      <c r="E1687" s="88"/>
      <c r="F1687" s="88"/>
      <c r="G1687" s="88"/>
      <c r="H1687" s="88"/>
      <c r="I1687" s="89"/>
    </row>
    <row r="1688" spans="1:9" x14ac:dyDescent="0.3">
      <c r="A1688" s="88"/>
      <c r="B1688" s="88"/>
      <c r="C1688" s="88"/>
      <c r="D1688" s="88"/>
      <c r="E1688" s="88"/>
      <c r="F1688" s="88"/>
      <c r="G1688" s="88"/>
      <c r="H1688" s="88"/>
      <c r="I1688" s="89"/>
    </row>
    <row r="1689" spans="1:9" x14ac:dyDescent="0.3">
      <c r="A1689" s="88"/>
      <c r="B1689" s="88"/>
      <c r="C1689" s="88"/>
      <c r="D1689" s="88"/>
      <c r="E1689" s="88"/>
      <c r="F1689" s="88"/>
      <c r="G1689" s="88"/>
      <c r="H1689" s="88"/>
      <c r="I1689" s="89"/>
    </row>
    <row r="1690" spans="1:9" x14ac:dyDescent="0.3">
      <c r="A1690" s="88"/>
      <c r="B1690" s="88"/>
      <c r="C1690" s="88"/>
      <c r="D1690" s="88"/>
      <c r="E1690" s="88"/>
      <c r="F1690" s="88"/>
      <c r="G1690" s="88"/>
      <c r="H1690" s="88"/>
      <c r="I1690" s="89"/>
    </row>
    <row r="1691" spans="1:9" x14ac:dyDescent="0.3">
      <c r="A1691" s="88"/>
      <c r="B1691" s="88"/>
      <c r="C1691" s="88"/>
      <c r="D1691" s="88"/>
      <c r="E1691" s="88"/>
      <c r="F1691" s="88"/>
      <c r="G1691" s="88"/>
      <c r="H1691" s="88"/>
      <c r="I1691" s="89"/>
    </row>
    <row r="1692" spans="1:9" x14ac:dyDescent="0.3">
      <c r="A1692" s="88"/>
      <c r="B1692" s="88"/>
      <c r="C1692" s="88"/>
      <c r="D1692" s="88"/>
      <c r="E1692" s="88"/>
      <c r="F1692" s="88"/>
      <c r="G1692" s="88"/>
      <c r="H1692" s="88"/>
      <c r="I1692" s="89"/>
    </row>
    <row r="1693" spans="1:9" x14ac:dyDescent="0.3">
      <c r="A1693" s="88"/>
      <c r="B1693" s="88"/>
      <c r="C1693" s="88"/>
      <c r="D1693" s="88"/>
      <c r="E1693" s="88"/>
      <c r="F1693" s="88"/>
      <c r="G1693" s="88"/>
      <c r="H1693" s="88"/>
      <c r="I1693" s="89"/>
    </row>
    <row r="1694" spans="1:9" x14ac:dyDescent="0.3">
      <c r="A1694" s="88"/>
      <c r="B1694" s="88"/>
      <c r="C1694" s="88"/>
      <c r="D1694" s="88"/>
      <c r="E1694" s="88"/>
      <c r="F1694" s="88"/>
      <c r="G1694" s="88"/>
      <c r="H1694" s="88"/>
      <c r="I1694" s="89"/>
    </row>
    <row r="1695" spans="1:9" x14ac:dyDescent="0.3">
      <c r="A1695" s="88"/>
      <c r="B1695" s="88"/>
      <c r="C1695" s="88"/>
      <c r="D1695" s="88"/>
      <c r="E1695" s="88"/>
      <c r="F1695" s="88"/>
      <c r="G1695" s="88"/>
      <c r="H1695" s="88"/>
      <c r="I1695" s="89"/>
    </row>
    <row r="1696" spans="1:9" x14ac:dyDescent="0.3">
      <c r="A1696" s="88"/>
      <c r="B1696" s="88"/>
      <c r="C1696" s="88"/>
      <c r="D1696" s="88"/>
      <c r="E1696" s="88"/>
      <c r="F1696" s="88"/>
      <c r="G1696" s="88"/>
      <c r="H1696" s="88"/>
      <c r="I1696" s="89"/>
    </row>
    <row r="1697" spans="1:9" x14ac:dyDescent="0.3">
      <c r="A1697" s="88"/>
      <c r="B1697" s="88"/>
      <c r="C1697" s="88"/>
      <c r="D1697" s="88"/>
      <c r="E1697" s="88"/>
      <c r="F1697" s="88"/>
      <c r="G1697" s="88"/>
      <c r="H1697" s="88"/>
      <c r="I1697" s="89"/>
    </row>
    <row r="1698" spans="1:9" x14ac:dyDescent="0.3">
      <c r="A1698" s="88"/>
      <c r="B1698" s="88"/>
      <c r="C1698" s="88"/>
      <c r="D1698" s="88"/>
      <c r="E1698" s="88"/>
      <c r="F1698" s="88"/>
      <c r="G1698" s="88"/>
      <c r="H1698" s="88"/>
      <c r="I1698" s="89"/>
    </row>
    <row r="1699" spans="1:9" x14ac:dyDescent="0.3">
      <c r="A1699" s="88"/>
      <c r="B1699" s="88"/>
      <c r="C1699" s="88"/>
      <c r="D1699" s="88"/>
      <c r="E1699" s="88"/>
      <c r="F1699" s="88"/>
      <c r="G1699" s="88"/>
      <c r="H1699" s="88"/>
      <c r="I1699" s="89"/>
    </row>
    <row r="1700" spans="1:9" x14ac:dyDescent="0.3">
      <c r="A1700" s="88"/>
      <c r="B1700" s="88"/>
      <c r="C1700" s="88"/>
      <c r="D1700" s="88"/>
      <c r="E1700" s="88"/>
      <c r="F1700" s="88"/>
      <c r="G1700" s="88"/>
      <c r="H1700" s="88"/>
      <c r="I1700" s="89"/>
    </row>
    <row r="1701" spans="1:9" x14ac:dyDescent="0.3">
      <c r="A1701" s="88"/>
      <c r="B1701" s="88"/>
      <c r="C1701" s="88"/>
      <c r="D1701" s="88"/>
      <c r="E1701" s="88"/>
      <c r="F1701" s="88"/>
      <c r="G1701" s="88"/>
      <c r="H1701" s="88"/>
      <c r="I1701" s="89"/>
    </row>
    <row r="1702" spans="1:9" x14ac:dyDescent="0.3">
      <c r="A1702" s="88"/>
      <c r="B1702" s="88"/>
      <c r="C1702" s="88"/>
      <c r="D1702" s="88"/>
      <c r="E1702" s="88"/>
      <c r="F1702" s="88"/>
      <c r="G1702" s="88"/>
      <c r="H1702" s="88"/>
      <c r="I1702" s="89"/>
    </row>
    <row r="1703" spans="1:9" x14ac:dyDescent="0.3">
      <c r="A1703" s="88"/>
      <c r="B1703" s="88"/>
      <c r="C1703" s="88"/>
      <c r="D1703" s="88"/>
      <c r="E1703" s="88"/>
      <c r="F1703" s="88"/>
      <c r="G1703" s="88"/>
      <c r="H1703" s="88"/>
      <c r="I1703" s="89"/>
    </row>
    <row r="1704" spans="1:9" x14ac:dyDescent="0.3">
      <c r="A1704" s="88"/>
      <c r="B1704" s="88"/>
      <c r="C1704" s="88"/>
      <c r="D1704" s="88"/>
      <c r="E1704" s="88"/>
      <c r="F1704" s="88"/>
      <c r="G1704" s="88"/>
      <c r="H1704" s="88"/>
      <c r="I1704" s="89"/>
    </row>
    <row r="1705" spans="1:9" x14ac:dyDescent="0.3">
      <c r="A1705" s="88"/>
      <c r="B1705" s="88"/>
      <c r="C1705" s="88"/>
      <c r="D1705" s="88"/>
      <c r="E1705" s="88"/>
      <c r="F1705" s="88"/>
      <c r="G1705" s="88"/>
      <c r="H1705" s="88"/>
      <c r="I1705" s="89"/>
    </row>
    <row r="1706" spans="1:9" x14ac:dyDescent="0.3">
      <c r="A1706" s="88"/>
      <c r="B1706" s="88"/>
      <c r="C1706" s="88"/>
      <c r="D1706" s="88"/>
      <c r="E1706" s="88"/>
      <c r="F1706" s="88"/>
      <c r="G1706" s="88"/>
      <c r="H1706" s="88"/>
      <c r="I1706" s="89"/>
    </row>
    <row r="1707" spans="1:9" x14ac:dyDescent="0.3">
      <c r="A1707" s="88"/>
      <c r="B1707" s="88"/>
      <c r="C1707" s="88"/>
      <c r="D1707" s="88"/>
      <c r="E1707" s="88"/>
      <c r="F1707" s="88"/>
      <c r="G1707" s="88"/>
      <c r="H1707" s="88"/>
      <c r="I1707" s="89"/>
    </row>
    <row r="1708" spans="1:9" x14ac:dyDescent="0.3">
      <c r="A1708" s="88"/>
      <c r="B1708" s="88"/>
      <c r="C1708" s="88"/>
      <c r="D1708" s="88"/>
      <c r="E1708" s="88"/>
      <c r="F1708" s="88"/>
      <c r="G1708" s="88"/>
      <c r="H1708" s="88"/>
      <c r="I1708" s="89"/>
    </row>
    <row r="1709" spans="1:9" x14ac:dyDescent="0.3">
      <c r="A1709" s="88"/>
      <c r="B1709" s="88"/>
      <c r="C1709" s="88"/>
      <c r="D1709" s="88"/>
      <c r="E1709" s="88"/>
      <c r="F1709" s="88"/>
      <c r="G1709" s="88"/>
      <c r="H1709" s="88"/>
      <c r="I1709" s="89"/>
    </row>
    <row r="1710" spans="1:9" x14ac:dyDescent="0.3">
      <c r="A1710" s="88"/>
      <c r="B1710" s="88"/>
      <c r="C1710" s="88"/>
      <c r="D1710" s="88"/>
      <c r="E1710" s="88"/>
      <c r="F1710" s="88"/>
      <c r="G1710" s="88"/>
      <c r="H1710" s="88"/>
      <c r="I1710" s="89"/>
    </row>
    <row r="1711" spans="1:9" x14ac:dyDescent="0.3">
      <c r="A1711" s="88"/>
      <c r="B1711" s="88"/>
      <c r="C1711" s="88"/>
      <c r="D1711" s="88"/>
      <c r="E1711" s="88"/>
      <c r="F1711" s="88"/>
      <c r="G1711" s="88"/>
      <c r="H1711" s="88"/>
      <c r="I1711" s="89"/>
    </row>
    <row r="1712" spans="1:9" x14ac:dyDescent="0.3">
      <c r="A1712" s="88"/>
      <c r="B1712" s="88"/>
      <c r="C1712" s="88"/>
      <c r="D1712" s="88"/>
      <c r="E1712" s="88"/>
      <c r="F1712" s="88"/>
      <c r="G1712" s="88"/>
      <c r="H1712" s="88"/>
      <c r="I1712" s="89"/>
    </row>
    <row r="1713" spans="1:9" x14ac:dyDescent="0.3">
      <c r="A1713" s="88"/>
      <c r="B1713" s="88"/>
      <c r="C1713" s="88"/>
      <c r="D1713" s="88"/>
      <c r="E1713" s="88"/>
      <c r="F1713" s="88"/>
      <c r="G1713" s="88"/>
      <c r="H1713" s="88"/>
      <c r="I1713" s="89"/>
    </row>
    <row r="1714" spans="1:9" x14ac:dyDescent="0.3">
      <c r="A1714" s="88"/>
      <c r="B1714" s="88"/>
      <c r="C1714" s="88"/>
      <c r="D1714" s="88"/>
      <c r="E1714" s="88"/>
      <c r="F1714" s="88"/>
      <c r="G1714" s="88"/>
      <c r="H1714" s="88"/>
      <c r="I1714" s="89"/>
    </row>
    <row r="1715" spans="1:9" x14ac:dyDescent="0.3">
      <c r="A1715" s="88"/>
      <c r="B1715" s="88"/>
      <c r="C1715" s="88"/>
      <c r="D1715" s="88"/>
      <c r="E1715" s="88"/>
      <c r="F1715" s="88"/>
      <c r="G1715" s="88"/>
      <c r="H1715" s="88"/>
      <c r="I1715" s="89"/>
    </row>
    <row r="1716" spans="1:9" x14ac:dyDescent="0.3">
      <c r="A1716" s="88"/>
      <c r="B1716" s="88"/>
      <c r="C1716" s="88"/>
      <c r="D1716" s="88"/>
      <c r="E1716" s="88"/>
      <c r="F1716" s="88"/>
      <c r="G1716" s="88"/>
      <c r="H1716" s="88"/>
      <c r="I1716" s="89"/>
    </row>
    <row r="1717" spans="1:9" x14ac:dyDescent="0.3">
      <c r="A1717" s="88"/>
      <c r="B1717" s="88"/>
      <c r="C1717" s="88"/>
      <c r="D1717" s="88"/>
      <c r="E1717" s="88"/>
      <c r="F1717" s="88"/>
      <c r="G1717" s="88"/>
      <c r="H1717" s="88"/>
      <c r="I1717" s="89"/>
    </row>
    <row r="1718" spans="1:9" x14ac:dyDescent="0.3">
      <c r="A1718" s="88"/>
      <c r="B1718" s="88"/>
      <c r="C1718" s="88"/>
      <c r="D1718" s="88"/>
      <c r="E1718" s="88"/>
      <c r="F1718" s="88"/>
      <c r="G1718" s="88"/>
      <c r="H1718" s="88"/>
      <c r="I1718" s="89"/>
    </row>
    <row r="1719" spans="1:9" x14ac:dyDescent="0.3">
      <c r="A1719" s="88"/>
      <c r="B1719" s="88"/>
      <c r="C1719" s="88"/>
      <c r="D1719" s="88"/>
      <c r="E1719" s="88"/>
      <c r="F1719" s="88"/>
      <c r="G1719" s="88"/>
      <c r="H1719" s="88"/>
      <c r="I1719" s="89"/>
    </row>
    <row r="1720" spans="1:9" x14ac:dyDescent="0.3">
      <c r="A1720" s="88"/>
      <c r="B1720" s="88"/>
      <c r="C1720" s="88"/>
      <c r="D1720" s="88"/>
      <c r="E1720" s="88"/>
      <c r="F1720" s="88"/>
      <c r="G1720" s="88"/>
      <c r="H1720" s="88"/>
      <c r="I1720" s="89"/>
    </row>
    <row r="1721" spans="1:9" x14ac:dyDescent="0.3">
      <c r="A1721" s="88"/>
      <c r="B1721" s="88"/>
      <c r="C1721" s="88"/>
      <c r="D1721" s="88"/>
      <c r="E1721" s="88"/>
      <c r="F1721" s="88"/>
      <c r="G1721" s="88"/>
      <c r="H1721" s="88"/>
      <c r="I1721" s="89"/>
    </row>
    <row r="1722" spans="1:9" x14ac:dyDescent="0.3">
      <c r="A1722" s="88"/>
      <c r="B1722" s="88"/>
      <c r="C1722" s="88"/>
      <c r="D1722" s="88"/>
      <c r="E1722" s="88"/>
      <c r="F1722" s="88"/>
      <c r="G1722" s="88"/>
      <c r="H1722" s="88"/>
      <c r="I1722" s="89"/>
    </row>
    <row r="1723" spans="1:9" x14ac:dyDescent="0.3">
      <c r="A1723" s="88"/>
      <c r="B1723" s="88"/>
      <c r="C1723" s="88"/>
      <c r="D1723" s="88"/>
      <c r="E1723" s="88"/>
      <c r="F1723" s="88"/>
      <c r="G1723" s="88"/>
      <c r="H1723" s="88"/>
      <c r="I1723" s="89"/>
    </row>
    <row r="1724" spans="1:9" x14ac:dyDescent="0.3">
      <c r="A1724" s="88"/>
      <c r="B1724" s="88"/>
      <c r="C1724" s="88"/>
      <c r="D1724" s="88"/>
      <c r="E1724" s="88"/>
      <c r="F1724" s="88"/>
      <c r="G1724" s="88"/>
      <c r="H1724" s="88"/>
      <c r="I1724" s="89"/>
    </row>
    <row r="1725" spans="1:9" x14ac:dyDescent="0.3">
      <c r="A1725" s="88"/>
      <c r="B1725" s="88"/>
      <c r="C1725" s="88"/>
      <c r="D1725" s="88"/>
      <c r="E1725" s="88"/>
      <c r="F1725" s="88"/>
      <c r="G1725" s="88"/>
      <c r="H1725" s="88"/>
      <c r="I1725" s="89"/>
    </row>
    <row r="1726" spans="1:9" x14ac:dyDescent="0.3">
      <c r="A1726" s="88"/>
      <c r="B1726" s="88"/>
      <c r="C1726" s="88"/>
      <c r="D1726" s="88"/>
      <c r="E1726" s="88"/>
      <c r="F1726" s="88"/>
      <c r="G1726" s="88"/>
      <c r="H1726" s="88"/>
      <c r="I1726" s="89"/>
    </row>
    <row r="1727" spans="1:9" x14ac:dyDescent="0.3">
      <c r="A1727" s="88"/>
      <c r="B1727" s="88"/>
      <c r="C1727" s="88"/>
      <c r="D1727" s="88"/>
      <c r="E1727" s="88"/>
      <c r="F1727" s="88"/>
      <c r="G1727" s="88"/>
      <c r="H1727" s="88"/>
      <c r="I1727" s="89"/>
    </row>
    <row r="1728" spans="1:9" x14ac:dyDescent="0.3">
      <c r="A1728" s="88"/>
      <c r="B1728" s="88"/>
      <c r="C1728" s="88"/>
      <c r="D1728" s="88"/>
      <c r="E1728" s="88"/>
      <c r="F1728" s="88"/>
      <c r="G1728" s="88"/>
      <c r="H1728" s="88"/>
      <c r="I1728" s="89"/>
    </row>
    <row r="1729" spans="1:9" x14ac:dyDescent="0.3">
      <c r="A1729" s="88"/>
      <c r="B1729" s="88"/>
      <c r="C1729" s="88"/>
      <c r="D1729" s="88"/>
      <c r="E1729" s="88"/>
      <c r="F1729" s="88"/>
      <c r="G1729" s="88"/>
      <c r="H1729" s="88"/>
      <c r="I1729" s="89"/>
    </row>
    <row r="1730" spans="1:9" x14ac:dyDescent="0.3">
      <c r="A1730" s="88"/>
      <c r="B1730" s="88"/>
      <c r="C1730" s="88"/>
      <c r="D1730" s="88"/>
      <c r="E1730" s="88"/>
      <c r="F1730" s="88"/>
      <c r="G1730" s="88"/>
      <c r="H1730" s="88"/>
      <c r="I1730" s="89"/>
    </row>
    <row r="1731" spans="1:9" x14ac:dyDescent="0.3">
      <c r="A1731" s="88"/>
      <c r="B1731" s="88"/>
      <c r="C1731" s="88"/>
      <c r="D1731" s="88"/>
      <c r="E1731" s="88"/>
      <c r="F1731" s="88"/>
      <c r="G1731" s="88"/>
      <c r="H1731" s="88"/>
      <c r="I1731" s="89"/>
    </row>
    <row r="1732" spans="1:9" x14ac:dyDescent="0.3">
      <c r="A1732" s="88"/>
      <c r="B1732" s="88"/>
      <c r="C1732" s="88"/>
      <c r="D1732" s="88"/>
      <c r="E1732" s="88"/>
      <c r="F1732" s="88"/>
      <c r="G1732" s="88"/>
      <c r="H1732" s="88"/>
      <c r="I1732" s="89"/>
    </row>
    <row r="1733" spans="1:9" x14ac:dyDescent="0.3">
      <c r="A1733" s="88"/>
      <c r="B1733" s="88"/>
      <c r="C1733" s="88"/>
      <c r="D1733" s="88"/>
      <c r="E1733" s="88"/>
      <c r="F1733" s="88"/>
      <c r="G1733" s="88"/>
      <c r="H1733" s="88"/>
      <c r="I1733" s="89"/>
    </row>
    <row r="1734" spans="1:9" x14ac:dyDescent="0.3">
      <c r="A1734" s="88"/>
      <c r="B1734" s="88"/>
      <c r="C1734" s="88"/>
      <c r="D1734" s="88"/>
      <c r="E1734" s="88"/>
      <c r="F1734" s="88"/>
      <c r="G1734" s="88"/>
      <c r="H1734" s="88"/>
      <c r="I1734" s="89"/>
    </row>
    <row r="1735" spans="1:9" x14ac:dyDescent="0.3">
      <c r="A1735" s="88"/>
      <c r="B1735" s="88"/>
      <c r="C1735" s="88"/>
      <c r="D1735" s="88"/>
      <c r="E1735" s="88"/>
      <c r="F1735" s="88"/>
      <c r="G1735" s="88"/>
      <c r="H1735" s="88"/>
      <c r="I1735" s="89"/>
    </row>
    <row r="1736" spans="1:9" x14ac:dyDescent="0.3">
      <c r="A1736" s="88"/>
      <c r="B1736" s="88"/>
      <c r="C1736" s="88"/>
      <c r="D1736" s="88"/>
      <c r="E1736" s="88"/>
      <c r="F1736" s="88"/>
      <c r="G1736" s="88"/>
      <c r="H1736" s="88"/>
      <c r="I1736" s="89"/>
    </row>
    <row r="1737" spans="1:9" x14ac:dyDescent="0.3">
      <c r="A1737" s="88"/>
      <c r="B1737" s="88"/>
      <c r="C1737" s="88"/>
      <c r="D1737" s="88"/>
      <c r="E1737" s="88"/>
      <c r="F1737" s="88"/>
      <c r="G1737" s="88"/>
      <c r="H1737" s="88"/>
      <c r="I1737" s="89"/>
    </row>
    <row r="1738" spans="1:9" x14ac:dyDescent="0.3">
      <c r="A1738" s="88"/>
      <c r="B1738" s="88"/>
      <c r="C1738" s="88"/>
      <c r="D1738" s="88"/>
      <c r="E1738" s="88"/>
      <c r="F1738" s="88"/>
      <c r="G1738" s="88"/>
      <c r="H1738" s="88"/>
      <c r="I1738" s="89"/>
    </row>
    <row r="1739" spans="1:9" x14ac:dyDescent="0.3">
      <c r="A1739" s="88"/>
      <c r="B1739" s="88"/>
      <c r="C1739" s="88"/>
      <c r="D1739" s="88"/>
      <c r="E1739" s="88"/>
      <c r="F1739" s="88"/>
      <c r="G1739" s="88"/>
      <c r="H1739" s="88"/>
      <c r="I1739" s="89"/>
    </row>
    <row r="1740" spans="1:9" x14ac:dyDescent="0.3">
      <c r="A1740" s="88"/>
      <c r="B1740" s="88"/>
      <c r="C1740" s="88"/>
      <c r="D1740" s="88"/>
      <c r="E1740" s="88"/>
      <c r="F1740" s="88"/>
      <c r="G1740" s="88"/>
      <c r="H1740" s="88"/>
      <c r="I1740" s="89"/>
    </row>
    <row r="1741" spans="1:9" x14ac:dyDescent="0.3">
      <c r="A1741" s="88"/>
      <c r="B1741" s="88"/>
      <c r="C1741" s="88"/>
      <c r="D1741" s="88"/>
      <c r="E1741" s="88"/>
      <c r="F1741" s="88"/>
      <c r="G1741" s="88"/>
      <c r="H1741" s="88"/>
      <c r="I1741" s="89"/>
    </row>
    <row r="1742" spans="1:9" x14ac:dyDescent="0.3">
      <c r="A1742" s="88"/>
      <c r="B1742" s="88"/>
      <c r="C1742" s="88"/>
      <c r="D1742" s="88"/>
      <c r="E1742" s="88"/>
      <c r="F1742" s="88"/>
      <c r="G1742" s="88"/>
      <c r="H1742" s="88"/>
      <c r="I1742" s="89"/>
    </row>
    <row r="1743" spans="1:9" x14ac:dyDescent="0.3">
      <c r="A1743" s="88"/>
      <c r="B1743" s="88"/>
      <c r="C1743" s="88"/>
      <c r="D1743" s="88"/>
      <c r="E1743" s="88"/>
      <c r="F1743" s="88"/>
      <c r="G1743" s="88"/>
      <c r="H1743" s="88"/>
      <c r="I1743" s="89"/>
    </row>
    <row r="1744" spans="1:9" x14ac:dyDescent="0.3">
      <c r="A1744" s="88"/>
      <c r="B1744" s="88"/>
      <c r="C1744" s="88"/>
      <c r="D1744" s="88"/>
      <c r="E1744" s="88"/>
      <c r="F1744" s="88"/>
      <c r="G1744" s="88"/>
      <c r="H1744" s="88"/>
      <c r="I1744" s="89"/>
    </row>
    <row r="1745" spans="1:9" x14ac:dyDescent="0.3">
      <c r="A1745" s="88"/>
      <c r="B1745" s="88"/>
      <c r="C1745" s="88"/>
      <c r="D1745" s="88"/>
      <c r="E1745" s="88"/>
      <c r="F1745" s="88"/>
      <c r="G1745" s="88"/>
      <c r="H1745" s="88"/>
      <c r="I1745" s="89"/>
    </row>
    <row r="1746" spans="1:9" x14ac:dyDescent="0.3">
      <c r="A1746" s="88"/>
      <c r="B1746" s="88"/>
      <c r="C1746" s="88"/>
      <c r="D1746" s="88"/>
      <c r="E1746" s="88"/>
      <c r="F1746" s="88"/>
      <c r="G1746" s="88"/>
      <c r="H1746" s="88"/>
      <c r="I1746" s="89"/>
    </row>
    <row r="1747" spans="1:9" x14ac:dyDescent="0.3">
      <c r="A1747" s="88"/>
      <c r="B1747" s="88"/>
      <c r="C1747" s="88"/>
      <c r="D1747" s="88"/>
      <c r="E1747" s="88"/>
      <c r="F1747" s="88"/>
      <c r="G1747" s="88"/>
      <c r="H1747" s="88"/>
      <c r="I1747" s="89"/>
    </row>
    <row r="1748" spans="1:9" x14ac:dyDescent="0.3">
      <c r="A1748" s="88"/>
      <c r="B1748" s="88"/>
      <c r="C1748" s="88"/>
      <c r="D1748" s="88"/>
      <c r="E1748" s="88"/>
      <c r="F1748" s="88"/>
      <c r="G1748" s="88"/>
      <c r="H1748" s="88"/>
      <c r="I1748" s="89"/>
    </row>
    <row r="1749" spans="1:9" x14ac:dyDescent="0.3">
      <c r="A1749" s="88"/>
      <c r="B1749" s="88"/>
      <c r="C1749" s="88"/>
      <c r="D1749" s="88"/>
      <c r="E1749" s="88"/>
      <c r="F1749" s="88"/>
      <c r="G1749" s="88"/>
      <c r="H1749" s="88"/>
      <c r="I1749" s="89"/>
    </row>
    <row r="1750" spans="1:9" x14ac:dyDescent="0.3">
      <c r="A1750" s="88"/>
      <c r="B1750" s="88"/>
      <c r="C1750" s="88"/>
      <c r="D1750" s="88"/>
      <c r="E1750" s="88"/>
      <c r="F1750" s="88"/>
      <c r="G1750" s="88"/>
      <c r="H1750" s="88"/>
      <c r="I1750" s="89"/>
    </row>
    <row r="1751" spans="1:9" x14ac:dyDescent="0.3">
      <c r="A1751" s="88"/>
      <c r="B1751" s="88"/>
      <c r="C1751" s="88"/>
      <c r="D1751" s="88"/>
      <c r="E1751" s="88"/>
      <c r="F1751" s="88"/>
      <c r="G1751" s="88"/>
      <c r="H1751" s="88"/>
      <c r="I1751" s="89"/>
    </row>
    <row r="1752" spans="1:9" x14ac:dyDescent="0.3">
      <c r="A1752" s="88"/>
      <c r="B1752" s="88"/>
      <c r="C1752" s="88"/>
      <c r="D1752" s="88"/>
      <c r="E1752" s="88"/>
      <c r="F1752" s="88"/>
      <c r="G1752" s="88"/>
      <c r="H1752" s="88"/>
      <c r="I1752" s="89"/>
    </row>
    <row r="1753" spans="1:9" x14ac:dyDescent="0.3">
      <c r="A1753" s="88"/>
      <c r="B1753" s="88"/>
      <c r="C1753" s="88"/>
      <c r="D1753" s="88"/>
      <c r="E1753" s="88"/>
      <c r="F1753" s="88"/>
      <c r="G1753" s="88"/>
      <c r="H1753" s="88"/>
      <c r="I1753" s="89"/>
    </row>
    <row r="1754" spans="1:9" x14ac:dyDescent="0.3">
      <c r="A1754" s="88"/>
      <c r="B1754" s="88"/>
      <c r="C1754" s="88"/>
      <c r="D1754" s="88"/>
      <c r="E1754" s="88"/>
      <c r="F1754" s="88"/>
      <c r="G1754" s="88"/>
      <c r="H1754" s="88"/>
      <c r="I1754" s="89"/>
    </row>
    <row r="1755" spans="1:9" x14ac:dyDescent="0.3">
      <c r="A1755" s="88"/>
      <c r="B1755" s="88"/>
      <c r="C1755" s="88"/>
      <c r="D1755" s="88"/>
      <c r="E1755" s="88"/>
      <c r="F1755" s="88"/>
      <c r="G1755" s="88"/>
      <c r="H1755" s="88"/>
      <c r="I1755" s="89"/>
    </row>
    <row r="1756" spans="1:9" x14ac:dyDescent="0.3">
      <c r="A1756" s="88"/>
      <c r="B1756" s="88"/>
      <c r="C1756" s="88"/>
      <c r="D1756" s="88"/>
      <c r="E1756" s="88"/>
      <c r="F1756" s="88"/>
      <c r="G1756" s="88"/>
      <c r="H1756" s="88"/>
      <c r="I1756" s="89"/>
    </row>
    <row r="1757" spans="1:9" x14ac:dyDescent="0.3">
      <c r="A1757" s="88"/>
      <c r="B1757" s="88"/>
      <c r="C1757" s="88"/>
      <c r="D1757" s="88"/>
      <c r="E1757" s="88"/>
      <c r="F1757" s="88"/>
      <c r="G1757" s="88"/>
      <c r="H1757" s="88"/>
      <c r="I1757" s="89"/>
    </row>
    <row r="1758" spans="1:9" x14ac:dyDescent="0.3">
      <c r="A1758" s="88"/>
      <c r="B1758" s="88"/>
      <c r="C1758" s="88"/>
      <c r="D1758" s="88"/>
      <c r="E1758" s="88"/>
      <c r="F1758" s="88"/>
      <c r="G1758" s="88"/>
      <c r="H1758" s="88"/>
      <c r="I1758" s="89"/>
    </row>
    <row r="1759" spans="1:9" x14ac:dyDescent="0.3">
      <c r="A1759" s="88"/>
      <c r="B1759" s="88"/>
      <c r="C1759" s="88"/>
      <c r="D1759" s="88"/>
      <c r="E1759" s="88"/>
      <c r="F1759" s="88"/>
      <c r="G1759" s="88"/>
      <c r="H1759" s="88"/>
      <c r="I1759" s="89"/>
    </row>
    <row r="1760" spans="1:9" x14ac:dyDescent="0.3">
      <c r="A1760" s="88"/>
      <c r="B1760" s="88"/>
      <c r="C1760" s="88"/>
      <c r="D1760" s="88"/>
      <c r="E1760" s="88"/>
      <c r="F1760" s="88"/>
      <c r="G1760" s="88"/>
      <c r="H1760" s="88"/>
      <c r="I1760" s="89"/>
    </row>
    <row r="1761" spans="1:9" x14ac:dyDescent="0.3">
      <c r="A1761" s="88"/>
      <c r="B1761" s="88"/>
      <c r="C1761" s="88"/>
      <c r="D1761" s="88"/>
      <c r="E1761" s="88"/>
      <c r="F1761" s="88"/>
      <c r="G1761" s="88"/>
      <c r="H1761" s="88"/>
      <c r="I1761" s="89"/>
    </row>
    <row r="1762" spans="1:9" x14ac:dyDescent="0.3">
      <c r="A1762" s="88"/>
      <c r="B1762" s="88"/>
      <c r="C1762" s="88"/>
      <c r="D1762" s="88"/>
      <c r="E1762" s="88"/>
      <c r="F1762" s="88"/>
      <c r="G1762" s="88"/>
      <c r="H1762" s="88"/>
      <c r="I1762" s="89"/>
    </row>
    <row r="1763" spans="1:9" x14ac:dyDescent="0.3">
      <c r="A1763" s="88"/>
      <c r="B1763" s="88"/>
      <c r="C1763" s="88"/>
      <c r="D1763" s="88"/>
      <c r="E1763" s="88"/>
      <c r="F1763" s="88"/>
      <c r="G1763" s="88"/>
      <c r="H1763" s="88"/>
      <c r="I1763" s="89"/>
    </row>
    <row r="1764" spans="1:9" x14ac:dyDescent="0.3">
      <c r="A1764" s="88"/>
      <c r="B1764" s="88"/>
      <c r="C1764" s="88"/>
      <c r="D1764" s="88"/>
      <c r="E1764" s="88"/>
      <c r="F1764" s="88"/>
      <c r="G1764" s="88"/>
      <c r="H1764" s="88"/>
      <c r="I1764" s="89"/>
    </row>
    <row r="1765" spans="1:9" x14ac:dyDescent="0.3">
      <c r="A1765" s="88"/>
      <c r="B1765" s="88"/>
      <c r="C1765" s="88"/>
      <c r="D1765" s="88"/>
      <c r="E1765" s="88"/>
      <c r="F1765" s="88"/>
      <c r="G1765" s="88"/>
      <c r="H1765" s="88"/>
      <c r="I1765" s="89"/>
    </row>
    <row r="1766" spans="1:9" x14ac:dyDescent="0.3">
      <c r="A1766" s="88"/>
      <c r="B1766" s="88"/>
      <c r="C1766" s="88"/>
      <c r="D1766" s="88"/>
      <c r="E1766" s="88"/>
      <c r="F1766" s="88"/>
      <c r="G1766" s="88"/>
      <c r="H1766" s="88"/>
      <c r="I1766" s="89"/>
    </row>
    <row r="1767" spans="1:9" x14ac:dyDescent="0.3">
      <c r="A1767" s="88"/>
      <c r="B1767" s="88"/>
      <c r="C1767" s="88"/>
      <c r="D1767" s="88"/>
      <c r="E1767" s="88"/>
      <c r="F1767" s="88"/>
      <c r="G1767" s="88"/>
      <c r="H1767" s="88"/>
      <c r="I1767" s="89"/>
    </row>
    <row r="1768" spans="1:9" x14ac:dyDescent="0.3">
      <c r="A1768" s="88"/>
      <c r="B1768" s="88"/>
      <c r="C1768" s="88"/>
      <c r="D1768" s="88"/>
      <c r="E1768" s="88"/>
      <c r="F1768" s="88"/>
      <c r="G1768" s="88"/>
      <c r="H1768" s="88"/>
      <c r="I1768" s="89"/>
    </row>
    <row r="1769" spans="1:9" x14ac:dyDescent="0.3">
      <c r="A1769" s="88"/>
      <c r="B1769" s="88"/>
      <c r="C1769" s="88"/>
      <c r="D1769" s="88"/>
      <c r="E1769" s="88"/>
      <c r="F1769" s="88"/>
      <c r="G1769" s="88"/>
      <c r="H1769" s="88"/>
      <c r="I1769" s="89"/>
    </row>
    <row r="1770" spans="1:9" x14ac:dyDescent="0.3">
      <c r="A1770" s="88"/>
      <c r="B1770" s="88"/>
      <c r="C1770" s="88"/>
      <c r="D1770" s="88"/>
      <c r="E1770" s="88"/>
      <c r="F1770" s="88"/>
      <c r="G1770" s="88"/>
      <c r="H1770" s="88"/>
      <c r="I1770" s="89"/>
    </row>
    <row r="1771" spans="1:9" x14ac:dyDescent="0.3">
      <c r="A1771" s="88"/>
      <c r="B1771" s="88"/>
      <c r="C1771" s="88"/>
      <c r="D1771" s="88"/>
      <c r="E1771" s="88"/>
      <c r="F1771" s="88"/>
      <c r="G1771" s="88"/>
      <c r="H1771" s="88"/>
      <c r="I1771" s="89"/>
    </row>
    <row r="1772" spans="1:9" x14ac:dyDescent="0.3">
      <c r="A1772" s="88"/>
      <c r="B1772" s="88"/>
      <c r="C1772" s="88"/>
      <c r="D1772" s="88"/>
      <c r="E1772" s="88"/>
      <c r="F1772" s="88"/>
      <c r="G1772" s="88"/>
      <c r="H1772" s="88"/>
      <c r="I1772" s="89"/>
    </row>
    <row r="1773" spans="1:9" x14ac:dyDescent="0.3">
      <c r="A1773" s="88"/>
      <c r="B1773" s="88"/>
      <c r="C1773" s="88"/>
      <c r="D1773" s="88"/>
      <c r="E1773" s="88"/>
      <c r="F1773" s="88"/>
      <c r="G1773" s="88"/>
      <c r="H1773" s="88"/>
      <c r="I1773" s="89"/>
    </row>
    <row r="1774" spans="1:9" x14ac:dyDescent="0.3">
      <c r="A1774" s="88"/>
      <c r="B1774" s="88"/>
      <c r="C1774" s="88"/>
      <c r="D1774" s="88"/>
      <c r="E1774" s="88"/>
      <c r="F1774" s="88"/>
      <c r="G1774" s="88"/>
      <c r="H1774" s="88"/>
      <c r="I1774" s="89"/>
    </row>
    <row r="1775" spans="1:9" x14ac:dyDescent="0.3">
      <c r="A1775" s="88"/>
      <c r="B1775" s="88"/>
      <c r="C1775" s="88"/>
      <c r="D1775" s="88"/>
      <c r="E1775" s="88"/>
      <c r="F1775" s="88"/>
      <c r="G1775" s="88"/>
      <c r="H1775" s="88"/>
      <c r="I1775" s="89"/>
    </row>
    <row r="1776" spans="1:9" x14ac:dyDescent="0.3">
      <c r="A1776" s="88"/>
      <c r="B1776" s="88"/>
      <c r="C1776" s="88"/>
      <c r="D1776" s="88"/>
      <c r="E1776" s="88"/>
      <c r="F1776" s="88"/>
      <c r="G1776" s="88"/>
      <c r="H1776" s="88"/>
      <c r="I1776" s="89"/>
    </row>
    <row r="1777" spans="1:9" x14ac:dyDescent="0.3">
      <c r="A1777" s="88"/>
      <c r="B1777" s="88"/>
      <c r="C1777" s="88"/>
      <c r="D1777" s="88"/>
      <c r="E1777" s="88"/>
      <c r="F1777" s="88"/>
      <c r="G1777" s="88"/>
      <c r="H1777" s="88"/>
      <c r="I1777" s="89"/>
    </row>
    <row r="1778" spans="1:9" x14ac:dyDescent="0.3">
      <c r="A1778" s="88"/>
      <c r="B1778" s="88"/>
      <c r="C1778" s="88"/>
      <c r="D1778" s="88"/>
      <c r="E1778" s="88"/>
      <c r="F1778" s="88"/>
      <c r="G1778" s="88"/>
      <c r="H1778" s="88"/>
      <c r="I1778" s="89"/>
    </row>
    <row r="1779" spans="1:9" x14ac:dyDescent="0.3">
      <c r="A1779" s="88"/>
      <c r="B1779" s="88"/>
      <c r="C1779" s="88"/>
      <c r="D1779" s="88"/>
      <c r="E1779" s="88"/>
      <c r="F1779" s="88"/>
      <c r="G1779" s="88"/>
      <c r="H1779" s="88"/>
      <c r="I1779" s="89"/>
    </row>
    <row r="1780" spans="1:9" x14ac:dyDescent="0.3">
      <c r="A1780" s="88"/>
      <c r="B1780" s="88"/>
      <c r="C1780" s="88"/>
      <c r="D1780" s="88"/>
      <c r="E1780" s="88"/>
      <c r="F1780" s="88"/>
      <c r="G1780" s="88"/>
      <c r="H1780" s="88"/>
      <c r="I1780" s="89"/>
    </row>
    <row r="1781" spans="1:9" x14ac:dyDescent="0.3">
      <c r="A1781" s="88"/>
      <c r="B1781" s="88"/>
      <c r="C1781" s="88"/>
      <c r="D1781" s="88"/>
      <c r="E1781" s="88"/>
      <c r="F1781" s="88"/>
      <c r="G1781" s="88"/>
      <c r="H1781" s="88"/>
      <c r="I1781" s="89"/>
    </row>
    <row r="1782" spans="1:9" x14ac:dyDescent="0.3">
      <c r="A1782" s="88"/>
      <c r="B1782" s="88"/>
      <c r="C1782" s="88"/>
      <c r="D1782" s="88"/>
      <c r="E1782" s="88"/>
      <c r="F1782" s="88"/>
      <c r="G1782" s="88"/>
      <c r="H1782" s="88"/>
      <c r="I1782" s="89"/>
    </row>
    <row r="1783" spans="1:9" x14ac:dyDescent="0.3">
      <c r="A1783" s="88"/>
      <c r="B1783" s="88"/>
      <c r="C1783" s="88"/>
      <c r="D1783" s="88"/>
      <c r="E1783" s="88"/>
      <c r="F1783" s="88"/>
      <c r="G1783" s="88"/>
      <c r="H1783" s="88"/>
      <c r="I1783" s="89"/>
    </row>
    <row r="1784" spans="1:9" x14ac:dyDescent="0.3">
      <c r="A1784" s="88"/>
      <c r="B1784" s="88"/>
      <c r="C1784" s="88"/>
      <c r="D1784" s="88"/>
      <c r="E1784" s="88"/>
      <c r="F1784" s="88"/>
      <c r="G1784" s="88"/>
      <c r="H1784" s="88"/>
      <c r="I1784" s="89"/>
    </row>
    <row r="1785" spans="1:9" x14ac:dyDescent="0.3">
      <c r="A1785" s="88"/>
      <c r="B1785" s="88"/>
      <c r="C1785" s="88"/>
      <c r="D1785" s="88"/>
      <c r="E1785" s="88"/>
      <c r="F1785" s="88"/>
      <c r="G1785" s="88"/>
      <c r="H1785" s="88"/>
      <c r="I1785" s="89"/>
    </row>
    <row r="1786" spans="1:9" x14ac:dyDescent="0.3">
      <c r="A1786" s="88"/>
      <c r="B1786" s="88"/>
      <c r="C1786" s="88"/>
      <c r="D1786" s="88"/>
      <c r="E1786" s="88"/>
      <c r="F1786" s="88"/>
      <c r="G1786" s="88"/>
      <c r="H1786" s="88"/>
      <c r="I1786" s="89"/>
    </row>
    <row r="1787" spans="1:9" x14ac:dyDescent="0.3">
      <c r="A1787" s="88"/>
      <c r="B1787" s="88"/>
      <c r="C1787" s="88"/>
      <c r="D1787" s="88"/>
      <c r="E1787" s="88"/>
      <c r="F1787" s="88"/>
      <c r="G1787" s="88"/>
      <c r="H1787" s="88"/>
      <c r="I1787" s="89"/>
    </row>
    <row r="1788" spans="1:9" x14ac:dyDescent="0.3">
      <c r="A1788" s="88"/>
      <c r="B1788" s="88"/>
      <c r="C1788" s="88"/>
      <c r="D1788" s="88"/>
      <c r="E1788" s="88"/>
      <c r="F1788" s="88"/>
      <c r="G1788" s="88"/>
      <c r="H1788" s="88"/>
      <c r="I1788" s="89"/>
    </row>
    <row r="1789" spans="1:9" x14ac:dyDescent="0.3">
      <c r="A1789" s="88"/>
      <c r="B1789" s="88"/>
      <c r="C1789" s="88"/>
      <c r="D1789" s="88"/>
      <c r="E1789" s="88"/>
      <c r="F1789" s="88"/>
      <c r="G1789" s="88"/>
      <c r="H1789" s="88"/>
      <c r="I1789" s="89"/>
    </row>
    <row r="1790" spans="1:9" x14ac:dyDescent="0.3">
      <c r="A1790" s="88"/>
      <c r="B1790" s="88"/>
      <c r="C1790" s="88"/>
      <c r="D1790" s="88"/>
      <c r="E1790" s="88"/>
      <c r="F1790" s="88"/>
      <c r="G1790" s="88"/>
      <c r="H1790" s="88"/>
      <c r="I1790" s="89"/>
    </row>
    <row r="1791" spans="1:9" x14ac:dyDescent="0.3">
      <c r="A1791" s="88"/>
      <c r="B1791" s="88"/>
      <c r="C1791" s="88"/>
      <c r="D1791" s="88"/>
      <c r="E1791" s="88"/>
      <c r="F1791" s="88"/>
      <c r="G1791" s="88"/>
      <c r="H1791" s="88"/>
      <c r="I1791" s="89"/>
    </row>
    <row r="1792" spans="1:9" x14ac:dyDescent="0.3">
      <c r="A1792" s="88"/>
      <c r="B1792" s="88"/>
      <c r="C1792" s="88"/>
      <c r="D1792" s="88"/>
      <c r="E1792" s="88"/>
      <c r="F1792" s="88"/>
      <c r="G1792" s="88"/>
      <c r="H1792" s="88"/>
      <c r="I1792" s="89"/>
    </row>
    <row r="1793" spans="1:9" x14ac:dyDescent="0.3">
      <c r="A1793" s="88"/>
      <c r="B1793" s="88"/>
      <c r="C1793" s="88"/>
      <c r="D1793" s="88"/>
      <c r="E1793" s="88"/>
      <c r="F1793" s="88"/>
      <c r="G1793" s="88"/>
      <c r="H1793" s="88"/>
      <c r="I1793" s="89"/>
    </row>
    <row r="1794" spans="1:9" x14ac:dyDescent="0.3">
      <c r="A1794" s="88"/>
      <c r="B1794" s="88"/>
      <c r="C1794" s="88"/>
      <c r="D1794" s="88"/>
      <c r="E1794" s="88"/>
      <c r="F1794" s="88"/>
      <c r="G1794" s="88"/>
      <c r="H1794" s="88"/>
      <c r="I1794" s="89"/>
    </row>
    <row r="1795" spans="1:9" x14ac:dyDescent="0.3">
      <c r="A1795" s="88"/>
      <c r="B1795" s="88"/>
      <c r="C1795" s="88"/>
      <c r="D1795" s="88"/>
      <c r="E1795" s="88"/>
      <c r="F1795" s="88"/>
      <c r="G1795" s="88"/>
      <c r="H1795" s="88"/>
      <c r="I1795" s="89"/>
    </row>
    <row r="1796" spans="1:9" x14ac:dyDescent="0.3">
      <c r="A1796" s="88"/>
      <c r="B1796" s="88"/>
      <c r="C1796" s="88"/>
      <c r="D1796" s="88"/>
      <c r="E1796" s="88"/>
      <c r="F1796" s="88"/>
      <c r="G1796" s="88"/>
      <c r="H1796" s="88"/>
      <c r="I1796" s="89"/>
    </row>
    <row r="1797" spans="1:9" x14ac:dyDescent="0.3">
      <c r="A1797" s="88"/>
      <c r="B1797" s="88"/>
      <c r="C1797" s="88"/>
      <c r="D1797" s="88"/>
      <c r="E1797" s="88"/>
      <c r="F1797" s="88"/>
      <c r="G1797" s="88"/>
      <c r="H1797" s="88"/>
      <c r="I1797" s="89"/>
    </row>
    <row r="1798" spans="1:9" x14ac:dyDescent="0.3">
      <c r="A1798" s="88"/>
      <c r="B1798" s="88"/>
      <c r="C1798" s="88"/>
      <c r="D1798" s="88"/>
      <c r="E1798" s="88"/>
      <c r="F1798" s="88"/>
      <c r="G1798" s="88"/>
      <c r="H1798" s="88"/>
      <c r="I1798" s="89"/>
    </row>
    <row r="1799" spans="1:9" x14ac:dyDescent="0.3">
      <c r="A1799" s="88"/>
      <c r="B1799" s="88"/>
      <c r="C1799" s="88"/>
      <c r="D1799" s="88"/>
      <c r="E1799" s="88"/>
      <c r="F1799" s="88"/>
      <c r="G1799" s="88"/>
      <c r="H1799" s="88"/>
      <c r="I1799" s="89"/>
    </row>
    <row r="1800" spans="1:9" x14ac:dyDescent="0.3">
      <c r="A1800" s="88"/>
      <c r="B1800" s="88"/>
      <c r="C1800" s="88"/>
      <c r="D1800" s="88"/>
      <c r="E1800" s="88"/>
      <c r="F1800" s="88"/>
      <c r="G1800" s="88"/>
      <c r="H1800" s="88"/>
      <c r="I1800" s="89"/>
    </row>
    <row r="1801" spans="1:9" x14ac:dyDescent="0.3">
      <c r="A1801" s="88"/>
      <c r="B1801" s="88"/>
      <c r="C1801" s="88"/>
      <c r="D1801" s="88"/>
      <c r="E1801" s="88"/>
      <c r="F1801" s="88"/>
      <c r="G1801" s="88"/>
      <c r="H1801" s="88"/>
      <c r="I1801" s="89"/>
    </row>
    <row r="1802" spans="1:9" x14ac:dyDescent="0.3">
      <c r="A1802" s="88"/>
      <c r="B1802" s="88"/>
      <c r="C1802" s="88"/>
      <c r="D1802" s="88"/>
      <c r="E1802" s="88"/>
      <c r="F1802" s="88"/>
      <c r="G1802" s="88"/>
      <c r="H1802" s="88"/>
      <c r="I1802" s="89"/>
    </row>
    <row r="1803" spans="1:9" x14ac:dyDescent="0.3">
      <c r="A1803" s="88"/>
      <c r="B1803" s="88"/>
      <c r="C1803" s="88"/>
      <c r="D1803" s="88"/>
      <c r="E1803" s="88"/>
      <c r="F1803" s="88"/>
      <c r="G1803" s="88"/>
      <c r="H1803" s="88"/>
      <c r="I1803" s="89"/>
    </row>
    <row r="1804" spans="1:9" x14ac:dyDescent="0.3">
      <c r="A1804" s="88"/>
      <c r="B1804" s="88"/>
      <c r="C1804" s="88"/>
      <c r="D1804" s="88"/>
      <c r="E1804" s="88"/>
      <c r="F1804" s="88"/>
      <c r="G1804" s="88"/>
      <c r="H1804" s="88"/>
      <c r="I1804" s="89"/>
    </row>
    <row r="1805" spans="1:9" x14ac:dyDescent="0.3">
      <c r="A1805" s="88"/>
      <c r="B1805" s="88"/>
      <c r="C1805" s="88"/>
      <c r="D1805" s="88"/>
      <c r="E1805" s="88"/>
      <c r="F1805" s="88"/>
      <c r="G1805" s="88"/>
      <c r="H1805" s="88"/>
      <c r="I1805" s="89"/>
    </row>
    <row r="1806" spans="1:9" x14ac:dyDescent="0.3">
      <c r="A1806" s="88"/>
      <c r="B1806" s="88"/>
      <c r="C1806" s="88"/>
      <c r="D1806" s="88"/>
      <c r="E1806" s="88"/>
      <c r="F1806" s="88"/>
      <c r="G1806" s="88"/>
      <c r="H1806" s="88"/>
      <c r="I1806" s="89"/>
    </row>
    <row r="1807" spans="1:9" x14ac:dyDescent="0.3">
      <c r="A1807" s="88"/>
      <c r="B1807" s="88"/>
      <c r="C1807" s="88"/>
      <c r="D1807" s="88"/>
      <c r="E1807" s="88"/>
      <c r="F1807" s="88"/>
      <c r="G1807" s="88"/>
      <c r="H1807" s="88"/>
      <c r="I1807" s="89"/>
    </row>
    <row r="1808" spans="1:9" x14ac:dyDescent="0.3">
      <c r="A1808" s="88"/>
      <c r="B1808" s="88"/>
      <c r="C1808" s="88"/>
      <c r="D1808" s="88"/>
      <c r="E1808" s="88"/>
      <c r="F1808" s="88"/>
      <c r="G1808" s="88"/>
      <c r="H1808" s="88"/>
      <c r="I1808" s="89"/>
    </row>
    <row r="1809" spans="1:9" x14ac:dyDescent="0.3">
      <c r="A1809" s="88"/>
      <c r="B1809" s="88"/>
      <c r="C1809" s="88"/>
      <c r="D1809" s="88"/>
      <c r="E1809" s="88"/>
      <c r="F1809" s="88"/>
      <c r="G1809" s="88"/>
      <c r="H1809" s="88"/>
      <c r="I1809" s="89"/>
    </row>
    <row r="1810" spans="1:9" x14ac:dyDescent="0.3">
      <c r="A1810" s="88"/>
      <c r="B1810" s="88"/>
      <c r="C1810" s="88"/>
      <c r="D1810" s="88"/>
      <c r="E1810" s="88"/>
      <c r="F1810" s="88"/>
      <c r="G1810" s="88"/>
      <c r="H1810" s="88"/>
      <c r="I1810" s="89"/>
    </row>
    <row r="1811" spans="1:9" x14ac:dyDescent="0.3">
      <c r="A1811" s="88"/>
      <c r="B1811" s="88"/>
      <c r="C1811" s="88"/>
      <c r="D1811" s="88"/>
      <c r="E1811" s="88"/>
      <c r="F1811" s="88"/>
      <c r="G1811" s="88"/>
      <c r="H1811" s="88"/>
      <c r="I1811" s="89"/>
    </row>
    <row r="1812" spans="1:9" x14ac:dyDescent="0.3">
      <c r="A1812" s="88"/>
      <c r="B1812" s="88"/>
      <c r="C1812" s="88"/>
      <c r="D1812" s="88"/>
      <c r="E1812" s="88"/>
      <c r="F1812" s="88"/>
      <c r="G1812" s="88"/>
      <c r="H1812" s="88"/>
      <c r="I1812" s="89"/>
    </row>
    <row r="1813" spans="1:9" x14ac:dyDescent="0.3">
      <c r="A1813" s="88"/>
      <c r="B1813" s="88"/>
      <c r="C1813" s="88"/>
      <c r="D1813" s="88"/>
      <c r="E1813" s="88"/>
      <c r="F1813" s="88"/>
      <c r="G1813" s="88"/>
      <c r="H1813" s="88"/>
      <c r="I1813" s="89"/>
    </row>
    <row r="1814" spans="1:9" x14ac:dyDescent="0.3">
      <c r="A1814" s="88"/>
      <c r="B1814" s="88"/>
      <c r="C1814" s="88"/>
      <c r="D1814" s="88"/>
      <c r="E1814" s="88"/>
      <c r="F1814" s="88"/>
      <c r="G1814" s="88"/>
      <c r="H1814" s="88"/>
      <c r="I1814" s="89"/>
    </row>
    <row r="1815" spans="1:9" x14ac:dyDescent="0.3">
      <c r="A1815" s="88"/>
      <c r="B1815" s="88"/>
      <c r="C1815" s="88"/>
      <c r="D1815" s="88"/>
      <c r="E1815" s="88"/>
      <c r="F1815" s="88"/>
      <c r="G1815" s="88"/>
      <c r="H1815" s="88"/>
      <c r="I1815" s="89"/>
    </row>
    <row r="1816" spans="1:9" x14ac:dyDescent="0.3">
      <c r="A1816" s="88"/>
      <c r="B1816" s="88"/>
      <c r="C1816" s="88"/>
      <c r="D1816" s="88"/>
      <c r="E1816" s="88"/>
      <c r="F1816" s="88"/>
      <c r="G1816" s="88"/>
      <c r="H1816" s="88"/>
      <c r="I1816" s="89"/>
    </row>
    <row r="1817" spans="1:9" x14ac:dyDescent="0.3">
      <c r="A1817" s="88"/>
      <c r="B1817" s="88"/>
      <c r="C1817" s="88"/>
      <c r="D1817" s="88"/>
      <c r="E1817" s="88"/>
      <c r="F1817" s="88"/>
      <c r="G1817" s="88"/>
      <c r="H1817" s="88"/>
      <c r="I1817" s="89"/>
    </row>
    <row r="1818" spans="1:9" x14ac:dyDescent="0.3">
      <c r="A1818" s="88"/>
      <c r="B1818" s="88"/>
      <c r="C1818" s="88"/>
      <c r="D1818" s="88"/>
      <c r="E1818" s="88"/>
      <c r="F1818" s="88"/>
      <c r="G1818" s="88"/>
      <c r="H1818" s="88"/>
      <c r="I1818" s="89"/>
    </row>
    <row r="1819" spans="1:9" x14ac:dyDescent="0.3">
      <c r="A1819" s="88"/>
      <c r="B1819" s="88"/>
      <c r="C1819" s="88"/>
      <c r="D1819" s="88"/>
      <c r="E1819" s="88"/>
      <c r="F1819" s="88"/>
      <c r="G1819" s="88"/>
      <c r="H1819" s="88"/>
      <c r="I1819" s="89"/>
    </row>
    <row r="1820" spans="1:9" x14ac:dyDescent="0.3">
      <c r="A1820" s="88"/>
      <c r="B1820" s="88"/>
      <c r="C1820" s="88"/>
      <c r="D1820" s="88"/>
      <c r="E1820" s="88"/>
      <c r="F1820" s="88"/>
      <c r="G1820" s="88"/>
      <c r="H1820" s="88"/>
      <c r="I1820" s="89"/>
    </row>
    <row r="1821" spans="1:9" x14ac:dyDescent="0.3">
      <c r="A1821" s="88"/>
      <c r="B1821" s="88"/>
      <c r="C1821" s="88"/>
      <c r="D1821" s="88"/>
      <c r="E1821" s="88"/>
      <c r="F1821" s="88"/>
      <c r="G1821" s="88"/>
      <c r="H1821" s="88"/>
      <c r="I1821" s="89"/>
    </row>
    <row r="1822" spans="1:9" x14ac:dyDescent="0.3">
      <c r="A1822" s="88"/>
      <c r="B1822" s="88"/>
      <c r="C1822" s="88"/>
      <c r="D1822" s="88"/>
      <c r="E1822" s="88"/>
      <c r="F1822" s="88"/>
      <c r="G1822" s="88"/>
      <c r="H1822" s="88"/>
      <c r="I1822" s="89"/>
    </row>
    <row r="1823" spans="1:9" x14ac:dyDescent="0.3">
      <c r="A1823" s="88"/>
      <c r="B1823" s="88"/>
      <c r="C1823" s="88"/>
      <c r="D1823" s="88"/>
      <c r="E1823" s="88"/>
      <c r="F1823" s="88"/>
      <c r="G1823" s="88"/>
      <c r="H1823" s="88"/>
      <c r="I1823" s="89"/>
    </row>
    <row r="1824" spans="1:9" x14ac:dyDescent="0.3">
      <c r="A1824" s="88"/>
      <c r="B1824" s="88"/>
      <c r="C1824" s="88"/>
      <c r="D1824" s="88"/>
      <c r="E1824" s="88"/>
      <c r="F1824" s="88"/>
      <c r="G1824" s="88"/>
      <c r="H1824" s="88"/>
      <c r="I1824" s="89"/>
    </row>
    <row r="1825" spans="1:9" x14ac:dyDescent="0.3">
      <c r="A1825" s="88"/>
      <c r="B1825" s="88"/>
      <c r="C1825" s="88"/>
      <c r="D1825" s="88"/>
      <c r="E1825" s="88"/>
      <c r="F1825" s="88"/>
      <c r="G1825" s="88"/>
      <c r="H1825" s="88"/>
      <c r="I1825" s="89"/>
    </row>
    <row r="1826" spans="1:9" x14ac:dyDescent="0.3">
      <c r="A1826" s="88"/>
      <c r="B1826" s="88"/>
      <c r="C1826" s="88"/>
      <c r="D1826" s="88"/>
      <c r="E1826" s="88"/>
      <c r="F1826" s="88"/>
      <c r="G1826" s="88"/>
      <c r="H1826" s="88"/>
      <c r="I1826" s="89"/>
    </row>
    <row r="1827" spans="1:9" x14ac:dyDescent="0.3">
      <c r="A1827" s="88"/>
      <c r="B1827" s="88"/>
      <c r="C1827" s="88"/>
      <c r="D1827" s="88"/>
      <c r="E1827" s="88"/>
      <c r="F1827" s="88"/>
      <c r="G1827" s="88"/>
      <c r="H1827" s="88"/>
      <c r="I1827" s="89"/>
    </row>
    <row r="1828" spans="1:9" x14ac:dyDescent="0.3">
      <c r="A1828" s="88"/>
      <c r="B1828" s="88"/>
      <c r="C1828" s="88"/>
      <c r="D1828" s="88"/>
      <c r="E1828" s="88"/>
      <c r="F1828" s="88"/>
      <c r="G1828" s="88"/>
      <c r="H1828" s="88"/>
      <c r="I1828" s="89"/>
    </row>
    <row r="1829" spans="1:9" x14ac:dyDescent="0.3">
      <c r="A1829" s="88"/>
      <c r="B1829" s="88"/>
      <c r="C1829" s="88"/>
      <c r="D1829" s="88"/>
      <c r="E1829" s="88"/>
      <c r="F1829" s="88"/>
      <c r="G1829" s="88"/>
      <c r="H1829" s="88"/>
      <c r="I1829" s="89"/>
    </row>
    <row r="1830" spans="1:9" x14ac:dyDescent="0.3">
      <c r="A1830" s="88"/>
      <c r="B1830" s="88"/>
      <c r="C1830" s="88"/>
      <c r="D1830" s="88"/>
      <c r="E1830" s="88"/>
      <c r="F1830" s="88"/>
      <c r="G1830" s="88"/>
      <c r="H1830" s="88"/>
      <c r="I1830" s="89"/>
    </row>
    <row r="1831" spans="1:9" x14ac:dyDescent="0.3">
      <c r="A1831" s="88"/>
      <c r="B1831" s="88"/>
      <c r="C1831" s="88"/>
      <c r="D1831" s="88"/>
      <c r="E1831" s="88"/>
      <c r="F1831" s="88"/>
      <c r="G1831" s="88"/>
      <c r="H1831" s="88"/>
      <c r="I1831" s="89"/>
    </row>
    <row r="1832" spans="1:9" x14ac:dyDescent="0.3">
      <c r="A1832" s="88"/>
      <c r="B1832" s="88"/>
      <c r="C1832" s="88"/>
      <c r="D1832" s="88"/>
      <c r="E1832" s="88"/>
      <c r="F1832" s="88"/>
      <c r="G1832" s="88"/>
      <c r="H1832" s="88"/>
      <c r="I1832" s="89"/>
    </row>
    <row r="1833" spans="1:9" x14ac:dyDescent="0.3">
      <c r="A1833" s="88"/>
      <c r="B1833" s="88"/>
      <c r="C1833" s="88"/>
      <c r="D1833" s="88"/>
      <c r="E1833" s="88"/>
      <c r="F1833" s="88"/>
      <c r="G1833" s="88"/>
      <c r="H1833" s="88"/>
      <c r="I1833" s="89"/>
    </row>
    <row r="1834" spans="1:9" x14ac:dyDescent="0.3">
      <c r="A1834" s="88"/>
      <c r="B1834" s="88"/>
      <c r="C1834" s="88"/>
      <c r="D1834" s="88"/>
      <c r="E1834" s="88"/>
      <c r="F1834" s="88"/>
      <c r="G1834" s="88"/>
      <c r="H1834" s="88"/>
      <c r="I1834" s="89"/>
    </row>
    <row r="1835" spans="1:9" x14ac:dyDescent="0.3">
      <c r="A1835" s="88"/>
      <c r="B1835" s="88"/>
      <c r="C1835" s="88"/>
      <c r="D1835" s="88"/>
      <c r="E1835" s="88"/>
      <c r="F1835" s="88"/>
      <c r="G1835" s="88"/>
      <c r="H1835" s="88"/>
      <c r="I1835" s="89"/>
    </row>
    <row r="1836" spans="1:9" x14ac:dyDescent="0.3">
      <c r="A1836" s="88"/>
      <c r="B1836" s="88"/>
      <c r="C1836" s="88"/>
      <c r="D1836" s="88"/>
      <c r="E1836" s="88"/>
      <c r="F1836" s="88"/>
      <c r="G1836" s="88"/>
      <c r="H1836" s="88"/>
      <c r="I1836" s="89"/>
    </row>
    <row r="1837" spans="1:9" x14ac:dyDescent="0.3">
      <c r="A1837" s="88"/>
      <c r="B1837" s="88"/>
      <c r="C1837" s="88"/>
      <c r="D1837" s="88"/>
      <c r="E1837" s="88"/>
      <c r="F1837" s="88"/>
      <c r="G1837" s="88"/>
      <c r="H1837" s="88"/>
      <c r="I1837" s="89"/>
    </row>
    <row r="1838" spans="1:9" x14ac:dyDescent="0.3">
      <c r="A1838" s="88"/>
      <c r="B1838" s="88"/>
      <c r="C1838" s="88"/>
      <c r="D1838" s="88"/>
      <c r="E1838" s="88"/>
      <c r="F1838" s="88"/>
      <c r="G1838" s="88"/>
      <c r="H1838" s="88"/>
      <c r="I1838" s="89"/>
    </row>
    <row r="1839" spans="1:9" x14ac:dyDescent="0.3">
      <c r="A1839" s="88"/>
      <c r="B1839" s="88"/>
      <c r="C1839" s="88"/>
      <c r="D1839" s="88"/>
      <c r="E1839" s="88"/>
      <c r="F1839" s="88"/>
      <c r="G1839" s="88"/>
      <c r="H1839" s="88"/>
      <c r="I1839" s="89"/>
    </row>
    <row r="1840" spans="1:9" x14ac:dyDescent="0.3">
      <c r="A1840" s="88"/>
      <c r="B1840" s="88"/>
      <c r="C1840" s="88"/>
      <c r="D1840" s="88"/>
      <c r="E1840" s="88"/>
      <c r="F1840" s="88"/>
      <c r="G1840" s="88"/>
      <c r="H1840" s="88"/>
      <c r="I1840" s="89"/>
    </row>
    <row r="1841" spans="1:9" x14ac:dyDescent="0.3">
      <c r="A1841" s="88"/>
      <c r="B1841" s="88"/>
      <c r="C1841" s="88"/>
      <c r="D1841" s="88"/>
      <c r="E1841" s="88"/>
      <c r="F1841" s="88"/>
      <c r="G1841" s="88"/>
      <c r="H1841" s="88"/>
      <c r="I1841" s="89"/>
    </row>
    <row r="1842" spans="1:9" x14ac:dyDescent="0.3">
      <c r="A1842" s="88"/>
      <c r="B1842" s="88"/>
      <c r="C1842" s="88"/>
      <c r="D1842" s="88"/>
      <c r="E1842" s="88"/>
      <c r="F1842" s="88"/>
      <c r="G1842" s="88"/>
      <c r="H1842" s="88"/>
      <c r="I1842" s="89"/>
    </row>
    <row r="1843" spans="1:9" x14ac:dyDescent="0.3">
      <c r="A1843" s="88"/>
      <c r="B1843" s="88"/>
      <c r="C1843" s="88"/>
      <c r="D1843" s="88"/>
      <c r="E1843" s="88"/>
      <c r="F1843" s="88"/>
      <c r="G1843" s="88"/>
      <c r="H1843" s="88"/>
      <c r="I1843" s="89"/>
    </row>
    <row r="1844" spans="1:9" x14ac:dyDescent="0.3">
      <c r="A1844" s="88"/>
      <c r="B1844" s="88"/>
      <c r="C1844" s="88"/>
      <c r="D1844" s="88"/>
      <c r="E1844" s="88"/>
      <c r="F1844" s="88"/>
      <c r="G1844" s="88"/>
      <c r="H1844" s="88"/>
      <c r="I1844" s="89"/>
    </row>
    <row r="1845" spans="1:9" x14ac:dyDescent="0.3">
      <c r="A1845" s="88"/>
      <c r="B1845" s="88"/>
      <c r="C1845" s="88"/>
      <c r="D1845" s="88"/>
      <c r="E1845" s="88"/>
      <c r="F1845" s="88"/>
      <c r="G1845" s="88"/>
      <c r="H1845" s="88"/>
      <c r="I1845" s="89"/>
    </row>
    <row r="1846" spans="1:9" x14ac:dyDescent="0.3">
      <c r="A1846" s="88"/>
      <c r="B1846" s="88"/>
      <c r="C1846" s="88"/>
      <c r="D1846" s="88"/>
      <c r="E1846" s="88"/>
      <c r="F1846" s="88"/>
      <c r="G1846" s="88"/>
      <c r="H1846" s="88"/>
      <c r="I1846" s="89"/>
    </row>
    <row r="1847" spans="1:9" x14ac:dyDescent="0.3">
      <c r="A1847" s="88"/>
      <c r="B1847" s="88"/>
      <c r="C1847" s="88"/>
      <c r="D1847" s="88"/>
      <c r="E1847" s="88"/>
      <c r="F1847" s="88"/>
      <c r="G1847" s="88"/>
      <c r="H1847" s="88"/>
      <c r="I1847" s="89"/>
    </row>
    <row r="1848" spans="1:9" x14ac:dyDescent="0.3">
      <c r="A1848" s="88"/>
      <c r="B1848" s="88"/>
      <c r="C1848" s="88"/>
      <c r="D1848" s="88"/>
      <c r="E1848" s="88"/>
      <c r="F1848" s="88"/>
      <c r="G1848" s="88"/>
      <c r="H1848" s="88"/>
      <c r="I1848" s="89"/>
    </row>
    <row r="1849" spans="1:9" x14ac:dyDescent="0.3">
      <c r="A1849" s="88"/>
      <c r="B1849" s="88"/>
      <c r="C1849" s="88"/>
      <c r="D1849" s="88"/>
      <c r="E1849" s="88"/>
      <c r="F1849" s="88"/>
      <c r="G1849" s="88"/>
      <c r="H1849" s="88"/>
      <c r="I1849" s="89"/>
    </row>
    <row r="1850" spans="1:9" x14ac:dyDescent="0.3">
      <c r="A1850" s="88"/>
      <c r="B1850" s="88"/>
      <c r="C1850" s="88"/>
      <c r="D1850" s="88"/>
      <c r="E1850" s="88"/>
      <c r="F1850" s="88"/>
      <c r="G1850" s="88"/>
      <c r="H1850" s="88"/>
      <c r="I1850" s="89"/>
    </row>
    <row r="1851" spans="1:9" x14ac:dyDescent="0.3">
      <c r="A1851" s="88"/>
      <c r="B1851" s="88"/>
      <c r="C1851" s="88"/>
      <c r="D1851" s="88"/>
      <c r="E1851" s="88"/>
      <c r="F1851" s="88"/>
      <c r="G1851" s="88"/>
      <c r="H1851" s="88"/>
      <c r="I1851" s="89"/>
    </row>
    <row r="1852" spans="1:9" x14ac:dyDescent="0.3">
      <c r="A1852" s="88"/>
      <c r="B1852" s="88"/>
      <c r="C1852" s="88"/>
      <c r="D1852" s="88"/>
      <c r="E1852" s="88"/>
      <c r="F1852" s="88"/>
      <c r="G1852" s="88"/>
      <c r="H1852" s="88"/>
      <c r="I1852" s="89"/>
    </row>
    <row r="1853" spans="1:9" x14ac:dyDescent="0.3">
      <c r="A1853" s="88"/>
      <c r="B1853" s="88"/>
      <c r="C1853" s="88"/>
      <c r="D1853" s="88"/>
      <c r="E1853" s="88"/>
      <c r="F1853" s="88"/>
      <c r="G1853" s="88"/>
      <c r="H1853" s="88"/>
      <c r="I1853" s="89"/>
    </row>
    <row r="1854" spans="1:9" x14ac:dyDescent="0.3">
      <c r="A1854" s="88"/>
      <c r="B1854" s="88"/>
      <c r="C1854" s="88"/>
      <c r="D1854" s="88"/>
      <c r="E1854" s="88"/>
      <c r="F1854" s="88"/>
      <c r="G1854" s="88"/>
      <c r="H1854" s="88"/>
      <c r="I1854" s="89"/>
    </row>
    <row r="1855" spans="1:9" x14ac:dyDescent="0.3">
      <c r="A1855" s="88"/>
      <c r="B1855" s="88"/>
      <c r="C1855" s="88"/>
      <c r="D1855" s="88"/>
      <c r="E1855" s="88"/>
      <c r="F1855" s="88"/>
      <c r="G1855" s="88"/>
      <c r="H1855" s="88"/>
      <c r="I1855" s="89"/>
    </row>
    <row r="1856" spans="1:9" x14ac:dyDescent="0.3">
      <c r="A1856" s="88"/>
      <c r="B1856" s="88"/>
      <c r="C1856" s="88"/>
      <c r="D1856" s="88"/>
      <c r="E1856" s="88"/>
      <c r="F1856" s="88"/>
      <c r="G1856" s="88"/>
      <c r="H1856" s="88"/>
      <c r="I1856" s="89"/>
    </row>
    <row r="1857" spans="1:9" x14ac:dyDescent="0.3">
      <c r="A1857" s="88"/>
      <c r="B1857" s="88"/>
      <c r="C1857" s="88"/>
      <c r="D1857" s="88"/>
      <c r="E1857" s="88"/>
      <c r="F1857" s="88"/>
      <c r="G1857" s="88"/>
      <c r="H1857" s="88"/>
      <c r="I1857" s="89"/>
    </row>
    <row r="1858" spans="1:9" x14ac:dyDescent="0.3">
      <c r="A1858" s="88"/>
      <c r="B1858" s="88"/>
      <c r="C1858" s="88"/>
      <c r="D1858" s="88"/>
      <c r="E1858" s="88"/>
      <c r="F1858" s="88"/>
      <c r="G1858" s="88"/>
      <c r="H1858" s="88"/>
      <c r="I1858" s="89"/>
    </row>
    <row r="1859" spans="1:9" x14ac:dyDescent="0.3">
      <c r="A1859" s="88"/>
      <c r="B1859" s="88"/>
      <c r="C1859" s="88"/>
      <c r="D1859" s="88"/>
      <c r="E1859" s="88"/>
      <c r="F1859" s="88"/>
      <c r="G1859" s="88"/>
      <c r="H1859" s="88"/>
      <c r="I1859" s="89"/>
    </row>
    <row r="1860" spans="1:9" x14ac:dyDescent="0.3">
      <c r="A1860" s="88"/>
      <c r="B1860" s="88"/>
      <c r="C1860" s="88"/>
      <c r="D1860" s="88"/>
      <c r="E1860" s="88"/>
      <c r="F1860" s="88"/>
      <c r="G1860" s="88"/>
      <c r="H1860" s="88"/>
      <c r="I1860" s="89"/>
    </row>
    <row r="1861" spans="1:9" x14ac:dyDescent="0.3">
      <c r="A1861" s="88"/>
      <c r="B1861" s="88"/>
      <c r="C1861" s="88"/>
      <c r="D1861" s="88"/>
      <c r="E1861" s="88"/>
      <c r="F1861" s="88"/>
      <c r="G1861" s="88"/>
      <c r="H1861" s="88"/>
      <c r="I1861" s="89"/>
    </row>
    <row r="1862" spans="1:9" x14ac:dyDescent="0.3">
      <c r="A1862" s="88"/>
      <c r="B1862" s="88"/>
      <c r="C1862" s="88"/>
      <c r="D1862" s="88"/>
      <c r="E1862" s="88"/>
      <c r="F1862" s="88"/>
      <c r="G1862" s="88"/>
      <c r="H1862" s="88"/>
      <c r="I1862" s="89"/>
    </row>
    <row r="1863" spans="1:9" x14ac:dyDescent="0.3">
      <c r="A1863" s="88"/>
      <c r="B1863" s="88"/>
      <c r="C1863" s="88"/>
      <c r="D1863" s="88"/>
      <c r="E1863" s="88"/>
      <c r="F1863" s="88"/>
      <c r="G1863" s="88"/>
      <c r="H1863" s="88"/>
      <c r="I1863" s="89"/>
    </row>
    <row r="1864" spans="1:9" x14ac:dyDescent="0.3">
      <c r="A1864" s="88"/>
      <c r="B1864" s="88"/>
      <c r="C1864" s="88"/>
      <c r="D1864" s="88"/>
      <c r="E1864" s="88"/>
      <c r="F1864" s="88"/>
      <c r="G1864" s="88"/>
      <c r="H1864" s="88"/>
      <c r="I1864" s="89"/>
    </row>
    <row r="1865" spans="1:9" x14ac:dyDescent="0.3">
      <c r="A1865" s="88"/>
      <c r="B1865" s="88"/>
      <c r="C1865" s="88"/>
      <c r="D1865" s="88"/>
      <c r="E1865" s="88"/>
      <c r="F1865" s="88"/>
      <c r="G1865" s="88"/>
      <c r="H1865" s="88"/>
      <c r="I1865" s="89"/>
    </row>
    <row r="1866" spans="1:9" x14ac:dyDescent="0.3">
      <c r="A1866" s="88"/>
      <c r="B1866" s="88"/>
      <c r="C1866" s="88"/>
      <c r="D1866" s="88"/>
      <c r="E1866" s="88"/>
      <c r="F1866" s="88"/>
      <c r="G1866" s="88"/>
      <c r="H1866" s="88"/>
      <c r="I1866" s="89"/>
    </row>
    <row r="1867" spans="1:9" x14ac:dyDescent="0.3">
      <c r="A1867" s="88"/>
      <c r="B1867" s="88"/>
      <c r="C1867" s="88"/>
      <c r="D1867" s="88"/>
      <c r="E1867" s="88"/>
      <c r="F1867" s="88"/>
      <c r="G1867" s="88"/>
      <c r="H1867" s="88"/>
      <c r="I1867" s="89"/>
    </row>
    <row r="1868" spans="1:9" x14ac:dyDescent="0.3">
      <c r="A1868" s="88"/>
      <c r="B1868" s="88"/>
      <c r="C1868" s="88"/>
      <c r="D1868" s="88"/>
      <c r="E1868" s="88"/>
      <c r="F1868" s="88"/>
      <c r="G1868" s="88"/>
      <c r="H1868" s="88"/>
      <c r="I1868" s="89"/>
    </row>
    <row r="1869" spans="1:9" x14ac:dyDescent="0.3">
      <c r="A1869" s="88"/>
      <c r="B1869" s="88"/>
      <c r="C1869" s="88"/>
      <c r="D1869" s="88"/>
      <c r="E1869" s="88"/>
      <c r="F1869" s="88"/>
      <c r="G1869" s="88"/>
      <c r="H1869" s="88"/>
      <c r="I1869" s="89"/>
    </row>
    <row r="1870" spans="1:9" x14ac:dyDescent="0.3">
      <c r="A1870" s="88"/>
      <c r="B1870" s="88"/>
      <c r="C1870" s="88"/>
      <c r="D1870" s="88"/>
      <c r="E1870" s="88"/>
      <c r="F1870" s="88"/>
      <c r="G1870" s="88"/>
      <c r="H1870" s="88"/>
      <c r="I1870" s="89"/>
    </row>
    <row r="1871" spans="1:9" x14ac:dyDescent="0.3">
      <c r="A1871" s="88"/>
      <c r="B1871" s="88"/>
      <c r="C1871" s="88"/>
      <c r="D1871" s="88"/>
      <c r="E1871" s="88"/>
      <c r="F1871" s="88"/>
      <c r="G1871" s="88"/>
      <c r="H1871" s="88"/>
      <c r="I1871" s="89"/>
    </row>
    <row r="1872" spans="1:9" x14ac:dyDescent="0.3">
      <c r="A1872" s="88"/>
      <c r="B1872" s="88"/>
      <c r="C1872" s="88"/>
      <c r="D1872" s="88"/>
      <c r="E1872" s="88"/>
      <c r="F1872" s="88"/>
      <c r="G1872" s="88"/>
      <c r="H1872" s="88"/>
      <c r="I1872" s="89"/>
    </row>
    <row r="1873" spans="1:9" x14ac:dyDescent="0.3">
      <c r="A1873" s="88"/>
      <c r="B1873" s="88"/>
      <c r="C1873" s="88"/>
      <c r="D1873" s="88"/>
      <c r="E1873" s="88"/>
      <c r="F1873" s="88"/>
      <c r="G1873" s="88"/>
      <c r="H1873" s="88"/>
      <c r="I1873" s="89"/>
    </row>
    <row r="1874" spans="1:9" x14ac:dyDescent="0.3">
      <c r="A1874" s="88"/>
      <c r="B1874" s="88"/>
      <c r="C1874" s="88"/>
      <c r="D1874" s="88"/>
      <c r="E1874" s="88"/>
      <c r="F1874" s="88"/>
      <c r="G1874" s="88"/>
      <c r="H1874" s="88"/>
      <c r="I1874" s="89"/>
    </row>
    <row r="1875" spans="1:9" x14ac:dyDescent="0.3">
      <c r="A1875" s="88"/>
      <c r="B1875" s="88"/>
      <c r="C1875" s="88"/>
      <c r="D1875" s="88"/>
      <c r="E1875" s="88"/>
      <c r="F1875" s="88"/>
      <c r="G1875" s="88"/>
      <c r="H1875" s="88"/>
      <c r="I1875" s="89"/>
    </row>
    <row r="1876" spans="1:9" x14ac:dyDescent="0.3">
      <c r="A1876" s="88"/>
      <c r="B1876" s="88"/>
      <c r="C1876" s="88"/>
      <c r="D1876" s="88"/>
      <c r="E1876" s="88"/>
      <c r="F1876" s="88"/>
      <c r="G1876" s="88"/>
      <c r="H1876" s="88"/>
      <c r="I1876" s="89"/>
    </row>
    <row r="1877" spans="1:9" x14ac:dyDescent="0.3">
      <c r="A1877" s="88"/>
      <c r="B1877" s="88"/>
      <c r="C1877" s="88"/>
      <c r="D1877" s="88"/>
      <c r="E1877" s="88"/>
      <c r="F1877" s="88"/>
      <c r="G1877" s="88"/>
      <c r="H1877" s="88"/>
      <c r="I1877" s="89"/>
    </row>
    <row r="1878" spans="1:9" x14ac:dyDescent="0.3">
      <c r="A1878" s="88"/>
      <c r="B1878" s="88"/>
      <c r="C1878" s="88"/>
      <c r="D1878" s="88"/>
      <c r="E1878" s="88"/>
      <c r="F1878" s="88"/>
      <c r="G1878" s="88"/>
      <c r="H1878" s="88"/>
      <c r="I1878" s="89"/>
    </row>
    <row r="1879" spans="1:9" x14ac:dyDescent="0.3">
      <c r="A1879" s="88"/>
      <c r="B1879" s="88"/>
      <c r="C1879" s="88"/>
      <c r="D1879" s="88"/>
      <c r="E1879" s="88"/>
      <c r="F1879" s="88"/>
      <c r="G1879" s="88"/>
      <c r="H1879" s="88"/>
      <c r="I1879" s="89"/>
    </row>
    <row r="1880" spans="1:9" x14ac:dyDescent="0.3">
      <c r="A1880" s="88"/>
      <c r="B1880" s="88"/>
      <c r="C1880" s="88"/>
      <c r="D1880" s="88"/>
      <c r="E1880" s="88"/>
      <c r="F1880" s="88"/>
      <c r="G1880" s="88"/>
      <c r="H1880" s="88"/>
      <c r="I1880" s="89"/>
    </row>
    <row r="1881" spans="1:9" x14ac:dyDescent="0.3">
      <c r="A1881" s="88"/>
      <c r="B1881" s="88"/>
      <c r="C1881" s="88"/>
      <c r="D1881" s="88"/>
      <c r="E1881" s="88"/>
      <c r="F1881" s="88"/>
      <c r="G1881" s="88"/>
      <c r="H1881" s="88"/>
      <c r="I1881" s="89"/>
    </row>
    <row r="1882" spans="1:9" x14ac:dyDescent="0.3">
      <c r="A1882" s="88"/>
      <c r="B1882" s="88"/>
      <c r="C1882" s="88"/>
      <c r="D1882" s="88"/>
      <c r="E1882" s="88"/>
      <c r="F1882" s="88"/>
      <c r="G1882" s="88"/>
      <c r="H1882" s="88"/>
      <c r="I1882" s="89"/>
    </row>
    <row r="1883" spans="1:9" x14ac:dyDescent="0.3">
      <c r="A1883" s="88"/>
      <c r="B1883" s="88"/>
      <c r="C1883" s="88"/>
      <c r="D1883" s="88"/>
      <c r="E1883" s="88"/>
      <c r="F1883" s="88"/>
      <c r="G1883" s="88"/>
      <c r="H1883" s="88"/>
      <c r="I1883" s="89"/>
    </row>
    <row r="1884" spans="1:9" x14ac:dyDescent="0.3">
      <c r="A1884" s="88"/>
      <c r="B1884" s="88"/>
      <c r="C1884" s="88"/>
      <c r="D1884" s="88"/>
      <c r="E1884" s="88"/>
      <c r="F1884" s="88"/>
      <c r="G1884" s="88"/>
      <c r="H1884" s="88"/>
      <c r="I1884" s="89"/>
    </row>
    <row r="1885" spans="1:9" x14ac:dyDescent="0.3">
      <c r="A1885" s="88"/>
      <c r="B1885" s="88"/>
      <c r="C1885" s="88"/>
      <c r="D1885" s="88"/>
      <c r="E1885" s="88"/>
      <c r="F1885" s="88"/>
      <c r="G1885" s="88"/>
      <c r="H1885" s="88"/>
      <c r="I1885" s="89"/>
    </row>
    <row r="1886" spans="1:9" x14ac:dyDescent="0.3">
      <c r="A1886" s="88"/>
      <c r="B1886" s="88"/>
      <c r="C1886" s="88"/>
      <c r="D1886" s="88"/>
      <c r="E1886" s="88"/>
      <c r="F1886" s="88"/>
      <c r="G1886" s="88"/>
      <c r="H1886" s="88"/>
      <c r="I1886" s="89"/>
    </row>
    <row r="1887" spans="1:9" x14ac:dyDescent="0.3">
      <c r="A1887" s="88"/>
      <c r="B1887" s="88"/>
      <c r="C1887" s="88"/>
      <c r="D1887" s="88"/>
      <c r="E1887" s="88"/>
      <c r="F1887" s="88"/>
      <c r="G1887" s="88"/>
      <c r="H1887" s="88"/>
      <c r="I1887" s="89"/>
    </row>
    <row r="1888" spans="1:9" x14ac:dyDescent="0.3">
      <c r="A1888" s="88"/>
      <c r="B1888" s="88"/>
      <c r="C1888" s="88"/>
      <c r="D1888" s="88"/>
      <c r="E1888" s="88"/>
      <c r="F1888" s="88"/>
      <c r="G1888" s="88"/>
      <c r="H1888" s="88"/>
      <c r="I1888" s="89"/>
    </row>
    <row r="1889" spans="1:9" x14ac:dyDescent="0.3">
      <c r="A1889" s="88"/>
      <c r="B1889" s="88"/>
      <c r="C1889" s="88"/>
      <c r="D1889" s="88"/>
      <c r="E1889" s="88"/>
      <c r="F1889" s="88"/>
      <c r="G1889" s="88"/>
      <c r="H1889" s="88"/>
      <c r="I1889" s="89"/>
    </row>
    <row r="1890" spans="1:9" x14ac:dyDescent="0.3">
      <c r="A1890" s="88"/>
      <c r="B1890" s="88"/>
      <c r="C1890" s="88"/>
      <c r="D1890" s="88"/>
      <c r="E1890" s="88"/>
      <c r="F1890" s="88"/>
      <c r="G1890" s="88"/>
      <c r="H1890" s="88"/>
      <c r="I1890" s="89"/>
    </row>
    <row r="1891" spans="1:9" x14ac:dyDescent="0.3">
      <c r="A1891" s="88"/>
      <c r="B1891" s="88"/>
      <c r="C1891" s="88"/>
      <c r="D1891" s="88"/>
      <c r="E1891" s="88"/>
      <c r="F1891" s="88"/>
      <c r="G1891" s="88"/>
      <c r="H1891" s="88"/>
      <c r="I1891" s="89"/>
    </row>
    <row r="1892" spans="1:9" x14ac:dyDescent="0.3">
      <c r="A1892" s="88"/>
      <c r="B1892" s="88"/>
      <c r="C1892" s="88"/>
      <c r="D1892" s="88"/>
      <c r="E1892" s="88"/>
      <c r="F1892" s="88"/>
      <c r="G1892" s="88"/>
      <c r="H1892" s="88"/>
      <c r="I1892" s="89"/>
    </row>
    <row r="1893" spans="1:9" x14ac:dyDescent="0.3">
      <c r="A1893" s="88"/>
      <c r="B1893" s="88"/>
      <c r="C1893" s="88"/>
      <c r="D1893" s="88"/>
      <c r="E1893" s="88"/>
      <c r="F1893" s="88"/>
      <c r="G1893" s="88"/>
      <c r="H1893" s="88"/>
      <c r="I1893" s="89"/>
    </row>
    <row r="1894" spans="1:9" x14ac:dyDescent="0.3">
      <c r="A1894" s="88"/>
      <c r="B1894" s="88"/>
      <c r="C1894" s="88"/>
      <c r="D1894" s="88"/>
      <c r="E1894" s="88"/>
      <c r="F1894" s="88"/>
      <c r="G1894" s="88"/>
      <c r="H1894" s="88"/>
      <c r="I1894" s="89"/>
    </row>
    <row r="1895" spans="1:9" x14ac:dyDescent="0.3">
      <c r="A1895" s="88"/>
      <c r="B1895" s="88"/>
      <c r="C1895" s="88"/>
      <c r="D1895" s="88"/>
      <c r="E1895" s="88"/>
      <c r="F1895" s="88"/>
      <c r="G1895" s="88"/>
      <c r="H1895" s="88"/>
      <c r="I1895" s="89"/>
    </row>
    <row r="1896" spans="1:9" x14ac:dyDescent="0.3">
      <c r="A1896" s="88"/>
      <c r="B1896" s="88"/>
      <c r="C1896" s="88"/>
      <c r="D1896" s="88"/>
      <c r="E1896" s="88"/>
      <c r="F1896" s="88"/>
      <c r="G1896" s="88"/>
      <c r="H1896" s="88"/>
      <c r="I1896" s="89"/>
    </row>
    <row r="1897" spans="1:9" x14ac:dyDescent="0.3">
      <c r="A1897" s="88"/>
      <c r="B1897" s="88"/>
      <c r="C1897" s="88"/>
      <c r="D1897" s="88"/>
      <c r="E1897" s="88"/>
      <c r="F1897" s="88"/>
      <c r="G1897" s="88"/>
      <c r="H1897" s="88"/>
      <c r="I1897" s="89"/>
    </row>
    <row r="1898" spans="1:9" x14ac:dyDescent="0.3">
      <c r="A1898" s="88"/>
      <c r="B1898" s="88"/>
      <c r="C1898" s="88"/>
      <c r="D1898" s="88"/>
      <c r="E1898" s="88"/>
      <c r="F1898" s="88"/>
      <c r="G1898" s="88"/>
      <c r="H1898" s="88"/>
      <c r="I1898" s="89"/>
    </row>
    <row r="1899" spans="1:9" x14ac:dyDescent="0.3">
      <c r="A1899" s="88"/>
      <c r="B1899" s="88"/>
      <c r="C1899" s="88"/>
      <c r="D1899" s="88"/>
      <c r="E1899" s="88"/>
      <c r="F1899" s="88"/>
      <c r="G1899" s="88"/>
      <c r="H1899" s="88"/>
      <c r="I1899" s="89"/>
    </row>
    <row r="1900" spans="1:9" x14ac:dyDescent="0.3">
      <c r="A1900" s="88"/>
      <c r="B1900" s="88"/>
      <c r="C1900" s="88"/>
      <c r="D1900" s="88"/>
      <c r="E1900" s="88"/>
      <c r="F1900" s="88"/>
      <c r="G1900" s="88"/>
      <c r="H1900" s="88"/>
      <c r="I1900" s="89"/>
    </row>
    <row r="1901" spans="1:9" x14ac:dyDescent="0.3">
      <c r="A1901" s="88"/>
      <c r="B1901" s="88"/>
      <c r="C1901" s="88"/>
      <c r="D1901" s="88"/>
      <c r="E1901" s="88"/>
      <c r="F1901" s="88"/>
      <c r="G1901" s="88"/>
      <c r="H1901" s="88"/>
      <c r="I1901" s="89"/>
    </row>
    <row r="1902" spans="1:9" x14ac:dyDescent="0.3">
      <c r="A1902" s="88"/>
      <c r="B1902" s="88"/>
      <c r="C1902" s="88"/>
      <c r="D1902" s="88"/>
      <c r="E1902" s="88"/>
      <c r="F1902" s="88"/>
      <c r="G1902" s="88"/>
      <c r="H1902" s="88"/>
      <c r="I1902" s="89"/>
    </row>
    <row r="1903" spans="1:9" x14ac:dyDescent="0.3">
      <c r="A1903" s="88"/>
      <c r="B1903" s="88"/>
      <c r="C1903" s="88"/>
      <c r="D1903" s="88"/>
      <c r="E1903" s="88"/>
      <c r="F1903" s="88"/>
      <c r="G1903" s="88"/>
      <c r="H1903" s="88"/>
      <c r="I1903" s="89"/>
    </row>
    <row r="1904" spans="1:9" x14ac:dyDescent="0.3">
      <c r="A1904" s="88"/>
      <c r="B1904" s="88"/>
      <c r="C1904" s="88"/>
      <c r="D1904" s="88"/>
      <c r="E1904" s="88"/>
      <c r="F1904" s="88"/>
      <c r="G1904" s="88"/>
      <c r="H1904" s="88"/>
      <c r="I1904" s="89"/>
    </row>
    <row r="1905" spans="1:9" x14ac:dyDescent="0.3">
      <c r="A1905" s="88"/>
      <c r="B1905" s="88"/>
      <c r="C1905" s="88"/>
      <c r="D1905" s="88"/>
      <c r="E1905" s="88"/>
      <c r="F1905" s="88"/>
      <c r="G1905" s="88"/>
      <c r="H1905" s="88"/>
      <c r="I1905" s="89"/>
    </row>
    <row r="1906" spans="1:9" x14ac:dyDescent="0.3">
      <c r="A1906" s="88"/>
      <c r="B1906" s="88"/>
      <c r="C1906" s="88"/>
      <c r="D1906" s="88"/>
      <c r="E1906" s="88"/>
      <c r="F1906" s="88"/>
      <c r="G1906" s="88"/>
      <c r="H1906" s="88"/>
      <c r="I1906" s="89"/>
    </row>
    <row r="1907" spans="1:9" x14ac:dyDescent="0.3">
      <c r="A1907" s="88"/>
      <c r="B1907" s="88"/>
      <c r="C1907" s="88"/>
      <c r="D1907" s="88"/>
      <c r="E1907" s="88"/>
      <c r="F1907" s="88"/>
      <c r="G1907" s="88"/>
      <c r="H1907" s="88"/>
      <c r="I1907" s="89"/>
    </row>
    <row r="1908" spans="1:9" x14ac:dyDescent="0.3">
      <c r="A1908" s="88"/>
      <c r="B1908" s="88"/>
      <c r="C1908" s="88"/>
      <c r="D1908" s="88"/>
      <c r="E1908" s="88"/>
      <c r="F1908" s="88"/>
      <c r="G1908" s="88"/>
      <c r="H1908" s="88"/>
      <c r="I1908" s="89"/>
    </row>
    <row r="1909" spans="1:9" x14ac:dyDescent="0.3">
      <c r="A1909" s="88"/>
      <c r="B1909" s="88"/>
      <c r="C1909" s="88"/>
      <c r="D1909" s="88"/>
      <c r="E1909" s="88"/>
      <c r="F1909" s="88"/>
      <c r="G1909" s="88"/>
      <c r="H1909" s="88"/>
      <c r="I1909" s="89"/>
    </row>
    <row r="1910" spans="1:9" x14ac:dyDescent="0.3">
      <c r="A1910" s="88"/>
      <c r="B1910" s="88"/>
      <c r="C1910" s="88"/>
      <c r="D1910" s="88"/>
      <c r="E1910" s="88"/>
      <c r="F1910" s="88"/>
      <c r="G1910" s="88"/>
      <c r="H1910" s="88"/>
      <c r="I1910" s="89"/>
    </row>
    <row r="1911" spans="1:9" x14ac:dyDescent="0.3">
      <c r="A1911" s="88"/>
      <c r="B1911" s="88"/>
      <c r="C1911" s="88"/>
      <c r="D1911" s="88"/>
      <c r="E1911" s="88"/>
      <c r="F1911" s="88"/>
      <c r="G1911" s="88"/>
      <c r="H1911" s="88"/>
      <c r="I1911" s="89"/>
    </row>
    <row r="1912" spans="1:9" x14ac:dyDescent="0.3">
      <c r="A1912" s="88"/>
      <c r="B1912" s="88"/>
      <c r="C1912" s="88"/>
      <c r="D1912" s="88"/>
      <c r="E1912" s="88"/>
      <c r="F1912" s="88"/>
      <c r="G1912" s="88"/>
      <c r="H1912" s="88"/>
      <c r="I1912" s="89"/>
    </row>
    <row r="1913" spans="1:9" x14ac:dyDescent="0.3">
      <c r="A1913" s="88"/>
      <c r="B1913" s="88"/>
      <c r="C1913" s="88"/>
      <c r="D1913" s="88"/>
      <c r="E1913" s="88"/>
      <c r="F1913" s="88"/>
      <c r="G1913" s="88"/>
      <c r="H1913" s="88"/>
      <c r="I1913" s="89"/>
    </row>
    <row r="1914" spans="1:9" x14ac:dyDescent="0.3">
      <c r="A1914" s="88"/>
      <c r="B1914" s="88"/>
      <c r="C1914" s="88"/>
      <c r="D1914" s="88"/>
      <c r="E1914" s="88"/>
      <c r="F1914" s="88"/>
      <c r="G1914" s="88"/>
      <c r="H1914" s="88"/>
      <c r="I1914" s="89"/>
    </row>
    <row r="1915" spans="1:9" x14ac:dyDescent="0.3">
      <c r="A1915" s="88"/>
      <c r="B1915" s="88"/>
      <c r="C1915" s="88"/>
      <c r="D1915" s="88"/>
      <c r="E1915" s="88"/>
      <c r="F1915" s="88"/>
      <c r="G1915" s="88"/>
      <c r="H1915" s="88"/>
      <c r="I1915" s="89"/>
    </row>
    <row r="1916" spans="1:9" x14ac:dyDescent="0.3">
      <c r="A1916" s="88"/>
      <c r="B1916" s="88"/>
      <c r="C1916" s="88"/>
      <c r="D1916" s="88"/>
      <c r="E1916" s="88"/>
      <c r="F1916" s="88"/>
      <c r="G1916" s="88"/>
      <c r="H1916" s="88"/>
      <c r="I1916" s="89"/>
    </row>
    <row r="1917" spans="1:9" x14ac:dyDescent="0.3">
      <c r="A1917" s="88"/>
      <c r="B1917" s="88"/>
      <c r="C1917" s="88"/>
      <c r="D1917" s="88"/>
      <c r="E1917" s="88"/>
      <c r="F1917" s="88"/>
      <c r="G1917" s="88"/>
      <c r="H1917" s="88"/>
      <c r="I1917" s="89"/>
    </row>
    <row r="1918" spans="1:9" x14ac:dyDescent="0.3">
      <c r="A1918" s="88"/>
      <c r="B1918" s="88"/>
      <c r="C1918" s="88"/>
      <c r="D1918" s="88"/>
      <c r="E1918" s="88"/>
      <c r="F1918" s="88"/>
      <c r="G1918" s="88"/>
      <c r="H1918" s="88"/>
      <c r="I1918" s="89"/>
    </row>
    <row r="1919" spans="1:9" x14ac:dyDescent="0.3">
      <c r="A1919" s="88"/>
      <c r="B1919" s="88"/>
      <c r="C1919" s="88"/>
      <c r="D1919" s="88"/>
      <c r="E1919" s="88"/>
      <c r="F1919" s="88"/>
      <c r="G1919" s="88"/>
      <c r="H1919" s="88"/>
      <c r="I1919" s="89"/>
    </row>
    <row r="1920" spans="1:9" x14ac:dyDescent="0.3">
      <c r="A1920" s="88"/>
      <c r="B1920" s="88"/>
      <c r="C1920" s="88"/>
      <c r="D1920" s="88"/>
      <c r="E1920" s="88"/>
      <c r="F1920" s="88"/>
      <c r="G1920" s="88"/>
      <c r="H1920" s="88"/>
      <c r="I1920" s="89"/>
    </row>
    <row r="1921" spans="1:9" x14ac:dyDescent="0.3">
      <c r="A1921" s="88"/>
      <c r="B1921" s="88"/>
      <c r="C1921" s="88"/>
      <c r="D1921" s="88"/>
      <c r="E1921" s="88"/>
      <c r="F1921" s="88"/>
      <c r="G1921" s="88"/>
      <c r="H1921" s="88"/>
      <c r="I1921" s="89"/>
    </row>
    <row r="1922" spans="1:9" x14ac:dyDescent="0.3">
      <c r="A1922" s="88"/>
      <c r="B1922" s="88"/>
      <c r="C1922" s="88"/>
      <c r="D1922" s="88"/>
      <c r="E1922" s="88"/>
      <c r="F1922" s="88"/>
      <c r="G1922" s="88"/>
      <c r="H1922" s="88"/>
      <c r="I1922" s="89"/>
    </row>
    <row r="1923" spans="1:9" x14ac:dyDescent="0.3">
      <c r="A1923" s="88"/>
      <c r="B1923" s="88"/>
      <c r="C1923" s="88"/>
      <c r="D1923" s="88"/>
      <c r="E1923" s="88"/>
      <c r="F1923" s="88"/>
      <c r="G1923" s="88"/>
      <c r="H1923" s="88"/>
      <c r="I1923" s="89"/>
    </row>
    <row r="1924" spans="1:9" x14ac:dyDescent="0.3">
      <c r="A1924" s="88"/>
      <c r="B1924" s="88"/>
      <c r="C1924" s="88"/>
      <c r="D1924" s="88"/>
      <c r="E1924" s="88"/>
      <c r="F1924" s="88"/>
      <c r="G1924" s="88"/>
      <c r="H1924" s="88"/>
      <c r="I1924" s="89"/>
    </row>
    <row r="1925" spans="1:9" x14ac:dyDescent="0.3">
      <c r="A1925" s="88"/>
      <c r="B1925" s="88"/>
      <c r="C1925" s="88"/>
      <c r="D1925" s="88"/>
      <c r="E1925" s="88"/>
      <c r="F1925" s="88"/>
      <c r="G1925" s="88"/>
      <c r="H1925" s="88"/>
      <c r="I1925" s="89"/>
    </row>
    <row r="1926" spans="1:9" x14ac:dyDescent="0.3">
      <c r="A1926" s="88"/>
      <c r="B1926" s="88"/>
      <c r="C1926" s="88"/>
      <c r="D1926" s="88"/>
      <c r="E1926" s="88"/>
      <c r="F1926" s="88"/>
      <c r="G1926" s="88"/>
      <c r="H1926" s="88"/>
      <c r="I1926" s="89"/>
    </row>
    <row r="1927" spans="1:9" x14ac:dyDescent="0.3">
      <c r="A1927" s="88"/>
      <c r="B1927" s="88"/>
      <c r="C1927" s="88"/>
      <c r="D1927" s="88"/>
      <c r="E1927" s="88"/>
      <c r="F1927" s="88"/>
      <c r="G1927" s="88"/>
      <c r="H1927" s="88"/>
      <c r="I1927" s="89"/>
    </row>
    <row r="1928" spans="1:9" x14ac:dyDescent="0.3">
      <c r="A1928" s="88"/>
      <c r="B1928" s="88"/>
      <c r="C1928" s="88"/>
      <c r="D1928" s="88"/>
      <c r="E1928" s="88"/>
      <c r="F1928" s="88"/>
      <c r="G1928" s="88"/>
      <c r="H1928" s="88"/>
      <c r="I1928" s="89"/>
    </row>
    <row r="1929" spans="1:9" x14ac:dyDescent="0.3">
      <c r="A1929" s="88"/>
      <c r="B1929" s="88"/>
      <c r="C1929" s="88"/>
      <c r="D1929" s="88"/>
      <c r="E1929" s="88"/>
      <c r="F1929" s="88"/>
      <c r="G1929" s="88"/>
      <c r="H1929" s="88"/>
      <c r="I1929" s="89"/>
    </row>
    <row r="1930" spans="1:9" x14ac:dyDescent="0.3">
      <c r="A1930" s="88"/>
      <c r="B1930" s="88"/>
      <c r="C1930" s="88"/>
      <c r="D1930" s="88"/>
      <c r="E1930" s="88"/>
      <c r="F1930" s="88"/>
      <c r="G1930" s="88"/>
      <c r="H1930" s="88"/>
      <c r="I1930" s="89"/>
    </row>
    <row r="1931" spans="1:9" x14ac:dyDescent="0.3">
      <c r="A1931" s="88"/>
      <c r="B1931" s="88"/>
      <c r="C1931" s="88"/>
      <c r="D1931" s="88"/>
      <c r="E1931" s="88"/>
      <c r="F1931" s="88"/>
      <c r="G1931" s="88"/>
      <c r="H1931" s="88"/>
      <c r="I1931" s="89"/>
    </row>
    <row r="1932" spans="1:9" x14ac:dyDescent="0.3">
      <c r="A1932" s="88"/>
      <c r="B1932" s="88"/>
      <c r="C1932" s="88"/>
      <c r="D1932" s="88"/>
      <c r="E1932" s="88"/>
      <c r="F1932" s="88"/>
      <c r="G1932" s="88"/>
      <c r="H1932" s="88"/>
      <c r="I1932" s="89"/>
    </row>
    <row r="1933" spans="1:9" x14ac:dyDescent="0.3">
      <c r="A1933" s="88"/>
      <c r="B1933" s="88"/>
      <c r="C1933" s="88"/>
      <c r="D1933" s="88"/>
      <c r="E1933" s="88"/>
      <c r="F1933" s="88"/>
      <c r="G1933" s="88"/>
      <c r="H1933" s="88"/>
      <c r="I1933" s="89"/>
    </row>
    <row r="1934" spans="1:9" x14ac:dyDescent="0.3">
      <c r="A1934" s="88"/>
      <c r="B1934" s="88"/>
      <c r="C1934" s="88"/>
      <c r="D1934" s="88"/>
      <c r="E1934" s="88"/>
      <c r="F1934" s="88"/>
      <c r="G1934" s="88"/>
      <c r="H1934" s="88"/>
      <c r="I1934" s="89"/>
    </row>
    <row r="1935" spans="1:9" x14ac:dyDescent="0.3">
      <c r="A1935" s="88"/>
      <c r="B1935" s="88"/>
      <c r="C1935" s="88"/>
      <c r="D1935" s="88"/>
      <c r="E1935" s="88"/>
      <c r="F1935" s="88"/>
      <c r="G1935" s="88"/>
      <c r="H1935" s="88"/>
      <c r="I1935" s="89"/>
    </row>
    <row r="1936" spans="1:9" x14ac:dyDescent="0.3">
      <c r="A1936" s="88"/>
      <c r="B1936" s="88"/>
      <c r="C1936" s="88"/>
      <c r="D1936" s="88"/>
      <c r="E1936" s="88"/>
      <c r="F1936" s="88"/>
      <c r="G1936" s="88"/>
      <c r="H1936" s="88"/>
      <c r="I1936" s="89"/>
    </row>
    <row r="1937" spans="1:9" x14ac:dyDescent="0.3">
      <c r="A1937" s="88"/>
      <c r="B1937" s="88"/>
      <c r="C1937" s="88"/>
      <c r="D1937" s="88"/>
      <c r="E1937" s="88"/>
      <c r="F1937" s="88"/>
      <c r="G1937" s="88"/>
      <c r="H1937" s="88"/>
      <c r="I1937" s="89"/>
    </row>
    <row r="1938" spans="1:9" x14ac:dyDescent="0.3">
      <c r="A1938" s="88"/>
      <c r="B1938" s="88"/>
      <c r="C1938" s="88"/>
      <c r="D1938" s="88"/>
      <c r="E1938" s="88"/>
      <c r="F1938" s="88"/>
      <c r="G1938" s="88"/>
      <c r="H1938" s="88"/>
      <c r="I1938" s="89"/>
    </row>
    <row r="1939" spans="1:9" x14ac:dyDescent="0.3">
      <c r="A1939" s="88"/>
      <c r="B1939" s="88"/>
      <c r="C1939" s="88"/>
      <c r="D1939" s="88"/>
      <c r="E1939" s="88"/>
      <c r="F1939" s="88"/>
      <c r="G1939" s="88"/>
      <c r="H1939" s="88"/>
      <c r="I1939" s="89"/>
    </row>
    <row r="1940" spans="1:9" x14ac:dyDescent="0.3">
      <c r="A1940" s="88"/>
      <c r="B1940" s="88"/>
      <c r="C1940" s="88"/>
      <c r="D1940" s="88"/>
      <c r="E1940" s="88"/>
      <c r="F1940" s="88"/>
      <c r="G1940" s="88"/>
      <c r="H1940" s="88"/>
      <c r="I1940" s="89"/>
    </row>
    <row r="1941" spans="1:9" x14ac:dyDescent="0.3">
      <c r="A1941" s="88"/>
      <c r="B1941" s="88"/>
      <c r="C1941" s="88"/>
      <c r="D1941" s="88"/>
      <c r="E1941" s="88"/>
      <c r="F1941" s="88"/>
      <c r="G1941" s="88"/>
      <c r="H1941" s="88"/>
      <c r="I1941" s="89"/>
    </row>
    <row r="1942" spans="1:9" x14ac:dyDescent="0.3">
      <c r="A1942" s="88"/>
      <c r="B1942" s="88"/>
      <c r="C1942" s="88"/>
      <c r="D1942" s="88"/>
      <c r="E1942" s="88"/>
      <c r="F1942" s="88"/>
      <c r="G1942" s="88"/>
      <c r="H1942" s="88"/>
      <c r="I1942" s="89"/>
    </row>
    <row r="1943" spans="1:9" x14ac:dyDescent="0.3">
      <c r="A1943" s="88"/>
      <c r="B1943" s="88"/>
      <c r="C1943" s="88"/>
      <c r="D1943" s="88"/>
      <c r="E1943" s="88"/>
      <c r="F1943" s="88"/>
      <c r="G1943" s="88"/>
      <c r="H1943" s="88"/>
      <c r="I1943" s="89"/>
    </row>
    <row r="1944" spans="1:9" x14ac:dyDescent="0.3">
      <c r="A1944" s="88"/>
      <c r="B1944" s="88"/>
      <c r="C1944" s="88"/>
      <c r="D1944" s="88"/>
      <c r="E1944" s="88"/>
      <c r="F1944" s="88"/>
      <c r="G1944" s="88"/>
      <c r="H1944" s="88"/>
      <c r="I1944" s="89"/>
    </row>
    <row r="1945" spans="1:9" x14ac:dyDescent="0.3">
      <c r="A1945" s="88"/>
      <c r="B1945" s="88"/>
      <c r="C1945" s="88"/>
      <c r="D1945" s="88"/>
      <c r="E1945" s="88"/>
      <c r="F1945" s="88"/>
      <c r="G1945" s="88"/>
      <c r="H1945" s="88"/>
      <c r="I1945" s="89"/>
    </row>
    <row r="1946" spans="1:9" x14ac:dyDescent="0.3">
      <c r="A1946" s="88"/>
      <c r="B1946" s="88"/>
      <c r="C1946" s="88"/>
      <c r="D1946" s="88"/>
      <c r="E1946" s="88"/>
      <c r="F1946" s="88"/>
      <c r="G1946" s="88"/>
      <c r="H1946" s="88"/>
      <c r="I1946" s="89"/>
    </row>
    <row r="1947" spans="1:9" x14ac:dyDescent="0.3">
      <c r="A1947" s="88"/>
      <c r="B1947" s="88"/>
      <c r="C1947" s="88"/>
      <c r="D1947" s="88"/>
      <c r="E1947" s="88"/>
      <c r="F1947" s="88"/>
      <c r="G1947" s="88"/>
      <c r="H1947" s="88"/>
      <c r="I1947" s="89"/>
    </row>
    <row r="1948" spans="1:9" x14ac:dyDescent="0.3">
      <c r="A1948" s="88"/>
      <c r="B1948" s="88"/>
      <c r="C1948" s="88"/>
      <c r="D1948" s="88"/>
      <c r="E1948" s="88"/>
      <c r="F1948" s="88"/>
      <c r="G1948" s="88"/>
      <c r="H1948" s="88"/>
      <c r="I1948" s="89"/>
    </row>
    <row r="1949" spans="1:9" x14ac:dyDescent="0.3">
      <c r="A1949" s="88"/>
      <c r="B1949" s="88"/>
      <c r="C1949" s="88"/>
      <c r="D1949" s="88"/>
      <c r="E1949" s="88"/>
      <c r="F1949" s="88"/>
      <c r="G1949" s="88"/>
      <c r="H1949" s="88"/>
      <c r="I1949" s="89"/>
    </row>
    <row r="1950" spans="1:9" x14ac:dyDescent="0.3">
      <c r="A1950" s="88"/>
      <c r="B1950" s="88"/>
      <c r="C1950" s="88"/>
      <c r="D1950" s="88"/>
      <c r="E1950" s="88"/>
      <c r="F1950" s="88"/>
      <c r="G1950" s="88"/>
      <c r="H1950" s="88"/>
      <c r="I1950" s="89"/>
    </row>
    <row r="1951" spans="1:9" x14ac:dyDescent="0.3">
      <c r="A1951" s="88"/>
      <c r="B1951" s="88"/>
      <c r="C1951" s="88"/>
      <c r="D1951" s="88"/>
      <c r="E1951" s="88"/>
      <c r="F1951" s="88"/>
      <c r="G1951" s="88"/>
      <c r="H1951" s="88"/>
      <c r="I1951" s="89"/>
    </row>
    <row r="1952" spans="1:9" x14ac:dyDescent="0.3">
      <c r="A1952" s="88"/>
      <c r="B1952" s="88"/>
      <c r="C1952" s="88"/>
      <c r="D1952" s="88"/>
      <c r="E1952" s="88"/>
      <c r="F1952" s="88"/>
      <c r="G1952" s="88"/>
      <c r="H1952" s="88"/>
      <c r="I1952" s="89"/>
    </row>
    <row r="1953" spans="1:9" x14ac:dyDescent="0.3">
      <c r="A1953" s="88"/>
      <c r="B1953" s="88"/>
      <c r="C1953" s="88"/>
      <c r="D1953" s="88"/>
      <c r="E1953" s="88"/>
      <c r="F1953" s="88"/>
      <c r="G1953" s="88"/>
      <c r="H1953" s="88"/>
      <c r="I1953" s="89"/>
    </row>
    <row r="1954" spans="1:9" x14ac:dyDescent="0.3">
      <c r="A1954" s="88"/>
      <c r="B1954" s="88"/>
      <c r="C1954" s="88"/>
      <c r="D1954" s="88"/>
      <c r="E1954" s="88"/>
      <c r="F1954" s="88"/>
      <c r="G1954" s="88"/>
      <c r="H1954" s="88"/>
      <c r="I1954" s="89"/>
    </row>
    <row r="1955" spans="1:9" x14ac:dyDescent="0.3">
      <c r="A1955" s="88"/>
      <c r="B1955" s="88"/>
      <c r="C1955" s="88"/>
      <c r="D1955" s="88"/>
      <c r="E1955" s="88"/>
      <c r="F1955" s="88"/>
      <c r="G1955" s="88"/>
      <c r="H1955" s="88"/>
      <c r="I1955" s="89"/>
    </row>
    <row r="1956" spans="1:9" x14ac:dyDescent="0.3">
      <c r="A1956" s="88"/>
      <c r="B1956" s="88"/>
      <c r="C1956" s="88"/>
      <c r="D1956" s="88"/>
      <c r="E1956" s="88"/>
      <c r="F1956" s="88"/>
      <c r="G1956" s="88"/>
      <c r="H1956" s="88"/>
      <c r="I1956" s="89"/>
    </row>
    <row r="1957" spans="1:9" x14ac:dyDescent="0.3">
      <c r="A1957" s="88"/>
      <c r="B1957" s="88"/>
      <c r="C1957" s="88"/>
      <c r="D1957" s="88"/>
      <c r="E1957" s="88"/>
      <c r="F1957" s="88"/>
      <c r="G1957" s="88"/>
      <c r="H1957" s="88"/>
      <c r="I1957" s="89"/>
    </row>
    <row r="1958" spans="1:9" x14ac:dyDescent="0.3">
      <c r="A1958" s="88"/>
      <c r="B1958" s="88"/>
      <c r="C1958" s="88"/>
      <c r="D1958" s="88"/>
      <c r="E1958" s="88"/>
      <c r="F1958" s="88"/>
      <c r="G1958" s="88"/>
      <c r="H1958" s="88"/>
      <c r="I1958" s="89"/>
    </row>
    <row r="1959" spans="1:9" x14ac:dyDescent="0.3">
      <c r="A1959" s="88"/>
      <c r="B1959" s="88"/>
      <c r="C1959" s="88"/>
      <c r="D1959" s="88"/>
      <c r="E1959" s="88"/>
      <c r="F1959" s="88"/>
      <c r="G1959" s="88"/>
      <c r="H1959" s="88"/>
      <c r="I1959" s="89"/>
    </row>
    <row r="1960" spans="1:9" x14ac:dyDescent="0.3">
      <c r="A1960" s="88"/>
      <c r="B1960" s="88"/>
      <c r="C1960" s="88"/>
      <c r="D1960" s="88"/>
      <c r="E1960" s="88"/>
      <c r="F1960" s="88"/>
      <c r="G1960" s="88"/>
      <c r="H1960" s="88"/>
      <c r="I1960" s="89"/>
    </row>
    <row r="1961" spans="1:9" x14ac:dyDescent="0.3">
      <c r="A1961" s="88"/>
      <c r="B1961" s="88"/>
      <c r="C1961" s="88"/>
      <c r="D1961" s="88"/>
      <c r="E1961" s="88"/>
      <c r="F1961" s="88"/>
      <c r="G1961" s="88"/>
      <c r="H1961" s="88"/>
      <c r="I1961" s="89"/>
    </row>
    <row r="1962" spans="1:9" x14ac:dyDescent="0.3">
      <c r="A1962" s="88"/>
      <c r="B1962" s="88"/>
      <c r="C1962" s="88"/>
      <c r="D1962" s="88"/>
      <c r="E1962" s="88"/>
      <c r="F1962" s="88"/>
      <c r="G1962" s="88"/>
      <c r="H1962" s="88"/>
      <c r="I1962" s="89"/>
    </row>
    <row r="1963" spans="1:9" x14ac:dyDescent="0.3">
      <c r="A1963" s="88"/>
      <c r="B1963" s="88"/>
      <c r="C1963" s="88"/>
      <c r="D1963" s="88"/>
      <c r="E1963" s="88"/>
      <c r="F1963" s="88"/>
      <c r="G1963" s="88"/>
      <c r="H1963" s="88"/>
      <c r="I1963" s="89"/>
    </row>
    <row r="1964" spans="1:9" x14ac:dyDescent="0.3">
      <c r="A1964" s="88"/>
      <c r="B1964" s="88"/>
      <c r="C1964" s="88"/>
      <c r="D1964" s="88"/>
      <c r="E1964" s="88"/>
      <c r="F1964" s="88"/>
      <c r="G1964" s="88"/>
      <c r="H1964" s="88"/>
      <c r="I1964" s="89"/>
    </row>
    <row r="1965" spans="1:9" x14ac:dyDescent="0.3">
      <c r="A1965" s="88"/>
      <c r="B1965" s="88"/>
      <c r="C1965" s="88"/>
      <c r="D1965" s="88"/>
      <c r="E1965" s="88"/>
      <c r="F1965" s="88"/>
      <c r="G1965" s="88"/>
      <c r="H1965" s="88"/>
      <c r="I1965" s="89"/>
    </row>
    <row r="1966" spans="1:9" x14ac:dyDescent="0.3">
      <c r="A1966" s="88"/>
      <c r="B1966" s="88"/>
      <c r="C1966" s="88"/>
      <c r="D1966" s="88"/>
      <c r="E1966" s="88"/>
      <c r="F1966" s="88"/>
      <c r="G1966" s="88"/>
      <c r="H1966" s="88"/>
      <c r="I1966" s="89"/>
    </row>
    <row r="1967" spans="1:9" x14ac:dyDescent="0.3">
      <c r="A1967" s="88"/>
      <c r="B1967" s="88"/>
      <c r="C1967" s="88"/>
      <c r="D1967" s="88"/>
      <c r="E1967" s="88"/>
      <c r="F1967" s="88"/>
      <c r="G1967" s="88"/>
      <c r="H1967" s="88"/>
      <c r="I1967" s="89"/>
    </row>
    <row r="1968" spans="1:9" x14ac:dyDescent="0.3">
      <c r="A1968" s="88"/>
      <c r="B1968" s="88"/>
      <c r="C1968" s="88"/>
      <c r="D1968" s="88"/>
      <c r="E1968" s="88"/>
      <c r="F1968" s="88"/>
      <c r="G1968" s="88"/>
      <c r="H1968" s="88"/>
      <c r="I1968" s="89"/>
    </row>
    <row r="1969" spans="1:9" x14ac:dyDescent="0.3">
      <c r="A1969" s="88"/>
      <c r="B1969" s="88"/>
      <c r="C1969" s="88"/>
      <c r="D1969" s="88"/>
      <c r="E1969" s="88"/>
      <c r="F1969" s="88"/>
      <c r="G1969" s="88"/>
      <c r="H1969" s="88"/>
      <c r="I1969" s="89"/>
    </row>
    <row r="1970" spans="1:9" x14ac:dyDescent="0.3">
      <c r="A1970" s="88"/>
      <c r="B1970" s="88"/>
      <c r="C1970" s="88"/>
      <c r="D1970" s="88"/>
      <c r="E1970" s="88"/>
      <c r="F1970" s="88"/>
      <c r="G1970" s="88"/>
      <c r="H1970" s="88"/>
      <c r="I1970" s="89"/>
    </row>
    <row r="1971" spans="1:9" x14ac:dyDescent="0.3">
      <c r="A1971" s="88"/>
      <c r="B1971" s="88"/>
      <c r="C1971" s="88"/>
      <c r="D1971" s="88"/>
      <c r="E1971" s="88"/>
      <c r="F1971" s="88"/>
      <c r="G1971" s="88"/>
      <c r="H1971" s="88"/>
      <c r="I1971" s="89"/>
    </row>
    <row r="1972" spans="1:9" x14ac:dyDescent="0.3">
      <c r="A1972" s="88"/>
      <c r="B1972" s="88"/>
      <c r="C1972" s="88"/>
      <c r="D1972" s="88"/>
      <c r="E1972" s="88"/>
      <c r="F1972" s="88"/>
      <c r="G1972" s="88"/>
      <c r="H1972" s="88"/>
      <c r="I1972" s="89"/>
    </row>
    <row r="1973" spans="1:9" x14ac:dyDescent="0.3">
      <c r="A1973" s="88"/>
      <c r="B1973" s="88"/>
      <c r="C1973" s="88"/>
      <c r="D1973" s="88"/>
      <c r="E1973" s="88"/>
      <c r="F1973" s="88"/>
      <c r="G1973" s="88"/>
      <c r="H1973" s="88"/>
      <c r="I1973" s="89"/>
    </row>
    <row r="1974" spans="1:9" x14ac:dyDescent="0.3">
      <c r="A1974" s="88"/>
      <c r="B1974" s="88"/>
      <c r="C1974" s="88"/>
      <c r="D1974" s="88"/>
      <c r="E1974" s="88"/>
      <c r="F1974" s="88"/>
      <c r="G1974" s="88"/>
      <c r="H1974" s="88"/>
      <c r="I1974" s="89"/>
    </row>
    <row r="1975" spans="1:9" x14ac:dyDescent="0.3">
      <c r="A1975" s="88"/>
      <c r="B1975" s="88"/>
      <c r="C1975" s="88"/>
      <c r="D1975" s="88"/>
      <c r="E1975" s="88"/>
      <c r="F1975" s="88"/>
      <c r="G1975" s="88"/>
      <c r="H1975" s="88"/>
      <c r="I1975" s="89"/>
    </row>
    <row r="1976" spans="1:9" x14ac:dyDescent="0.3">
      <c r="A1976" s="88"/>
      <c r="B1976" s="88"/>
      <c r="C1976" s="88"/>
      <c r="D1976" s="88"/>
      <c r="E1976" s="88"/>
      <c r="F1976" s="88"/>
      <c r="G1976" s="88"/>
      <c r="H1976" s="88"/>
      <c r="I1976" s="89"/>
    </row>
    <row r="1977" spans="1:9" x14ac:dyDescent="0.3">
      <c r="A1977" s="88"/>
      <c r="B1977" s="88"/>
      <c r="C1977" s="88"/>
      <c r="D1977" s="88"/>
      <c r="E1977" s="88"/>
      <c r="F1977" s="88"/>
      <c r="G1977" s="88"/>
      <c r="H1977" s="88"/>
      <c r="I1977" s="89"/>
    </row>
    <row r="1978" spans="1:9" x14ac:dyDescent="0.3">
      <c r="A1978" s="88"/>
      <c r="B1978" s="88"/>
      <c r="C1978" s="88"/>
      <c r="D1978" s="88"/>
      <c r="E1978" s="88"/>
      <c r="F1978" s="88"/>
      <c r="G1978" s="88"/>
      <c r="H1978" s="88"/>
      <c r="I1978" s="89"/>
    </row>
    <row r="1979" spans="1:9" x14ac:dyDescent="0.3">
      <c r="A1979" s="88"/>
      <c r="B1979" s="88"/>
      <c r="C1979" s="88"/>
      <c r="D1979" s="88"/>
      <c r="E1979" s="88"/>
      <c r="F1979" s="88"/>
      <c r="G1979" s="88"/>
      <c r="H1979" s="88"/>
      <c r="I1979" s="89"/>
    </row>
    <row r="1980" spans="1:9" x14ac:dyDescent="0.3">
      <c r="A1980" s="88"/>
      <c r="B1980" s="88"/>
      <c r="C1980" s="88"/>
      <c r="D1980" s="88"/>
      <c r="E1980" s="88"/>
      <c r="F1980" s="88"/>
      <c r="G1980" s="88"/>
      <c r="H1980" s="88"/>
      <c r="I1980" s="89"/>
    </row>
    <row r="1981" spans="1:9" x14ac:dyDescent="0.3">
      <c r="A1981" s="88"/>
      <c r="B1981" s="88"/>
      <c r="C1981" s="88"/>
      <c r="D1981" s="88"/>
      <c r="E1981" s="88"/>
      <c r="F1981" s="88"/>
      <c r="G1981" s="88"/>
      <c r="H1981" s="88"/>
      <c r="I1981" s="89"/>
    </row>
    <row r="1982" spans="1:9" x14ac:dyDescent="0.3">
      <c r="A1982" s="88"/>
      <c r="B1982" s="88"/>
      <c r="C1982" s="88"/>
      <c r="D1982" s="88"/>
      <c r="E1982" s="88"/>
      <c r="F1982" s="88"/>
      <c r="G1982" s="88"/>
      <c r="H1982" s="88"/>
      <c r="I1982" s="89"/>
    </row>
    <row r="1983" spans="1:9" x14ac:dyDescent="0.3">
      <c r="A1983" s="88"/>
      <c r="B1983" s="88"/>
      <c r="C1983" s="88"/>
      <c r="D1983" s="88"/>
      <c r="E1983" s="88"/>
      <c r="F1983" s="88"/>
      <c r="G1983" s="88"/>
      <c r="H1983" s="88"/>
      <c r="I1983" s="89"/>
    </row>
    <row r="1984" spans="1:9" x14ac:dyDescent="0.3">
      <c r="A1984" s="88"/>
      <c r="B1984" s="88"/>
      <c r="C1984" s="88"/>
      <c r="D1984" s="88"/>
      <c r="E1984" s="88"/>
      <c r="F1984" s="88"/>
      <c r="G1984" s="88"/>
      <c r="H1984" s="88"/>
      <c r="I1984" s="89"/>
    </row>
    <row r="1985" spans="1:9" x14ac:dyDescent="0.3">
      <c r="A1985" s="88"/>
      <c r="B1985" s="88"/>
      <c r="C1985" s="88"/>
      <c r="D1985" s="88"/>
      <c r="E1985" s="88"/>
      <c r="F1985" s="88"/>
      <c r="G1985" s="88"/>
      <c r="H1985" s="88"/>
      <c r="I1985" s="89"/>
    </row>
    <row r="1986" spans="1:9" x14ac:dyDescent="0.3">
      <c r="A1986" s="88"/>
      <c r="B1986" s="88"/>
      <c r="C1986" s="88"/>
      <c r="D1986" s="88"/>
      <c r="E1986" s="88"/>
      <c r="F1986" s="88"/>
      <c r="G1986" s="88"/>
      <c r="H1986" s="88"/>
      <c r="I1986" s="89"/>
    </row>
    <row r="1987" spans="1:9" x14ac:dyDescent="0.3">
      <c r="A1987" s="88"/>
      <c r="B1987" s="88"/>
      <c r="C1987" s="88"/>
      <c r="D1987" s="88"/>
      <c r="E1987" s="88"/>
      <c r="F1987" s="88"/>
      <c r="G1987" s="88"/>
      <c r="H1987" s="88"/>
      <c r="I1987" s="89"/>
    </row>
    <row r="1988" spans="1:9" x14ac:dyDescent="0.3">
      <c r="A1988" s="88"/>
      <c r="B1988" s="88"/>
      <c r="C1988" s="88"/>
      <c r="D1988" s="88"/>
      <c r="E1988" s="88"/>
      <c r="F1988" s="88"/>
      <c r="G1988" s="88"/>
      <c r="H1988" s="88"/>
      <c r="I1988" s="89"/>
    </row>
    <row r="1989" spans="1:9" x14ac:dyDescent="0.3">
      <c r="A1989" s="88"/>
      <c r="B1989" s="88"/>
      <c r="C1989" s="88"/>
      <c r="D1989" s="88"/>
      <c r="E1989" s="88"/>
      <c r="F1989" s="88"/>
      <c r="G1989" s="88"/>
      <c r="H1989" s="88"/>
      <c r="I1989" s="89"/>
    </row>
    <row r="1990" spans="1:9" x14ac:dyDescent="0.3">
      <c r="A1990" s="88"/>
      <c r="B1990" s="88"/>
      <c r="C1990" s="88"/>
      <c r="D1990" s="88"/>
      <c r="E1990" s="88"/>
      <c r="F1990" s="88"/>
      <c r="G1990" s="88"/>
      <c r="H1990" s="88"/>
      <c r="I1990" s="89"/>
    </row>
    <row r="1991" spans="1:9" x14ac:dyDescent="0.3">
      <c r="A1991" s="88"/>
      <c r="B1991" s="88"/>
      <c r="C1991" s="88"/>
      <c r="D1991" s="88"/>
      <c r="E1991" s="88"/>
      <c r="F1991" s="88"/>
      <c r="G1991" s="88"/>
      <c r="H1991" s="88"/>
      <c r="I1991" s="89"/>
    </row>
    <row r="1992" spans="1:9" x14ac:dyDescent="0.3">
      <c r="A1992" s="88"/>
      <c r="B1992" s="88"/>
      <c r="C1992" s="88"/>
      <c r="D1992" s="88"/>
      <c r="E1992" s="88"/>
      <c r="F1992" s="88"/>
      <c r="G1992" s="88"/>
      <c r="H1992" s="88"/>
      <c r="I1992" s="89"/>
    </row>
    <row r="1993" spans="1:9" x14ac:dyDescent="0.3">
      <c r="A1993" s="88"/>
      <c r="B1993" s="88"/>
      <c r="C1993" s="88"/>
      <c r="D1993" s="88"/>
      <c r="E1993" s="88"/>
      <c r="F1993" s="88"/>
      <c r="G1993" s="88"/>
      <c r="H1993" s="88"/>
      <c r="I1993" s="89"/>
    </row>
    <row r="1994" spans="1:9" x14ac:dyDescent="0.3">
      <c r="A1994" s="88"/>
      <c r="B1994" s="88"/>
      <c r="C1994" s="88"/>
      <c r="D1994" s="88"/>
      <c r="E1994" s="88"/>
      <c r="F1994" s="88"/>
      <c r="G1994" s="88"/>
      <c r="H1994" s="88"/>
      <c r="I1994" s="89"/>
    </row>
    <row r="1995" spans="1:9" x14ac:dyDescent="0.3">
      <c r="A1995" s="88"/>
      <c r="B1995" s="88"/>
      <c r="C1995" s="88"/>
      <c r="D1995" s="88"/>
      <c r="E1995" s="88"/>
      <c r="F1995" s="88"/>
      <c r="G1995" s="88"/>
      <c r="H1995" s="88"/>
      <c r="I1995" s="89"/>
    </row>
    <row r="1996" spans="1:9" x14ac:dyDescent="0.3">
      <c r="A1996" s="88"/>
      <c r="B1996" s="88"/>
      <c r="C1996" s="88"/>
      <c r="D1996" s="88"/>
      <c r="E1996" s="88"/>
      <c r="F1996" s="88"/>
      <c r="G1996" s="88"/>
      <c r="H1996" s="88"/>
      <c r="I1996" s="89"/>
    </row>
    <row r="1997" spans="1:9" x14ac:dyDescent="0.3">
      <c r="A1997" s="88"/>
      <c r="B1997" s="88"/>
      <c r="C1997" s="88"/>
      <c r="D1997" s="88"/>
      <c r="E1997" s="88"/>
      <c r="F1997" s="88"/>
      <c r="G1997" s="88"/>
      <c r="H1997" s="88"/>
      <c r="I1997" s="89"/>
    </row>
    <row r="1998" spans="1:9" x14ac:dyDescent="0.3">
      <c r="A1998" s="88"/>
      <c r="B1998" s="88"/>
      <c r="C1998" s="88"/>
      <c r="D1998" s="88"/>
      <c r="E1998" s="88"/>
      <c r="F1998" s="88"/>
      <c r="G1998" s="88"/>
      <c r="H1998" s="88"/>
      <c r="I1998" s="89"/>
    </row>
    <row r="1999" spans="1:9" x14ac:dyDescent="0.3">
      <c r="A1999" s="88"/>
      <c r="B1999" s="88"/>
      <c r="C1999" s="88"/>
      <c r="D1999" s="88"/>
      <c r="E1999" s="88"/>
      <c r="F1999" s="88"/>
      <c r="G1999" s="88"/>
      <c r="H1999" s="88"/>
      <c r="I1999" s="89"/>
    </row>
    <row r="2000" spans="1:9" x14ac:dyDescent="0.3">
      <c r="A2000" s="88"/>
      <c r="B2000" s="88"/>
      <c r="C2000" s="88"/>
      <c r="D2000" s="88"/>
      <c r="E2000" s="88"/>
      <c r="F2000" s="88"/>
      <c r="G2000" s="88"/>
      <c r="H2000" s="88"/>
      <c r="I2000" s="89"/>
    </row>
    <row r="2001" spans="1:9" x14ac:dyDescent="0.3">
      <c r="A2001" s="88"/>
      <c r="B2001" s="88"/>
      <c r="C2001" s="88"/>
      <c r="D2001" s="88"/>
      <c r="E2001" s="88"/>
      <c r="F2001" s="88"/>
      <c r="G2001" s="88"/>
      <c r="H2001" s="88"/>
      <c r="I2001" s="89"/>
    </row>
    <row r="2002" spans="1:9" x14ac:dyDescent="0.3">
      <c r="A2002" s="88"/>
      <c r="B2002" s="88"/>
      <c r="C2002" s="88"/>
      <c r="D2002" s="88"/>
      <c r="E2002" s="88"/>
      <c r="F2002" s="88"/>
      <c r="G2002" s="88"/>
      <c r="H2002" s="88"/>
      <c r="I2002" s="89"/>
    </row>
    <row r="2003" spans="1:9" x14ac:dyDescent="0.3">
      <c r="A2003" s="88"/>
      <c r="B2003" s="88"/>
      <c r="C2003" s="88"/>
      <c r="D2003" s="88"/>
      <c r="E2003" s="88"/>
      <c r="F2003" s="88"/>
      <c r="G2003" s="88"/>
      <c r="H2003" s="88"/>
      <c r="I2003" s="89"/>
    </row>
    <row r="2004" spans="1:9" x14ac:dyDescent="0.3">
      <c r="A2004" s="88"/>
      <c r="B2004" s="88"/>
      <c r="C2004" s="88"/>
      <c r="D2004" s="88"/>
      <c r="E2004" s="88"/>
      <c r="F2004" s="88"/>
      <c r="G2004" s="88"/>
      <c r="H2004" s="88"/>
      <c r="I2004" s="89"/>
    </row>
    <row r="2005" spans="1:9" x14ac:dyDescent="0.3">
      <c r="A2005" s="88"/>
      <c r="B2005" s="88"/>
      <c r="C2005" s="88"/>
      <c r="D2005" s="88"/>
      <c r="E2005" s="88"/>
      <c r="F2005" s="88"/>
      <c r="G2005" s="88"/>
      <c r="H2005" s="88"/>
      <c r="I2005" s="89"/>
    </row>
    <row r="2006" spans="1:9" x14ac:dyDescent="0.3">
      <c r="A2006" s="88"/>
      <c r="B2006" s="88"/>
      <c r="C2006" s="88"/>
      <c r="D2006" s="88"/>
      <c r="E2006" s="88"/>
      <c r="F2006" s="88"/>
      <c r="G2006" s="88"/>
      <c r="H2006" s="88"/>
      <c r="I2006" s="89"/>
    </row>
    <row r="2007" spans="1:9" x14ac:dyDescent="0.3">
      <c r="A2007" s="88"/>
      <c r="B2007" s="88"/>
      <c r="C2007" s="88"/>
      <c r="D2007" s="88"/>
      <c r="E2007" s="88"/>
      <c r="F2007" s="88"/>
      <c r="G2007" s="88"/>
      <c r="H2007" s="88"/>
      <c r="I2007" s="89"/>
    </row>
    <row r="2008" spans="1:9" x14ac:dyDescent="0.3">
      <c r="A2008" s="88"/>
      <c r="B2008" s="88"/>
      <c r="C2008" s="88"/>
      <c r="D2008" s="88"/>
      <c r="E2008" s="88"/>
      <c r="F2008" s="88"/>
      <c r="G2008" s="88"/>
      <c r="H2008" s="88"/>
      <c r="I2008" s="89"/>
    </row>
    <row r="2009" spans="1:9" x14ac:dyDescent="0.3">
      <c r="A2009" s="88"/>
      <c r="B2009" s="88"/>
      <c r="C2009" s="88"/>
      <c r="D2009" s="88"/>
      <c r="E2009" s="88"/>
      <c r="F2009" s="88"/>
      <c r="G2009" s="88"/>
      <c r="H2009" s="88"/>
      <c r="I2009" s="89"/>
    </row>
    <row r="2010" spans="1:9" x14ac:dyDescent="0.3">
      <c r="A2010" s="88"/>
      <c r="B2010" s="88"/>
      <c r="C2010" s="88"/>
      <c r="D2010" s="88"/>
      <c r="E2010" s="88"/>
      <c r="F2010" s="88"/>
      <c r="G2010" s="88"/>
      <c r="H2010" s="88"/>
      <c r="I2010" s="89"/>
    </row>
    <row r="2011" spans="1:9" x14ac:dyDescent="0.3">
      <c r="A2011" s="88"/>
      <c r="B2011" s="88"/>
      <c r="C2011" s="88"/>
      <c r="D2011" s="88"/>
      <c r="E2011" s="88"/>
      <c r="F2011" s="88"/>
      <c r="G2011" s="88"/>
      <c r="H2011" s="88"/>
      <c r="I2011" s="89"/>
    </row>
    <row r="2012" spans="1:9" x14ac:dyDescent="0.3">
      <c r="A2012" s="88"/>
      <c r="B2012" s="88"/>
      <c r="C2012" s="88"/>
      <c r="D2012" s="88"/>
      <c r="E2012" s="88"/>
      <c r="F2012" s="88"/>
      <c r="G2012" s="88"/>
      <c r="H2012" s="88"/>
      <c r="I2012" s="89"/>
    </row>
    <row r="2013" spans="1:9" x14ac:dyDescent="0.3">
      <c r="A2013" s="88"/>
      <c r="B2013" s="88"/>
      <c r="C2013" s="88"/>
      <c r="D2013" s="88"/>
      <c r="E2013" s="88"/>
      <c r="F2013" s="88"/>
      <c r="G2013" s="88"/>
      <c r="H2013" s="88"/>
      <c r="I2013" s="89"/>
    </row>
    <row r="2014" spans="1:9" x14ac:dyDescent="0.3">
      <c r="A2014" s="88"/>
      <c r="B2014" s="88"/>
      <c r="C2014" s="88"/>
      <c r="D2014" s="88"/>
      <c r="E2014" s="88"/>
      <c r="F2014" s="88"/>
      <c r="G2014" s="88"/>
      <c r="H2014" s="88"/>
      <c r="I2014" s="89"/>
    </row>
    <row r="2015" spans="1:9" x14ac:dyDescent="0.3">
      <c r="A2015" s="88"/>
      <c r="B2015" s="88"/>
      <c r="C2015" s="88"/>
      <c r="D2015" s="88"/>
      <c r="E2015" s="88"/>
      <c r="F2015" s="88"/>
      <c r="G2015" s="88"/>
      <c r="H2015" s="88"/>
      <c r="I2015" s="89"/>
    </row>
    <row r="2016" spans="1:9" x14ac:dyDescent="0.3">
      <c r="A2016" s="88"/>
      <c r="B2016" s="88"/>
      <c r="C2016" s="88"/>
      <c r="D2016" s="88"/>
      <c r="E2016" s="88"/>
      <c r="F2016" s="88"/>
      <c r="G2016" s="88"/>
      <c r="H2016" s="88"/>
      <c r="I2016" s="89"/>
    </row>
    <row r="2017" spans="1:9" x14ac:dyDescent="0.3">
      <c r="A2017" s="88"/>
      <c r="B2017" s="88"/>
      <c r="C2017" s="88"/>
      <c r="D2017" s="88"/>
      <c r="E2017" s="88"/>
      <c r="F2017" s="88"/>
      <c r="G2017" s="88"/>
      <c r="H2017" s="88"/>
      <c r="I2017" s="89"/>
    </row>
    <row r="2018" spans="1:9" x14ac:dyDescent="0.3">
      <c r="A2018" s="88"/>
      <c r="B2018" s="88"/>
      <c r="C2018" s="88"/>
      <c r="D2018" s="88"/>
      <c r="E2018" s="88"/>
      <c r="F2018" s="88"/>
      <c r="G2018" s="88"/>
      <c r="H2018" s="88"/>
      <c r="I2018" s="89"/>
    </row>
    <row r="2019" spans="1:9" x14ac:dyDescent="0.3">
      <c r="A2019" s="88"/>
      <c r="B2019" s="88"/>
      <c r="C2019" s="88"/>
      <c r="D2019" s="88"/>
      <c r="E2019" s="88"/>
      <c r="F2019" s="88"/>
      <c r="G2019" s="88"/>
      <c r="H2019" s="88"/>
      <c r="I2019" s="89"/>
    </row>
    <row r="2020" spans="1:9" x14ac:dyDescent="0.3">
      <c r="A2020" s="88"/>
      <c r="B2020" s="88"/>
      <c r="C2020" s="88"/>
      <c r="D2020" s="88"/>
      <c r="E2020" s="88"/>
      <c r="F2020" s="88"/>
      <c r="G2020" s="88"/>
      <c r="H2020" s="88"/>
      <c r="I2020" s="89"/>
    </row>
    <row r="2021" spans="1:9" x14ac:dyDescent="0.3">
      <c r="A2021" s="88"/>
      <c r="B2021" s="88"/>
      <c r="C2021" s="88"/>
      <c r="D2021" s="88"/>
      <c r="E2021" s="88"/>
      <c r="F2021" s="88"/>
      <c r="G2021" s="88"/>
      <c r="H2021" s="88"/>
      <c r="I2021" s="89"/>
    </row>
    <row r="2022" spans="1:9" x14ac:dyDescent="0.3">
      <c r="A2022" s="88"/>
      <c r="B2022" s="88"/>
      <c r="C2022" s="88"/>
      <c r="D2022" s="88"/>
      <c r="E2022" s="88"/>
      <c r="F2022" s="88"/>
      <c r="G2022" s="88"/>
      <c r="H2022" s="88"/>
      <c r="I2022" s="89"/>
    </row>
    <row r="2023" spans="1:9" x14ac:dyDescent="0.3">
      <c r="A2023" s="88"/>
      <c r="B2023" s="88"/>
      <c r="C2023" s="88"/>
      <c r="D2023" s="88"/>
      <c r="E2023" s="88"/>
      <c r="F2023" s="88"/>
      <c r="G2023" s="88"/>
      <c r="H2023" s="88"/>
      <c r="I2023" s="89"/>
    </row>
    <row r="2024" spans="1:9" x14ac:dyDescent="0.3">
      <c r="A2024" s="88"/>
      <c r="B2024" s="88"/>
      <c r="C2024" s="88"/>
      <c r="D2024" s="88"/>
      <c r="E2024" s="88"/>
      <c r="F2024" s="88"/>
      <c r="G2024" s="88"/>
      <c r="H2024" s="88"/>
      <c r="I2024" s="89"/>
    </row>
    <row r="2025" spans="1:9" x14ac:dyDescent="0.3">
      <c r="A2025" s="88"/>
      <c r="B2025" s="88"/>
      <c r="C2025" s="88"/>
      <c r="D2025" s="88"/>
      <c r="E2025" s="88"/>
      <c r="F2025" s="88"/>
      <c r="G2025" s="88"/>
      <c r="H2025" s="88"/>
      <c r="I2025" s="89"/>
    </row>
    <row r="2026" spans="1:9" x14ac:dyDescent="0.3">
      <c r="A2026" s="88"/>
      <c r="B2026" s="88"/>
      <c r="C2026" s="88"/>
      <c r="D2026" s="88"/>
      <c r="E2026" s="88"/>
      <c r="F2026" s="88"/>
      <c r="G2026" s="88"/>
      <c r="H2026" s="88"/>
      <c r="I2026" s="89"/>
    </row>
    <row r="2027" spans="1:9" x14ac:dyDescent="0.3">
      <c r="A2027" s="88"/>
      <c r="B2027" s="88"/>
      <c r="C2027" s="88"/>
      <c r="D2027" s="88"/>
      <c r="E2027" s="88"/>
      <c r="F2027" s="88"/>
      <c r="G2027" s="88"/>
      <c r="H2027" s="88"/>
      <c r="I2027" s="89"/>
    </row>
    <row r="2028" spans="1:9" x14ac:dyDescent="0.3">
      <c r="A2028" s="88"/>
      <c r="B2028" s="88"/>
      <c r="C2028" s="88"/>
      <c r="D2028" s="88"/>
      <c r="E2028" s="88"/>
      <c r="F2028" s="88"/>
      <c r="G2028" s="88"/>
      <c r="H2028" s="88"/>
      <c r="I2028" s="89"/>
    </row>
    <row r="2029" spans="1:9" x14ac:dyDescent="0.3">
      <c r="A2029" s="88"/>
      <c r="B2029" s="88"/>
      <c r="C2029" s="88"/>
      <c r="D2029" s="88"/>
      <c r="E2029" s="88"/>
      <c r="F2029" s="88"/>
      <c r="G2029" s="88"/>
      <c r="H2029" s="88"/>
      <c r="I2029" s="89"/>
    </row>
    <row r="2030" spans="1:9" x14ac:dyDescent="0.3">
      <c r="A2030" s="88"/>
      <c r="B2030" s="88"/>
      <c r="C2030" s="88"/>
      <c r="D2030" s="88"/>
      <c r="E2030" s="88"/>
      <c r="F2030" s="88"/>
      <c r="G2030" s="88"/>
      <c r="H2030" s="88"/>
      <c r="I2030" s="89"/>
    </row>
    <row r="2031" spans="1:9" x14ac:dyDescent="0.3">
      <c r="A2031" s="88"/>
      <c r="B2031" s="88"/>
      <c r="C2031" s="88"/>
      <c r="D2031" s="88"/>
      <c r="E2031" s="88"/>
      <c r="F2031" s="88"/>
      <c r="G2031" s="88"/>
      <c r="H2031" s="88"/>
      <c r="I2031" s="89"/>
    </row>
    <row r="2032" spans="1:9" x14ac:dyDescent="0.3">
      <c r="A2032" s="88"/>
      <c r="B2032" s="88"/>
      <c r="C2032" s="88"/>
      <c r="D2032" s="88"/>
      <c r="E2032" s="88"/>
      <c r="F2032" s="88"/>
      <c r="G2032" s="88"/>
      <c r="H2032" s="88"/>
      <c r="I2032" s="89"/>
    </row>
    <row r="2033" spans="1:9" x14ac:dyDescent="0.3">
      <c r="A2033" s="88"/>
      <c r="B2033" s="88"/>
      <c r="C2033" s="88"/>
      <c r="D2033" s="88"/>
      <c r="E2033" s="88"/>
      <c r="F2033" s="88"/>
      <c r="G2033" s="88"/>
      <c r="H2033" s="88"/>
      <c r="I2033" s="89"/>
    </row>
    <row r="2034" spans="1:9" x14ac:dyDescent="0.3">
      <c r="A2034" s="88"/>
      <c r="B2034" s="88"/>
      <c r="C2034" s="88"/>
      <c r="D2034" s="88"/>
      <c r="E2034" s="88"/>
      <c r="F2034" s="88"/>
      <c r="G2034" s="88"/>
      <c r="H2034" s="88"/>
      <c r="I2034" s="89"/>
    </row>
    <row r="2035" spans="1:9" x14ac:dyDescent="0.3">
      <c r="A2035" s="88"/>
      <c r="B2035" s="88"/>
      <c r="C2035" s="88"/>
      <c r="D2035" s="88"/>
      <c r="E2035" s="88"/>
      <c r="F2035" s="88"/>
      <c r="G2035" s="88"/>
      <c r="H2035" s="88"/>
      <c r="I2035" s="89"/>
    </row>
    <row r="2036" spans="1:9" x14ac:dyDescent="0.3">
      <c r="A2036" s="88"/>
      <c r="B2036" s="88"/>
      <c r="C2036" s="88"/>
      <c r="D2036" s="88"/>
      <c r="E2036" s="88"/>
      <c r="F2036" s="88"/>
      <c r="G2036" s="88"/>
      <c r="H2036" s="88"/>
      <c r="I2036" s="89"/>
    </row>
    <row r="2037" spans="1:9" x14ac:dyDescent="0.3">
      <c r="A2037" s="88"/>
      <c r="B2037" s="88"/>
      <c r="C2037" s="88"/>
      <c r="D2037" s="88"/>
      <c r="E2037" s="88"/>
      <c r="F2037" s="88"/>
      <c r="G2037" s="88"/>
      <c r="H2037" s="88"/>
      <c r="I2037" s="89"/>
    </row>
    <row r="2038" spans="1:9" x14ac:dyDescent="0.3">
      <c r="A2038" s="88"/>
      <c r="B2038" s="88"/>
      <c r="C2038" s="88"/>
      <c r="D2038" s="88"/>
      <c r="E2038" s="88"/>
      <c r="F2038" s="88"/>
      <c r="G2038" s="88"/>
      <c r="H2038" s="88"/>
      <c r="I2038" s="89"/>
    </row>
    <row r="2039" spans="1:9" x14ac:dyDescent="0.3">
      <c r="A2039" s="88"/>
      <c r="B2039" s="88"/>
      <c r="C2039" s="88"/>
      <c r="D2039" s="88"/>
      <c r="E2039" s="88"/>
      <c r="F2039" s="88"/>
      <c r="G2039" s="88"/>
      <c r="H2039" s="88"/>
      <c r="I2039" s="89"/>
    </row>
    <row r="2040" spans="1:9" x14ac:dyDescent="0.3">
      <c r="A2040" s="88"/>
      <c r="B2040" s="88"/>
      <c r="C2040" s="88"/>
      <c r="D2040" s="88"/>
      <c r="E2040" s="88"/>
      <c r="F2040" s="88"/>
      <c r="G2040" s="88"/>
      <c r="H2040" s="88"/>
      <c r="I2040" s="89"/>
    </row>
    <row r="2041" spans="1:9" x14ac:dyDescent="0.3">
      <c r="A2041" s="88"/>
      <c r="B2041" s="88"/>
      <c r="C2041" s="88"/>
      <c r="D2041" s="88"/>
      <c r="E2041" s="88"/>
      <c r="F2041" s="88"/>
      <c r="G2041" s="88"/>
      <c r="H2041" s="88"/>
      <c r="I2041" s="89"/>
    </row>
    <row r="2042" spans="1:9" x14ac:dyDescent="0.3">
      <c r="A2042" s="88"/>
      <c r="B2042" s="88"/>
      <c r="C2042" s="88"/>
      <c r="D2042" s="88"/>
      <c r="E2042" s="88"/>
      <c r="F2042" s="88"/>
      <c r="G2042" s="88"/>
      <c r="H2042" s="88"/>
      <c r="I2042" s="89"/>
    </row>
    <row r="2043" spans="1:9" x14ac:dyDescent="0.3">
      <c r="A2043" s="88"/>
      <c r="B2043" s="88"/>
      <c r="C2043" s="88"/>
      <c r="D2043" s="88"/>
      <c r="E2043" s="88"/>
      <c r="F2043" s="88"/>
      <c r="G2043" s="88"/>
      <c r="H2043" s="88"/>
      <c r="I2043" s="89"/>
    </row>
    <row r="2044" spans="1:9" x14ac:dyDescent="0.3">
      <c r="A2044" s="88"/>
      <c r="B2044" s="88"/>
      <c r="C2044" s="88"/>
      <c r="D2044" s="88"/>
      <c r="E2044" s="88"/>
      <c r="F2044" s="88"/>
      <c r="G2044" s="88"/>
      <c r="H2044" s="88"/>
      <c r="I2044" s="89"/>
    </row>
    <row r="2045" spans="1:9" x14ac:dyDescent="0.3">
      <c r="A2045" s="88"/>
      <c r="B2045" s="88"/>
      <c r="C2045" s="88"/>
      <c r="D2045" s="88"/>
      <c r="E2045" s="88"/>
      <c r="F2045" s="88"/>
      <c r="G2045" s="88"/>
      <c r="H2045" s="88"/>
      <c r="I2045" s="89"/>
    </row>
    <row r="2046" spans="1:9" x14ac:dyDescent="0.3">
      <c r="A2046" s="88"/>
      <c r="B2046" s="88"/>
      <c r="C2046" s="88"/>
      <c r="D2046" s="88"/>
      <c r="E2046" s="88"/>
      <c r="F2046" s="88"/>
      <c r="G2046" s="88"/>
      <c r="H2046" s="88"/>
      <c r="I2046" s="89"/>
    </row>
    <row r="2047" spans="1:9" x14ac:dyDescent="0.3">
      <c r="A2047" s="88"/>
      <c r="B2047" s="88"/>
      <c r="C2047" s="88"/>
      <c r="D2047" s="88"/>
      <c r="E2047" s="88"/>
      <c r="F2047" s="88"/>
      <c r="G2047" s="88"/>
      <c r="H2047" s="88"/>
      <c r="I2047" s="89"/>
    </row>
    <row r="2048" spans="1:9" x14ac:dyDescent="0.3">
      <c r="A2048" s="88"/>
      <c r="B2048" s="88"/>
      <c r="C2048" s="88"/>
      <c r="D2048" s="88"/>
      <c r="E2048" s="88"/>
      <c r="F2048" s="88"/>
      <c r="G2048" s="88"/>
      <c r="H2048" s="88"/>
      <c r="I2048" s="89"/>
    </row>
    <row r="2049" spans="1:9" x14ac:dyDescent="0.3">
      <c r="A2049" s="88"/>
      <c r="B2049" s="88"/>
      <c r="C2049" s="88"/>
      <c r="D2049" s="88"/>
      <c r="E2049" s="88"/>
      <c r="F2049" s="88"/>
      <c r="G2049" s="88"/>
      <c r="H2049" s="88"/>
      <c r="I2049" s="89"/>
    </row>
    <row r="2050" spans="1:9" x14ac:dyDescent="0.3">
      <c r="A2050" s="88"/>
      <c r="B2050" s="88"/>
      <c r="C2050" s="88"/>
      <c r="D2050" s="88"/>
      <c r="E2050" s="88"/>
      <c r="F2050" s="88"/>
      <c r="G2050" s="88"/>
      <c r="H2050" s="88"/>
      <c r="I2050" s="89"/>
    </row>
    <row r="2051" spans="1:9" x14ac:dyDescent="0.3">
      <c r="A2051" s="88"/>
      <c r="B2051" s="88"/>
      <c r="C2051" s="88"/>
      <c r="D2051" s="88"/>
      <c r="E2051" s="88"/>
      <c r="F2051" s="88"/>
      <c r="G2051" s="88"/>
      <c r="H2051" s="88"/>
      <c r="I2051" s="89"/>
    </row>
    <row r="2052" spans="1:9" x14ac:dyDescent="0.3">
      <c r="A2052" s="88"/>
      <c r="B2052" s="88"/>
      <c r="C2052" s="88"/>
      <c r="D2052" s="88"/>
      <c r="E2052" s="88"/>
      <c r="F2052" s="88"/>
      <c r="G2052" s="88"/>
      <c r="H2052" s="88"/>
      <c r="I2052" s="89"/>
    </row>
    <row r="2053" spans="1:9" x14ac:dyDescent="0.3">
      <c r="A2053" s="88"/>
      <c r="B2053" s="88"/>
      <c r="C2053" s="88"/>
      <c r="D2053" s="88"/>
      <c r="E2053" s="88"/>
      <c r="F2053" s="88"/>
      <c r="G2053" s="88"/>
      <c r="H2053" s="88"/>
      <c r="I2053" s="89"/>
    </row>
    <row r="2054" spans="1:9" x14ac:dyDescent="0.3">
      <c r="A2054" s="88"/>
      <c r="B2054" s="88"/>
      <c r="C2054" s="88"/>
      <c r="D2054" s="88"/>
      <c r="E2054" s="88"/>
      <c r="F2054" s="88"/>
      <c r="G2054" s="88"/>
      <c r="H2054" s="88"/>
      <c r="I2054" s="89"/>
    </row>
    <row r="2055" spans="1:9" x14ac:dyDescent="0.3">
      <c r="A2055" s="88"/>
      <c r="B2055" s="88"/>
      <c r="C2055" s="88"/>
      <c r="D2055" s="88"/>
      <c r="E2055" s="88"/>
      <c r="F2055" s="88"/>
      <c r="G2055" s="88"/>
      <c r="H2055" s="88"/>
      <c r="I2055" s="89"/>
    </row>
    <row r="2056" spans="1:9" x14ac:dyDescent="0.3">
      <c r="A2056" s="88"/>
      <c r="B2056" s="88"/>
      <c r="C2056" s="88"/>
      <c r="D2056" s="88"/>
      <c r="E2056" s="88"/>
      <c r="F2056" s="88"/>
      <c r="G2056" s="88"/>
      <c r="H2056" s="88"/>
      <c r="I2056" s="89"/>
    </row>
    <row r="2057" spans="1:9" x14ac:dyDescent="0.3">
      <c r="A2057" s="88"/>
      <c r="B2057" s="88"/>
      <c r="C2057" s="88"/>
      <c r="D2057" s="88"/>
      <c r="E2057" s="88"/>
      <c r="F2057" s="88"/>
      <c r="G2057" s="88"/>
      <c r="H2057" s="88"/>
      <c r="I2057" s="89"/>
    </row>
    <row r="2058" spans="1:9" x14ac:dyDescent="0.3">
      <c r="A2058" s="88"/>
      <c r="B2058" s="88"/>
      <c r="C2058" s="88"/>
      <c r="D2058" s="88"/>
      <c r="E2058" s="88"/>
      <c r="F2058" s="88"/>
      <c r="G2058" s="88"/>
      <c r="H2058" s="88"/>
      <c r="I2058" s="89"/>
    </row>
    <row r="2059" spans="1:9" x14ac:dyDescent="0.3">
      <c r="A2059" s="88"/>
      <c r="B2059" s="88"/>
      <c r="C2059" s="88"/>
      <c r="D2059" s="88"/>
      <c r="E2059" s="88"/>
      <c r="F2059" s="88"/>
      <c r="G2059" s="88"/>
      <c r="H2059" s="88"/>
      <c r="I2059" s="89"/>
    </row>
    <row r="2060" spans="1:9" x14ac:dyDescent="0.3">
      <c r="A2060" s="88"/>
      <c r="B2060" s="88"/>
      <c r="C2060" s="88"/>
      <c r="D2060" s="88"/>
      <c r="E2060" s="88"/>
      <c r="F2060" s="88"/>
      <c r="G2060" s="88"/>
      <c r="H2060" s="88"/>
      <c r="I2060" s="89"/>
    </row>
    <row r="2061" spans="1:9" x14ac:dyDescent="0.3">
      <c r="A2061" s="88"/>
      <c r="B2061" s="88"/>
      <c r="C2061" s="88"/>
      <c r="D2061" s="88"/>
      <c r="E2061" s="88"/>
      <c r="F2061" s="88"/>
      <c r="G2061" s="88"/>
      <c r="H2061" s="88"/>
      <c r="I2061" s="89"/>
    </row>
    <row r="2062" spans="1:9" x14ac:dyDescent="0.3">
      <c r="A2062" s="88"/>
      <c r="B2062" s="88"/>
      <c r="C2062" s="88"/>
      <c r="D2062" s="88"/>
      <c r="E2062" s="88"/>
      <c r="F2062" s="88"/>
      <c r="G2062" s="88"/>
      <c r="H2062" s="88"/>
      <c r="I2062" s="89"/>
    </row>
    <row r="2063" spans="1:9" x14ac:dyDescent="0.3">
      <c r="A2063" s="88"/>
      <c r="B2063" s="88"/>
      <c r="C2063" s="88"/>
      <c r="D2063" s="88"/>
      <c r="E2063" s="88"/>
      <c r="F2063" s="88"/>
      <c r="G2063" s="88"/>
      <c r="H2063" s="88"/>
      <c r="I2063" s="89"/>
    </row>
    <row r="2064" spans="1:9" x14ac:dyDescent="0.3">
      <c r="A2064" s="88"/>
      <c r="B2064" s="88"/>
      <c r="C2064" s="88"/>
      <c r="D2064" s="88"/>
      <c r="E2064" s="88"/>
      <c r="F2064" s="88"/>
      <c r="G2064" s="88"/>
      <c r="H2064" s="88"/>
      <c r="I2064" s="89"/>
    </row>
    <row r="2065" spans="1:9" x14ac:dyDescent="0.3">
      <c r="A2065" s="88"/>
      <c r="B2065" s="88"/>
      <c r="C2065" s="88"/>
      <c r="D2065" s="88"/>
      <c r="E2065" s="88"/>
      <c r="F2065" s="88"/>
      <c r="G2065" s="88"/>
      <c r="H2065" s="88"/>
      <c r="I2065" s="89"/>
    </row>
    <row r="2066" spans="1:9" x14ac:dyDescent="0.3">
      <c r="A2066" s="88"/>
      <c r="B2066" s="88"/>
      <c r="C2066" s="88"/>
      <c r="D2066" s="88"/>
      <c r="E2066" s="88"/>
      <c r="F2066" s="88"/>
      <c r="G2066" s="88"/>
      <c r="H2066" s="88"/>
      <c r="I2066" s="89"/>
    </row>
    <row r="2067" spans="1:9" x14ac:dyDescent="0.3">
      <c r="A2067" s="88"/>
      <c r="B2067" s="88"/>
      <c r="C2067" s="88"/>
      <c r="D2067" s="88"/>
      <c r="E2067" s="88"/>
      <c r="F2067" s="88"/>
      <c r="G2067" s="88"/>
      <c r="H2067" s="88"/>
      <c r="I2067" s="89"/>
    </row>
    <row r="2068" spans="1:9" x14ac:dyDescent="0.3">
      <c r="A2068" s="88"/>
      <c r="B2068" s="88"/>
      <c r="C2068" s="88"/>
      <c r="D2068" s="88"/>
      <c r="E2068" s="88"/>
      <c r="F2068" s="88"/>
      <c r="G2068" s="88"/>
      <c r="H2068" s="88"/>
      <c r="I2068" s="89"/>
    </row>
    <row r="2069" spans="1:9" x14ac:dyDescent="0.3">
      <c r="A2069" s="88"/>
      <c r="B2069" s="88"/>
      <c r="C2069" s="88"/>
      <c r="D2069" s="88"/>
      <c r="E2069" s="88"/>
      <c r="F2069" s="88"/>
      <c r="G2069" s="88"/>
      <c r="H2069" s="88"/>
      <c r="I2069" s="89"/>
    </row>
    <row r="2070" spans="1:9" x14ac:dyDescent="0.3">
      <c r="A2070" s="88"/>
      <c r="B2070" s="88"/>
      <c r="C2070" s="88"/>
      <c r="D2070" s="88"/>
      <c r="E2070" s="88"/>
      <c r="F2070" s="88"/>
      <c r="G2070" s="88"/>
      <c r="H2070" s="88"/>
      <c r="I2070" s="89"/>
    </row>
    <row r="2071" spans="1:9" x14ac:dyDescent="0.3">
      <c r="A2071" s="88"/>
      <c r="B2071" s="88"/>
      <c r="C2071" s="88"/>
      <c r="D2071" s="88"/>
      <c r="E2071" s="88"/>
      <c r="F2071" s="88"/>
      <c r="G2071" s="88"/>
      <c r="H2071" s="88"/>
      <c r="I2071" s="89"/>
    </row>
    <row r="2072" spans="1:9" x14ac:dyDescent="0.3">
      <c r="A2072" s="88"/>
      <c r="B2072" s="88"/>
      <c r="C2072" s="88"/>
      <c r="D2072" s="88"/>
      <c r="E2072" s="88"/>
      <c r="F2072" s="88"/>
      <c r="G2072" s="88"/>
      <c r="H2072" s="88"/>
      <c r="I2072" s="89"/>
    </row>
    <row r="2073" spans="1:9" x14ac:dyDescent="0.3">
      <c r="A2073" s="88"/>
      <c r="B2073" s="88"/>
      <c r="C2073" s="88"/>
      <c r="D2073" s="88"/>
      <c r="E2073" s="88"/>
      <c r="F2073" s="88"/>
      <c r="G2073" s="88"/>
      <c r="H2073" s="88"/>
      <c r="I2073" s="89"/>
    </row>
    <row r="2074" spans="1:9" x14ac:dyDescent="0.3">
      <c r="A2074" s="88"/>
      <c r="B2074" s="88"/>
      <c r="C2074" s="88"/>
      <c r="D2074" s="88"/>
      <c r="E2074" s="88"/>
      <c r="F2074" s="88"/>
      <c r="G2074" s="88"/>
      <c r="H2074" s="88"/>
      <c r="I2074" s="89"/>
    </row>
    <row r="2075" spans="1:9" x14ac:dyDescent="0.3">
      <c r="A2075" s="88"/>
      <c r="B2075" s="88"/>
      <c r="C2075" s="88"/>
      <c r="D2075" s="88"/>
      <c r="E2075" s="88"/>
      <c r="F2075" s="88"/>
      <c r="G2075" s="88"/>
      <c r="H2075" s="88"/>
      <c r="I2075" s="89"/>
    </row>
    <row r="2076" spans="1:9" x14ac:dyDescent="0.3">
      <c r="A2076" s="88"/>
      <c r="B2076" s="88"/>
      <c r="C2076" s="88"/>
      <c r="D2076" s="88"/>
      <c r="E2076" s="88"/>
      <c r="F2076" s="88"/>
      <c r="G2076" s="88"/>
      <c r="H2076" s="88"/>
      <c r="I2076" s="89"/>
    </row>
    <row r="2077" spans="1:9" x14ac:dyDescent="0.3">
      <c r="A2077" s="88"/>
      <c r="B2077" s="88"/>
      <c r="C2077" s="88"/>
      <c r="D2077" s="88"/>
      <c r="E2077" s="88"/>
      <c r="F2077" s="88"/>
      <c r="G2077" s="88"/>
      <c r="H2077" s="88"/>
      <c r="I2077" s="89"/>
    </row>
    <row r="2078" spans="1:9" x14ac:dyDescent="0.3">
      <c r="A2078" s="88"/>
      <c r="B2078" s="88"/>
      <c r="C2078" s="88"/>
      <c r="D2078" s="88"/>
      <c r="E2078" s="88"/>
      <c r="F2078" s="88"/>
      <c r="G2078" s="88"/>
      <c r="H2078" s="88"/>
      <c r="I2078" s="89"/>
    </row>
    <row r="2079" spans="1:9" x14ac:dyDescent="0.3">
      <c r="A2079" s="88"/>
      <c r="B2079" s="88"/>
      <c r="C2079" s="88"/>
      <c r="D2079" s="88"/>
      <c r="E2079" s="88"/>
      <c r="F2079" s="88"/>
      <c r="G2079" s="88"/>
      <c r="H2079" s="88"/>
      <c r="I2079" s="89"/>
    </row>
    <row r="2080" spans="1:9" x14ac:dyDescent="0.3">
      <c r="A2080" s="88"/>
      <c r="B2080" s="88"/>
      <c r="C2080" s="88"/>
      <c r="D2080" s="88"/>
      <c r="E2080" s="88"/>
      <c r="F2080" s="88"/>
      <c r="G2080" s="88"/>
      <c r="H2080" s="88"/>
      <c r="I2080" s="89"/>
    </row>
    <row r="2081" spans="1:9" x14ac:dyDescent="0.3">
      <c r="A2081" s="88"/>
      <c r="B2081" s="88"/>
      <c r="C2081" s="88"/>
      <c r="D2081" s="88"/>
      <c r="E2081" s="88"/>
      <c r="F2081" s="88"/>
      <c r="G2081" s="88"/>
      <c r="H2081" s="88"/>
      <c r="I2081" s="89"/>
    </row>
    <row r="2082" spans="1:9" x14ac:dyDescent="0.3">
      <c r="A2082" s="88"/>
      <c r="B2082" s="88"/>
      <c r="C2082" s="88"/>
      <c r="D2082" s="88"/>
      <c r="E2082" s="88"/>
      <c r="F2082" s="88"/>
      <c r="G2082" s="88"/>
      <c r="H2082" s="88"/>
      <c r="I2082" s="89"/>
    </row>
    <row r="2083" spans="1:9" x14ac:dyDescent="0.3">
      <c r="A2083" s="88"/>
      <c r="B2083" s="88"/>
      <c r="C2083" s="88"/>
      <c r="D2083" s="88"/>
      <c r="E2083" s="88"/>
      <c r="F2083" s="88"/>
      <c r="G2083" s="88"/>
      <c r="H2083" s="88"/>
      <c r="I2083" s="89"/>
    </row>
    <row r="2084" spans="1:9" x14ac:dyDescent="0.3">
      <c r="A2084" s="88"/>
      <c r="B2084" s="88"/>
      <c r="C2084" s="88"/>
      <c r="D2084" s="88"/>
      <c r="E2084" s="88"/>
      <c r="F2084" s="88"/>
      <c r="G2084" s="88"/>
      <c r="H2084" s="88"/>
      <c r="I2084" s="89"/>
    </row>
    <row r="2085" spans="1:9" x14ac:dyDescent="0.3">
      <c r="A2085" s="88"/>
      <c r="B2085" s="88"/>
      <c r="C2085" s="88"/>
      <c r="D2085" s="88"/>
      <c r="E2085" s="88"/>
      <c r="F2085" s="88"/>
      <c r="G2085" s="88"/>
      <c r="H2085" s="88"/>
      <c r="I2085" s="89"/>
    </row>
    <row r="2086" spans="1:9" x14ac:dyDescent="0.3">
      <c r="A2086" s="88"/>
      <c r="B2086" s="88"/>
      <c r="C2086" s="88"/>
      <c r="D2086" s="88"/>
      <c r="E2086" s="88"/>
      <c r="F2086" s="88"/>
      <c r="G2086" s="88"/>
      <c r="H2086" s="88"/>
      <c r="I2086" s="89"/>
    </row>
    <row r="2087" spans="1:9" x14ac:dyDescent="0.3">
      <c r="A2087" s="88"/>
      <c r="B2087" s="88"/>
      <c r="C2087" s="88"/>
      <c r="D2087" s="88"/>
      <c r="E2087" s="88"/>
      <c r="F2087" s="88"/>
      <c r="G2087" s="88"/>
      <c r="H2087" s="88"/>
      <c r="I2087" s="89"/>
    </row>
    <row r="2088" spans="1:9" x14ac:dyDescent="0.3">
      <c r="A2088" s="88"/>
      <c r="B2088" s="88"/>
      <c r="C2088" s="88"/>
      <c r="D2088" s="88"/>
      <c r="E2088" s="88"/>
      <c r="F2088" s="88"/>
      <c r="G2088" s="88"/>
      <c r="H2088" s="88"/>
      <c r="I2088" s="89"/>
    </row>
    <row r="2089" spans="1:9" x14ac:dyDescent="0.3">
      <c r="A2089" s="88"/>
      <c r="B2089" s="88"/>
      <c r="C2089" s="88"/>
      <c r="D2089" s="88"/>
      <c r="E2089" s="88"/>
      <c r="F2089" s="88"/>
      <c r="G2089" s="88"/>
      <c r="H2089" s="88"/>
      <c r="I2089" s="89"/>
    </row>
    <row r="2090" spans="1:9" x14ac:dyDescent="0.3">
      <c r="A2090" s="88"/>
      <c r="B2090" s="88"/>
      <c r="C2090" s="88"/>
      <c r="D2090" s="88"/>
      <c r="E2090" s="88"/>
      <c r="F2090" s="88"/>
      <c r="G2090" s="88"/>
      <c r="H2090" s="88"/>
      <c r="I2090" s="89"/>
    </row>
    <row r="2091" spans="1:9" x14ac:dyDescent="0.3">
      <c r="A2091" s="88"/>
      <c r="B2091" s="88"/>
      <c r="C2091" s="88"/>
      <c r="D2091" s="88"/>
      <c r="E2091" s="88"/>
      <c r="F2091" s="88"/>
      <c r="G2091" s="88"/>
      <c r="H2091" s="88"/>
      <c r="I2091" s="89"/>
    </row>
    <row r="2092" spans="1:9" x14ac:dyDescent="0.3">
      <c r="A2092" s="88"/>
      <c r="B2092" s="88"/>
      <c r="C2092" s="88"/>
      <c r="D2092" s="88"/>
      <c r="E2092" s="88"/>
      <c r="F2092" s="88"/>
      <c r="G2092" s="88"/>
      <c r="H2092" s="88"/>
      <c r="I2092" s="89"/>
    </row>
    <row r="2093" spans="1:9" x14ac:dyDescent="0.3">
      <c r="A2093" s="88"/>
      <c r="B2093" s="88"/>
      <c r="C2093" s="88"/>
      <c r="D2093" s="88"/>
      <c r="E2093" s="88"/>
      <c r="F2093" s="88"/>
      <c r="G2093" s="88"/>
      <c r="H2093" s="88"/>
      <c r="I2093" s="89"/>
    </row>
    <row r="2094" spans="1:9" x14ac:dyDescent="0.3">
      <c r="A2094" s="88"/>
      <c r="B2094" s="88"/>
      <c r="C2094" s="88"/>
      <c r="D2094" s="88"/>
      <c r="E2094" s="88"/>
      <c r="F2094" s="88"/>
      <c r="G2094" s="88"/>
      <c r="H2094" s="88"/>
      <c r="I2094" s="89"/>
    </row>
    <row r="2095" spans="1:9" x14ac:dyDescent="0.3">
      <c r="A2095" s="88"/>
      <c r="B2095" s="88"/>
      <c r="C2095" s="88"/>
      <c r="D2095" s="88"/>
      <c r="E2095" s="88"/>
      <c r="F2095" s="88"/>
      <c r="G2095" s="88"/>
      <c r="H2095" s="88"/>
      <c r="I2095" s="89"/>
    </row>
    <row r="2096" spans="1:9" x14ac:dyDescent="0.3">
      <c r="A2096" s="88"/>
      <c r="B2096" s="88"/>
      <c r="C2096" s="88"/>
      <c r="D2096" s="88"/>
      <c r="E2096" s="88"/>
      <c r="F2096" s="88"/>
      <c r="G2096" s="88"/>
      <c r="H2096" s="88"/>
      <c r="I2096" s="89"/>
    </row>
    <row r="2097" spans="1:9" x14ac:dyDescent="0.3">
      <c r="A2097" s="88"/>
      <c r="B2097" s="88"/>
      <c r="C2097" s="88"/>
      <c r="D2097" s="88"/>
      <c r="E2097" s="88"/>
      <c r="F2097" s="88"/>
      <c r="G2097" s="88"/>
      <c r="H2097" s="88"/>
      <c r="I2097" s="89"/>
    </row>
    <row r="2098" spans="1:9" x14ac:dyDescent="0.3">
      <c r="A2098" s="88"/>
      <c r="B2098" s="88"/>
      <c r="C2098" s="88"/>
      <c r="D2098" s="88"/>
      <c r="E2098" s="88"/>
      <c r="F2098" s="88"/>
      <c r="G2098" s="88"/>
      <c r="H2098" s="88"/>
      <c r="I2098" s="89"/>
    </row>
    <row r="2099" spans="1:9" x14ac:dyDescent="0.3">
      <c r="A2099" s="88"/>
      <c r="B2099" s="88"/>
      <c r="C2099" s="88"/>
      <c r="D2099" s="88"/>
      <c r="E2099" s="88"/>
      <c r="F2099" s="88"/>
      <c r="G2099" s="88"/>
      <c r="H2099" s="88"/>
      <c r="I2099" s="89"/>
    </row>
    <row r="2100" spans="1:9" x14ac:dyDescent="0.3">
      <c r="A2100" s="88"/>
      <c r="B2100" s="88"/>
      <c r="C2100" s="88"/>
      <c r="D2100" s="88"/>
      <c r="E2100" s="88"/>
      <c r="F2100" s="88"/>
      <c r="G2100" s="88"/>
      <c r="H2100" s="88"/>
      <c r="I2100" s="89"/>
    </row>
    <row r="2101" spans="1:9" x14ac:dyDescent="0.3">
      <c r="A2101" s="88"/>
      <c r="B2101" s="88"/>
      <c r="C2101" s="88"/>
      <c r="D2101" s="88"/>
      <c r="E2101" s="88"/>
      <c r="F2101" s="88"/>
      <c r="G2101" s="88"/>
      <c r="H2101" s="88"/>
      <c r="I2101" s="89"/>
    </row>
    <row r="2102" spans="1:9" x14ac:dyDescent="0.3">
      <c r="A2102" s="88"/>
      <c r="B2102" s="88"/>
      <c r="C2102" s="88"/>
      <c r="D2102" s="88"/>
      <c r="E2102" s="88"/>
      <c r="F2102" s="88"/>
      <c r="G2102" s="88"/>
      <c r="H2102" s="88"/>
      <c r="I2102" s="89"/>
    </row>
    <row r="2103" spans="1:9" x14ac:dyDescent="0.3">
      <c r="A2103" s="88"/>
      <c r="B2103" s="88"/>
      <c r="C2103" s="88"/>
      <c r="D2103" s="88"/>
      <c r="E2103" s="88"/>
      <c r="F2103" s="88"/>
      <c r="G2103" s="88"/>
      <c r="H2103" s="88"/>
      <c r="I2103" s="89"/>
    </row>
    <row r="2104" spans="1:9" x14ac:dyDescent="0.3">
      <c r="A2104" s="88"/>
      <c r="B2104" s="88"/>
      <c r="C2104" s="88"/>
      <c r="D2104" s="88"/>
      <c r="E2104" s="88"/>
      <c r="F2104" s="88"/>
      <c r="G2104" s="88"/>
      <c r="H2104" s="88"/>
      <c r="I2104" s="89"/>
    </row>
    <row r="2105" spans="1:9" x14ac:dyDescent="0.3">
      <c r="A2105" s="88"/>
      <c r="B2105" s="88"/>
      <c r="C2105" s="88"/>
      <c r="D2105" s="88"/>
      <c r="E2105" s="88"/>
      <c r="F2105" s="88"/>
      <c r="G2105" s="88"/>
      <c r="H2105" s="88"/>
      <c r="I2105" s="89"/>
    </row>
    <row r="2106" spans="1:9" x14ac:dyDescent="0.3">
      <c r="A2106" s="88"/>
      <c r="B2106" s="88"/>
      <c r="C2106" s="88"/>
      <c r="D2106" s="88"/>
      <c r="E2106" s="88"/>
      <c r="F2106" s="88"/>
      <c r="G2106" s="88"/>
      <c r="H2106" s="88"/>
      <c r="I2106" s="89"/>
    </row>
    <row r="2107" spans="1:9" x14ac:dyDescent="0.3">
      <c r="A2107" s="88"/>
      <c r="B2107" s="88"/>
      <c r="C2107" s="88"/>
      <c r="D2107" s="88"/>
      <c r="E2107" s="88"/>
      <c r="F2107" s="88"/>
      <c r="G2107" s="88"/>
      <c r="H2107" s="88"/>
      <c r="I2107" s="89"/>
    </row>
    <row r="2108" spans="1:9" x14ac:dyDescent="0.3">
      <c r="A2108" s="88"/>
      <c r="B2108" s="88"/>
      <c r="C2108" s="88"/>
      <c r="D2108" s="88"/>
      <c r="E2108" s="88"/>
      <c r="F2108" s="88"/>
      <c r="G2108" s="88"/>
      <c r="H2108" s="88"/>
      <c r="I2108" s="89"/>
    </row>
    <row r="2109" spans="1:9" x14ac:dyDescent="0.3">
      <c r="A2109" s="88"/>
      <c r="B2109" s="88"/>
      <c r="C2109" s="88"/>
      <c r="D2109" s="88"/>
      <c r="E2109" s="88"/>
      <c r="F2109" s="88"/>
      <c r="G2109" s="88"/>
      <c r="H2109" s="88"/>
      <c r="I2109" s="89"/>
    </row>
    <row r="2110" spans="1:9" x14ac:dyDescent="0.3">
      <c r="A2110" s="88"/>
      <c r="B2110" s="88"/>
      <c r="C2110" s="88"/>
      <c r="D2110" s="88"/>
      <c r="E2110" s="88"/>
      <c r="F2110" s="88"/>
      <c r="G2110" s="88"/>
      <c r="H2110" s="88"/>
      <c r="I2110" s="89"/>
    </row>
    <row r="2111" spans="1:9" x14ac:dyDescent="0.3">
      <c r="A2111" s="88"/>
      <c r="B2111" s="88"/>
      <c r="C2111" s="88"/>
      <c r="D2111" s="88"/>
      <c r="E2111" s="88"/>
      <c r="F2111" s="88"/>
      <c r="G2111" s="88"/>
      <c r="H2111" s="88"/>
      <c r="I2111" s="89"/>
    </row>
    <row r="2112" spans="1:9" x14ac:dyDescent="0.3">
      <c r="A2112" s="88"/>
      <c r="B2112" s="88"/>
      <c r="C2112" s="88"/>
      <c r="D2112" s="88"/>
      <c r="E2112" s="88"/>
      <c r="F2112" s="88"/>
      <c r="G2112" s="88"/>
      <c r="H2112" s="88"/>
      <c r="I2112" s="89"/>
    </row>
    <row r="2113" spans="1:9" x14ac:dyDescent="0.3">
      <c r="A2113" s="88"/>
      <c r="B2113" s="88"/>
      <c r="C2113" s="88"/>
      <c r="D2113" s="88"/>
      <c r="E2113" s="88"/>
      <c r="F2113" s="88"/>
      <c r="G2113" s="88"/>
      <c r="H2113" s="88"/>
      <c r="I2113" s="89"/>
    </row>
    <row r="2114" spans="1:9" x14ac:dyDescent="0.3">
      <c r="A2114" s="88"/>
      <c r="B2114" s="88"/>
      <c r="C2114" s="88"/>
      <c r="D2114" s="88"/>
      <c r="E2114" s="88"/>
      <c r="F2114" s="88"/>
      <c r="G2114" s="88"/>
      <c r="H2114" s="88"/>
      <c r="I2114" s="89"/>
    </row>
    <row r="2115" spans="1:9" x14ac:dyDescent="0.3">
      <c r="A2115" s="88"/>
      <c r="B2115" s="88"/>
      <c r="C2115" s="88"/>
      <c r="D2115" s="88"/>
      <c r="E2115" s="88"/>
      <c r="F2115" s="88"/>
      <c r="G2115" s="88"/>
      <c r="H2115" s="88"/>
      <c r="I2115" s="89"/>
    </row>
    <row r="2116" spans="1:9" x14ac:dyDescent="0.3">
      <c r="A2116" s="88"/>
      <c r="B2116" s="88"/>
      <c r="C2116" s="88"/>
      <c r="D2116" s="88"/>
      <c r="E2116" s="88"/>
      <c r="F2116" s="88"/>
      <c r="G2116" s="88"/>
      <c r="H2116" s="88"/>
      <c r="I2116" s="89"/>
    </row>
    <row r="2117" spans="1:9" x14ac:dyDescent="0.3">
      <c r="A2117" s="88"/>
      <c r="B2117" s="88"/>
      <c r="C2117" s="88"/>
      <c r="D2117" s="88"/>
      <c r="E2117" s="88"/>
      <c r="F2117" s="88"/>
      <c r="G2117" s="88"/>
      <c r="H2117" s="88"/>
      <c r="I2117" s="89"/>
    </row>
    <row r="2118" spans="1:9" x14ac:dyDescent="0.3">
      <c r="A2118" s="88"/>
      <c r="B2118" s="88"/>
      <c r="C2118" s="88"/>
      <c r="D2118" s="88"/>
      <c r="E2118" s="88"/>
      <c r="F2118" s="88"/>
      <c r="G2118" s="88"/>
      <c r="H2118" s="88"/>
      <c r="I2118" s="89"/>
    </row>
    <row r="2119" spans="1:9" x14ac:dyDescent="0.3">
      <c r="A2119" s="88"/>
      <c r="B2119" s="88"/>
      <c r="C2119" s="88"/>
      <c r="D2119" s="88"/>
      <c r="E2119" s="88"/>
      <c r="F2119" s="88"/>
      <c r="G2119" s="88"/>
      <c r="H2119" s="88"/>
      <c r="I2119" s="89"/>
    </row>
    <row r="2120" spans="1:9" x14ac:dyDescent="0.3">
      <c r="A2120" s="88"/>
      <c r="B2120" s="88"/>
      <c r="C2120" s="88"/>
      <c r="D2120" s="88"/>
      <c r="E2120" s="88"/>
      <c r="F2120" s="88"/>
      <c r="G2120" s="88"/>
      <c r="H2120" s="88"/>
      <c r="I2120" s="89"/>
    </row>
    <row r="2121" spans="1:9" x14ac:dyDescent="0.3">
      <c r="A2121" s="88"/>
      <c r="B2121" s="88"/>
      <c r="C2121" s="88"/>
      <c r="D2121" s="88"/>
      <c r="E2121" s="88"/>
      <c r="F2121" s="88"/>
      <c r="G2121" s="88"/>
      <c r="H2121" s="88"/>
      <c r="I2121" s="89"/>
    </row>
    <row r="2122" spans="1:9" x14ac:dyDescent="0.3">
      <c r="A2122" s="88"/>
      <c r="B2122" s="88"/>
      <c r="C2122" s="88"/>
      <c r="D2122" s="88"/>
      <c r="E2122" s="88"/>
      <c r="F2122" s="88"/>
      <c r="G2122" s="88"/>
      <c r="H2122" s="88"/>
      <c r="I2122" s="89"/>
    </row>
    <row r="2123" spans="1:9" x14ac:dyDescent="0.3">
      <c r="A2123" s="88"/>
      <c r="B2123" s="88"/>
      <c r="C2123" s="88"/>
      <c r="D2123" s="88"/>
      <c r="E2123" s="88"/>
      <c r="F2123" s="88"/>
      <c r="G2123" s="88"/>
      <c r="H2123" s="88"/>
      <c r="I2123" s="89"/>
    </row>
    <row r="2124" spans="1:9" x14ac:dyDescent="0.3">
      <c r="A2124" s="88"/>
      <c r="B2124" s="88"/>
      <c r="C2124" s="88"/>
      <c r="D2124" s="88"/>
      <c r="E2124" s="88"/>
      <c r="F2124" s="88"/>
      <c r="G2124" s="88"/>
      <c r="H2124" s="88"/>
      <c r="I2124" s="89"/>
    </row>
    <row r="2125" spans="1:9" x14ac:dyDescent="0.3">
      <c r="A2125" s="88"/>
      <c r="B2125" s="88"/>
      <c r="C2125" s="88"/>
      <c r="D2125" s="88"/>
      <c r="E2125" s="88"/>
      <c r="F2125" s="88"/>
      <c r="G2125" s="88"/>
      <c r="H2125" s="88"/>
      <c r="I2125" s="89"/>
    </row>
    <row r="2126" spans="1:9" x14ac:dyDescent="0.3">
      <c r="A2126" s="88"/>
      <c r="B2126" s="88"/>
      <c r="C2126" s="88"/>
      <c r="D2126" s="88"/>
      <c r="E2126" s="88"/>
      <c r="F2126" s="88"/>
      <c r="G2126" s="88"/>
      <c r="H2126" s="88"/>
      <c r="I2126" s="89"/>
    </row>
    <row r="2127" spans="1:9" x14ac:dyDescent="0.3">
      <c r="A2127" s="88"/>
      <c r="B2127" s="88"/>
      <c r="C2127" s="88"/>
      <c r="D2127" s="88"/>
      <c r="E2127" s="88"/>
      <c r="F2127" s="88"/>
      <c r="G2127" s="88"/>
      <c r="H2127" s="88"/>
      <c r="I2127" s="89"/>
    </row>
    <row r="2128" spans="1:9" x14ac:dyDescent="0.3">
      <c r="A2128" s="88"/>
      <c r="B2128" s="88"/>
      <c r="C2128" s="88"/>
      <c r="D2128" s="88"/>
      <c r="E2128" s="88"/>
      <c r="F2128" s="88"/>
      <c r="G2128" s="88"/>
      <c r="H2128" s="88"/>
      <c r="I2128" s="89"/>
    </row>
    <row r="2129" spans="1:9" x14ac:dyDescent="0.3">
      <c r="A2129" s="88"/>
      <c r="B2129" s="88"/>
      <c r="C2129" s="88"/>
      <c r="D2129" s="88"/>
      <c r="E2129" s="88"/>
      <c r="F2129" s="88"/>
      <c r="G2129" s="88"/>
      <c r="H2129" s="88"/>
      <c r="I2129" s="89"/>
    </row>
    <row r="2130" spans="1:9" x14ac:dyDescent="0.3">
      <c r="A2130" s="88"/>
      <c r="B2130" s="88"/>
      <c r="C2130" s="88"/>
      <c r="D2130" s="88"/>
      <c r="E2130" s="88"/>
      <c r="F2130" s="88"/>
      <c r="G2130" s="88"/>
      <c r="H2130" s="88"/>
      <c r="I2130" s="89"/>
    </row>
    <row r="2131" spans="1:9" x14ac:dyDescent="0.3">
      <c r="A2131" s="88"/>
      <c r="B2131" s="88"/>
      <c r="C2131" s="88"/>
      <c r="D2131" s="88"/>
      <c r="E2131" s="88"/>
      <c r="F2131" s="88"/>
      <c r="G2131" s="88"/>
      <c r="H2131" s="88"/>
      <c r="I2131" s="89"/>
    </row>
    <row r="2132" spans="1:9" x14ac:dyDescent="0.3">
      <c r="A2132" s="88"/>
      <c r="B2132" s="88"/>
      <c r="C2132" s="88"/>
      <c r="D2132" s="88"/>
      <c r="E2132" s="88"/>
      <c r="F2132" s="88"/>
      <c r="G2132" s="88"/>
      <c r="H2132" s="88"/>
      <c r="I2132" s="89"/>
    </row>
    <row r="2133" spans="1:9" x14ac:dyDescent="0.3">
      <c r="A2133" s="88"/>
      <c r="B2133" s="88"/>
      <c r="C2133" s="88"/>
      <c r="D2133" s="88"/>
      <c r="E2133" s="88"/>
      <c r="F2133" s="88"/>
      <c r="G2133" s="88"/>
      <c r="H2133" s="88"/>
      <c r="I2133" s="89"/>
    </row>
    <row r="2134" spans="1:9" x14ac:dyDescent="0.3">
      <c r="A2134" s="88"/>
      <c r="B2134" s="88"/>
      <c r="C2134" s="88"/>
      <c r="D2134" s="88"/>
      <c r="E2134" s="88"/>
      <c r="F2134" s="88"/>
      <c r="G2134" s="88"/>
      <c r="H2134" s="88"/>
      <c r="I2134" s="89"/>
    </row>
    <row r="2135" spans="1:9" x14ac:dyDescent="0.3">
      <c r="A2135" s="88"/>
      <c r="B2135" s="88"/>
      <c r="C2135" s="88"/>
      <c r="D2135" s="88"/>
      <c r="E2135" s="88"/>
      <c r="F2135" s="88"/>
      <c r="G2135" s="88"/>
      <c r="H2135" s="88"/>
      <c r="I2135" s="89"/>
    </row>
    <row r="2136" spans="1:9" x14ac:dyDescent="0.3">
      <c r="A2136" s="88"/>
      <c r="B2136" s="88"/>
      <c r="C2136" s="88"/>
      <c r="D2136" s="88"/>
      <c r="E2136" s="88"/>
      <c r="F2136" s="88"/>
      <c r="G2136" s="88"/>
      <c r="H2136" s="88"/>
      <c r="I2136" s="89"/>
    </row>
    <row r="2137" spans="1:9" x14ac:dyDescent="0.3">
      <c r="A2137" s="88"/>
      <c r="B2137" s="88"/>
      <c r="C2137" s="88"/>
      <c r="D2137" s="88"/>
      <c r="E2137" s="88"/>
      <c r="F2137" s="88"/>
      <c r="G2137" s="88"/>
      <c r="H2137" s="88"/>
      <c r="I2137" s="89"/>
    </row>
    <row r="2138" spans="1:9" x14ac:dyDescent="0.3">
      <c r="A2138" s="88"/>
      <c r="B2138" s="88"/>
      <c r="C2138" s="88"/>
      <c r="D2138" s="88"/>
      <c r="E2138" s="88"/>
      <c r="F2138" s="88"/>
      <c r="G2138" s="88"/>
      <c r="H2138" s="88"/>
      <c r="I2138" s="89"/>
    </row>
    <row r="2139" spans="1:9" x14ac:dyDescent="0.3">
      <c r="A2139" s="88"/>
      <c r="B2139" s="88"/>
      <c r="C2139" s="88"/>
      <c r="D2139" s="88"/>
      <c r="E2139" s="88"/>
      <c r="F2139" s="88"/>
      <c r="G2139" s="88"/>
      <c r="H2139" s="88"/>
      <c r="I2139" s="89"/>
    </row>
    <row r="2140" spans="1:9" x14ac:dyDescent="0.3">
      <c r="A2140" s="88"/>
      <c r="B2140" s="88"/>
      <c r="C2140" s="88"/>
      <c r="D2140" s="88"/>
      <c r="E2140" s="88"/>
      <c r="F2140" s="88"/>
      <c r="G2140" s="88"/>
      <c r="H2140" s="88"/>
      <c r="I2140" s="89"/>
    </row>
    <row r="2141" spans="1:9" x14ac:dyDescent="0.3">
      <c r="A2141" s="88"/>
      <c r="B2141" s="88"/>
      <c r="C2141" s="88"/>
      <c r="D2141" s="88"/>
      <c r="E2141" s="88"/>
      <c r="F2141" s="88"/>
      <c r="G2141" s="88"/>
      <c r="H2141" s="88"/>
      <c r="I2141" s="89"/>
    </row>
    <row r="2142" spans="1:9" x14ac:dyDescent="0.3">
      <c r="A2142" s="88"/>
      <c r="B2142" s="88"/>
      <c r="C2142" s="88"/>
      <c r="D2142" s="88"/>
      <c r="E2142" s="88"/>
      <c r="F2142" s="88"/>
      <c r="G2142" s="88"/>
      <c r="H2142" s="88"/>
      <c r="I2142" s="89"/>
    </row>
    <row r="2143" spans="1:9" x14ac:dyDescent="0.3">
      <c r="A2143" s="88"/>
      <c r="B2143" s="88"/>
      <c r="C2143" s="88"/>
      <c r="D2143" s="88"/>
      <c r="E2143" s="88"/>
      <c r="F2143" s="88"/>
      <c r="G2143" s="88"/>
      <c r="H2143" s="88"/>
      <c r="I2143" s="89"/>
    </row>
    <row r="2144" spans="1:9" x14ac:dyDescent="0.3">
      <c r="A2144" s="88"/>
      <c r="B2144" s="88"/>
      <c r="C2144" s="88"/>
      <c r="D2144" s="88"/>
      <c r="E2144" s="88"/>
      <c r="F2144" s="88"/>
      <c r="G2144" s="88"/>
      <c r="H2144" s="88"/>
      <c r="I2144" s="89"/>
    </row>
    <row r="2145" spans="1:9" x14ac:dyDescent="0.3">
      <c r="A2145" s="88"/>
      <c r="B2145" s="88"/>
      <c r="C2145" s="88"/>
      <c r="D2145" s="88"/>
      <c r="E2145" s="88"/>
      <c r="F2145" s="88"/>
      <c r="G2145" s="88"/>
      <c r="H2145" s="88"/>
      <c r="I2145" s="89"/>
    </row>
    <row r="2146" spans="1:9" x14ac:dyDescent="0.3">
      <c r="A2146" s="88"/>
      <c r="B2146" s="88"/>
      <c r="C2146" s="88"/>
      <c r="D2146" s="88"/>
      <c r="E2146" s="88"/>
      <c r="F2146" s="88"/>
      <c r="G2146" s="88"/>
      <c r="H2146" s="88"/>
      <c r="I2146" s="89"/>
    </row>
    <row r="2147" spans="1:9" x14ac:dyDescent="0.3">
      <c r="A2147" s="88"/>
      <c r="B2147" s="88"/>
      <c r="C2147" s="88"/>
      <c r="D2147" s="88"/>
      <c r="E2147" s="88"/>
      <c r="F2147" s="88"/>
      <c r="G2147" s="88"/>
      <c r="H2147" s="88"/>
      <c r="I2147" s="89"/>
    </row>
    <row r="2148" spans="1:9" x14ac:dyDescent="0.3">
      <c r="A2148" s="88"/>
      <c r="B2148" s="88"/>
      <c r="C2148" s="88"/>
      <c r="D2148" s="88"/>
      <c r="E2148" s="88"/>
      <c r="F2148" s="88"/>
      <c r="G2148" s="88"/>
      <c r="H2148" s="88"/>
      <c r="I2148" s="89"/>
    </row>
    <row r="2149" spans="1:9" x14ac:dyDescent="0.3">
      <c r="A2149" s="88"/>
      <c r="B2149" s="88"/>
      <c r="C2149" s="88"/>
      <c r="D2149" s="88"/>
      <c r="E2149" s="88"/>
      <c r="F2149" s="88"/>
      <c r="G2149" s="88"/>
      <c r="H2149" s="88"/>
      <c r="I2149" s="89"/>
    </row>
    <row r="2150" spans="1:9" x14ac:dyDescent="0.3">
      <c r="A2150" s="88"/>
      <c r="B2150" s="88"/>
      <c r="C2150" s="88"/>
      <c r="D2150" s="88"/>
      <c r="E2150" s="88"/>
      <c r="F2150" s="88"/>
      <c r="G2150" s="88"/>
      <c r="H2150" s="88"/>
      <c r="I2150" s="89"/>
    </row>
    <row r="2151" spans="1:9" x14ac:dyDescent="0.3">
      <c r="A2151" s="88"/>
      <c r="B2151" s="88"/>
      <c r="C2151" s="88"/>
      <c r="D2151" s="88"/>
      <c r="E2151" s="88"/>
      <c r="F2151" s="88"/>
      <c r="G2151" s="88"/>
      <c r="H2151" s="88"/>
      <c r="I2151" s="89"/>
    </row>
    <row r="2152" spans="1:9" x14ac:dyDescent="0.3">
      <c r="A2152" s="88"/>
      <c r="B2152" s="88"/>
      <c r="C2152" s="88"/>
      <c r="D2152" s="88"/>
      <c r="E2152" s="88"/>
      <c r="F2152" s="88"/>
      <c r="G2152" s="88"/>
      <c r="H2152" s="88"/>
      <c r="I2152" s="89"/>
    </row>
    <row r="2153" spans="1:9" x14ac:dyDescent="0.3">
      <c r="A2153" s="88"/>
      <c r="B2153" s="88"/>
      <c r="C2153" s="88"/>
      <c r="D2153" s="88"/>
      <c r="E2153" s="88"/>
      <c r="F2153" s="88"/>
      <c r="G2153" s="88"/>
      <c r="H2153" s="88"/>
      <c r="I2153" s="89"/>
    </row>
    <row r="2154" spans="1:9" x14ac:dyDescent="0.3">
      <c r="A2154" s="88"/>
      <c r="B2154" s="88"/>
      <c r="C2154" s="88"/>
      <c r="D2154" s="88"/>
      <c r="E2154" s="88"/>
      <c r="F2154" s="88"/>
      <c r="G2154" s="88"/>
      <c r="H2154" s="88"/>
      <c r="I2154" s="89"/>
    </row>
    <row r="2155" spans="1:9" x14ac:dyDescent="0.3">
      <c r="A2155" s="88"/>
      <c r="B2155" s="88"/>
      <c r="C2155" s="88"/>
      <c r="D2155" s="88"/>
      <c r="E2155" s="88"/>
      <c r="F2155" s="88"/>
      <c r="G2155" s="88"/>
      <c r="H2155" s="88"/>
      <c r="I2155" s="89"/>
    </row>
    <row r="2156" spans="1:9" x14ac:dyDescent="0.3">
      <c r="A2156" s="88"/>
      <c r="B2156" s="88"/>
      <c r="C2156" s="88"/>
      <c r="D2156" s="88"/>
      <c r="E2156" s="88"/>
      <c r="F2156" s="88"/>
      <c r="G2156" s="88"/>
      <c r="H2156" s="88"/>
      <c r="I2156" s="89"/>
    </row>
    <row r="2157" spans="1:9" x14ac:dyDescent="0.3">
      <c r="A2157" s="88"/>
      <c r="B2157" s="88"/>
      <c r="C2157" s="88"/>
      <c r="D2157" s="88"/>
      <c r="E2157" s="88"/>
      <c r="F2157" s="88"/>
      <c r="G2157" s="88"/>
      <c r="H2157" s="88"/>
      <c r="I2157" s="89"/>
    </row>
    <row r="2158" spans="1:9" x14ac:dyDescent="0.3">
      <c r="A2158" s="88"/>
      <c r="B2158" s="88"/>
      <c r="C2158" s="88"/>
      <c r="D2158" s="88"/>
      <c r="E2158" s="88"/>
      <c r="F2158" s="88"/>
      <c r="G2158" s="88"/>
      <c r="H2158" s="88"/>
      <c r="I2158" s="89"/>
    </row>
    <row r="2159" spans="1:9" x14ac:dyDescent="0.3">
      <c r="A2159" s="88"/>
      <c r="B2159" s="88"/>
      <c r="C2159" s="88"/>
      <c r="D2159" s="88"/>
      <c r="E2159" s="88"/>
      <c r="F2159" s="88"/>
      <c r="G2159" s="88"/>
      <c r="H2159" s="88"/>
      <c r="I2159" s="89"/>
    </row>
    <row r="2160" spans="1:9" x14ac:dyDescent="0.3">
      <c r="A2160" s="88"/>
      <c r="B2160" s="88"/>
      <c r="C2160" s="88"/>
      <c r="D2160" s="88"/>
      <c r="E2160" s="88"/>
      <c r="F2160" s="88"/>
      <c r="G2160" s="88"/>
      <c r="H2160" s="88"/>
      <c r="I2160" s="89"/>
    </row>
    <row r="2161" spans="1:9" x14ac:dyDescent="0.3">
      <c r="A2161" s="88"/>
      <c r="B2161" s="88"/>
      <c r="C2161" s="88"/>
      <c r="D2161" s="88"/>
      <c r="E2161" s="88"/>
      <c r="F2161" s="88"/>
      <c r="G2161" s="88"/>
      <c r="H2161" s="88"/>
      <c r="I2161" s="89"/>
    </row>
    <row r="2162" spans="1:9" x14ac:dyDescent="0.3">
      <c r="A2162" s="88"/>
      <c r="B2162" s="88"/>
      <c r="C2162" s="88"/>
      <c r="D2162" s="88"/>
      <c r="E2162" s="88"/>
      <c r="F2162" s="88"/>
      <c r="G2162" s="88"/>
      <c r="H2162" s="88"/>
      <c r="I2162" s="89"/>
    </row>
    <row r="2163" spans="1:9" x14ac:dyDescent="0.3">
      <c r="A2163" s="88"/>
      <c r="B2163" s="88"/>
      <c r="C2163" s="88"/>
      <c r="D2163" s="88"/>
      <c r="E2163" s="88"/>
      <c r="F2163" s="88"/>
      <c r="G2163" s="88"/>
      <c r="H2163" s="88"/>
      <c r="I2163" s="89"/>
    </row>
    <row r="2164" spans="1:9" x14ac:dyDescent="0.3">
      <c r="A2164" s="88"/>
      <c r="B2164" s="88"/>
      <c r="C2164" s="88"/>
      <c r="D2164" s="88"/>
      <c r="E2164" s="88"/>
      <c r="F2164" s="88"/>
      <c r="G2164" s="88"/>
      <c r="H2164" s="88"/>
      <c r="I2164" s="89"/>
    </row>
    <row r="2165" spans="1:9" x14ac:dyDescent="0.3">
      <c r="A2165" s="88"/>
      <c r="B2165" s="88"/>
      <c r="C2165" s="88"/>
      <c r="D2165" s="88"/>
      <c r="E2165" s="88"/>
      <c r="F2165" s="88"/>
      <c r="G2165" s="88"/>
      <c r="H2165" s="88"/>
      <c r="I2165" s="89"/>
    </row>
    <row r="2166" spans="1:9" x14ac:dyDescent="0.3">
      <c r="A2166" s="88"/>
      <c r="B2166" s="88"/>
      <c r="C2166" s="88"/>
      <c r="D2166" s="88"/>
      <c r="E2166" s="88"/>
      <c r="F2166" s="88"/>
      <c r="G2166" s="88"/>
      <c r="H2166" s="88"/>
      <c r="I2166" s="89"/>
    </row>
    <row r="2167" spans="1:9" x14ac:dyDescent="0.3">
      <c r="A2167" s="88"/>
      <c r="B2167" s="88"/>
      <c r="C2167" s="88"/>
      <c r="D2167" s="88"/>
      <c r="E2167" s="88"/>
      <c r="F2167" s="88"/>
      <c r="G2167" s="88"/>
      <c r="H2167" s="88"/>
      <c r="I2167" s="89"/>
    </row>
    <row r="2168" spans="1:9" x14ac:dyDescent="0.3">
      <c r="A2168" s="88"/>
      <c r="B2168" s="88"/>
      <c r="C2168" s="88"/>
      <c r="D2168" s="88"/>
      <c r="E2168" s="88"/>
      <c r="F2168" s="88"/>
      <c r="G2168" s="88"/>
      <c r="H2168" s="88"/>
      <c r="I2168" s="89"/>
    </row>
    <row r="2169" spans="1:9" x14ac:dyDescent="0.3">
      <c r="A2169" s="88"/>
      <c r="B2169" s="88"/>
      <c r="C2169" s="88"/>
      <c r="D2169" s="88"/>
      <c r="E2169" s="88"/>
      <c r="F2169" s="88"/>
      <c r="G2169" s="88"/>
      <c r="H2169" s="88"/>
      <c r="I2169" s="89"/>
    </row>
    <row r="2170" spans="1:9" x14ac:dyDescent="0.3">
      <c r="A2170" s="88"/>
      <c r="B2170" s="88"/>
      <c r="C2170" s="88"/>
      <c r="D2170" s="88"/>
      <c r="E2170" s="88"/>
      <c r="F2170" s="88"/>
      <c r="G2170" s="88"/>
      <c r="H2170" s="88"/>
      <c r="I2170" s="89"/>
    </row>
    <row r="2171" spans="1:9" x14ac:dyDescent="0.3">
      <c r="A2171" s="88"/>
      <c r="B2171" s="88"/>
      <c r="C2171" s="88"/>
      <c r="D2171" s="88"/>
      <c r="E2171" s="88"/>
      <c r="F2171" s="88"/>
      <c r="G2171" s="88"/>
      <c r="H2171" s="88"/>
      <c r="I2171" s="89"/>
    </row>
    <row r="2172" spans="1:9" x14ac:dyDescent="0.3">
      <c r="A2172" s="88"/>
      <c r="B2172" s="88"/>
      <c r="C2172" s="88"/>
      <c r="D2172" s="88"/>
      <c r="E2172" s="88"/>
      <c r="F2172" s="88"/>
      <c r="G2172" s="88"/>
      <c r="H2172" s="88"/>
      <c r="I2172" s="89"/>
    </row>
    <row r="2173" spans="1:9" x14ac:dyDescent="0.3">
      <c r="A2173" s="88"/>
      <c r="B2173" s="88"/>
      <c r="C2173" s="88"/>
      <c r="D2173" s="88"/>
      <c r="E2173" s="88"/>
      <c r="F2173" s="88"/>
      <c r="G2173" s="88"/>
      <c r="H2173" s="88"/>
      <c r="I2173" s="89"/>
    </row>
    <row r="2174" spans="1:9" x14ac:dyDescent="0.3">
      <c r="A2174" s="88"/>
      <c r="B2174" s="88"/>
      <c r="C2174" s="88"/>
      <c r="D2174" s="88"/>
      <c r="E2174" s="88"/>
      <c r="F2174" s="88"/>
      <c r="G2174" s="88"/>
      <c r="H2174" s="88"/>
      <c r="I2174" s="89"/>
    </row>
    <row r="2175" spans="1:9" x14ac:dyDescent="0.3">
      <c r="A2175" s="88"/>
      <c r="B2175" s="88"/>
      <c r="C2175" s="88"/>
      <c r="D2175" s="88"/>
      <c r="E2175" s="88"/>
      <c r="F2175" s="88"/>
      <c r="G2175" s="88"/>
      <c r="H2175" s="88"/>
      <c r="I2175" s="89"/>
    </row>
    <row r="2176" spans="1:9" x14ac:dyDescent="0.3">
      <c r="A2176" s="88"/>
      <c r="B2176" s="88"/>
      <c r="C2176" s="88"/>
      <c r="D2176" s="88"/>
      <c r="E2176" s="88"/>
      <c r="F2176" s="88"/>
      <c r="G2176" s="88"/>
      <c r="H2176" s="88"/>
      <c r="I2176" s="89"/>
    </row>
    <row r="2177" spans="1:9" x14ac:dyDescent="0.3">
      <c r="A2177" s="88"/>
      <c r="B2177" s="88"/>
      <c r="C2177" s="88"/>
      <c r="D2177" s="88"/>
      <c r="E2177" s="88"/>
      <c r="F2177" s="88"/>
      <c r="G2177" s="88"/>
      <c r="H2177" s="88"/>
      <c r="I2177" s="89"/>
    </row>
    <row r="2178" spans="1:9" x14ac:dyDescent="0.3">
      <c r="A2178" s="88"/>
      <c r="B2178" s="88"/>
      <c r="C2178" s="88"/>
      <c r="D2178" s="88"/>
      <c r="E2178" s="88"/>
      <c r="F2178" s="88"/>
      <c r="G2178" s="88"/>
      <c r="H2178" s="88"/>
      <c r="I2178" s="89"/>
    </row>
    <row r="2179" spans="1:9" x14ac:dyDescent="0.3">
      <c r="A2179" s="88"/>
      <c r="B2179" s="88"/>
      <c r="C2179" s="88"/>
      <c r="D2179" s="88"/>
      <c r="E2179" s="88"/>
      <c r="F2179" s="88"/>
      <c r="G2179" s="88"/>
      <c r="H2179" s="88"/>
      <c r="I2179" s="89"/>
    </row>
    <row r="2180" spans="1:9" x14ac:dyDescent="0.3">
      <c r="A2180" s="88"/>
      <c r="B2180" s="88"/>
      <c r="C2180" s="88"/>
      <c r="D2180" s="88"/>
      <c r="E2180" s="88"/>
      <c r="F2180" s="88"/>
      <c r="G2180" s="88"/>
      <c r="H2180" s="88"/>
      <c r="I2180" s="89"/>
    </row>
    <row r="2181" spans="1:9" x14ac:dyDescent="0.3">
      <c r="A2181" s="88"/>
      <c r="B2181" s="88"/>
      <c r="C2181" s="88"/>
      <c r="D2181" s="88"/>
      <c r="E2181" s="88"/>
      <c r="F2181" s="88"/>
      <c r="G2181" s="88"/>
      <c r="H2181" s="88"/>
      <c r="I2181" s="89"/>
    </row>
    <row r="2182" spans="1:9" x14ac:dyDescent="0.3">
      <c r="A2182" s="88"/>
      <c r="B2182" s="88"/>
      <c r="C2182" s="88"/>
      <c r="D2182" s="88"/>
      <c r="E2182" s="88"/>
      <c r="F2182" s="88"/>
      <c r="G2182" s="88"/>
      <c r="H2182" s="88"/>
      <c r="I2182" s="89"/>
    </row>
    <row r="2183" spans="1:9" x14ac:dyDescent="0.3">
      <c r="A2183" s="88"/>
      <c r="B2183" s="88"/>
      <c r="C2183" s="88"/>
      <c r="D2183" s="88"/>
      <c r="E2183" s="88"/>
      <c r="F2183" s="88"/>
      <c r="G2183" s="88"/>
      <c r="H2183" s="88"/>
      <c r="I2183" s="89"/>
    </row>
    <row r="2184" spans="1:9" x14ac:dyDescent="0.3">
      <c r="A2184" s="88"/>
      <c r="B2184" s="88"/>
      <c r="C2184" s="88"/>
      <c r="D2184" s="88"/>
      <c r="E2184" s="88"/>
      <c r="F2184" s="88"/>
      <c r="G2184" s="88"/>
      <c r="H2184" s="88"/>
      <c r="I2184" s="89"/>
    </row>
    <row r="2185" spans="1:9" x14ac:dyDescent="0.3">
      <c r="A2185" s="88"/>
      <c r="B2185" s="88"/>
      <c r="C2185" s="88"/>
      <c r="D2185" s="88"/>
      <c r="E2185" s="88"/>
      <c r="F2185" s="88"/>
      <c r="G2185" s="88"/>
      <c r="H2185" s="88"/>
      <c r="I2185" s="89"/>
    </row>
    <row r="2186" spans="1:9" x14ac:dyDescent="0.3">
      <c r="A2186" s="88"/>
      <c r="B2186" s="88"/>
      <c r="C2186" s="88"/>
      <c r="D2186" s="88"/>
      <c r="E2186" s="88"/>
      <c r="F2186" s="88"/>
      <c r="G2186" s="88"/>
      <c r="H2186" s="88"/>
      <c r="I2186" s="89"/>
    </row>
    <row r="2187" spans="1:9" x14ac:dyDescent="0.3">
      <c r="A2187" s="88"/>
      <c r="B2187" s="88"/>
      <c r="C2187" s="88"/>
      <c r="D2187" s="88"/>
      <c r="E2187" s="88"/>
      <c r="F2187" s="88"/>
      <c r="G2187" s="88"/>
      <c r="H2187" s="88"/>
      <c r="I2187" s="89"/>
    </row>
    <row r="2188" spans="1:9" x14ac:dyDescent="0.3">
      <c r="A2188" s="88"/>
      <c r="B2188" s="88"/>
      <c r="C2188" s="88"/>
      <c r="D2188" s="88"/>
      <c r="E2188" s="88"/>
      <c r="F2188" s="88"/>
      <c r="G2188" s="88"/>
      <c r="H2188" s="88"/>
      <c r="I2188" s="89"/>
    </row>
    <row r="2189" spans="1:9" x14ac:dyDescent="0.3">
      <c r="A2189" s="88"/>
      <c r="B2189" s="88"/>
      <c r="C2189" s="88"/>
      <c r="D2189" s="88"/>
      <c r="E2189" s="88"/>
      <c r="F2189" s="88"/>
      <c r="G2189" s="88"/>
      <c r="H2189" s="88"/>
      <c r="I2189" s="89"/>
    </row>
    <row r="2190" spans="1:9" x14ac:dyDescent="0.3">
      <c r="A2190" s="88"/>
      <c r="B2190" s="88"/>
      <c r="C2190" s="88"/>
      <c r="D2190" s="88"/>
      <c r="E2190" s="88"/>
      <c r="F2190" s="88"/>
      <c r="G2190" s="88"/>
      <c r="H2190" s="88"/>
      <c r="I2190" s="89"/>
    </row>
    <row r="2191" spans="1:9" x14ac:dyDescent="0.3">
      <c r="A2191" s="88"/>
      <c r="B2191" s="88"/>
      <c r="C2191" s="88"/>
      <c r="D2191" s="88"/>
      <c r="E2191" s="88"/>
      <c r="F2191" s="88"/>
      <c r="G2191" s="88"/>
      <c r="H2191" s="88"/>
      <c r="I2191" s="89"/>
    </row>
    <row r="2192" spans="1:9" x14ac:dyDescent="0.3">
      <c r="A2192" s="88"/>
      <c r="B2192" s="88"/>
      <c r="C2192" s="88"/>
      <c r="D2192" s="88"/>
      <c r="E2192" s="88"/>
      <c r="F2192" s="88"/>
      <c r="G2192" s="88"/>
      <c r="H2192" s="88"/>
      <c r="I2192" s="89"/>
    </row>
    <row r="2193" spans="1:9" x14ac:dyDescent="0.3">
      <c r="A2193" s="88"/>
      <c r="B2193" s="88"/>
      <c r="C2193" s="88"/>
      <c r="D2193" s="88"/>
      <c r="E2193" s="88"/>
      <c r="F2193" s="88"/>
      <c r="G2193" s="88"/>
      <c r="H2193" s="88"/>
      <c r="I2193" s="89"/>
    </row>
    <row r="2194" spans="1:9" x14ac:dyDescent="0.3">
      <c r="A2194" s="88"/>
      <c r="B2194" s="88"/>
      <c r="C2194" s="88"/>
      <c r="D2194" s="88"/>
      <c r="E2194" s="88"/>
      <c r="F2194" s="88"/>
      <c r="G2194" s="88"/>
      <c r="H2194" s="88"/>
      <c r="I2194" s="89"/>
    </row>
    <row r="2195" spans="1:9" x14ac:dyDescent="0.3">
      <c r="A2195" s="88"/>
      <c r="B2195" s="88"/>
      <c r="C2195" s="88"/>
      <c r="D2195" s="88"/>
      <c r="E2195" s="88"/>
      <c r="F2195" s="88"/>
      <c r="G2195" s="88"/>
      <c r="H2195" s="88"/>
      <c r="I2195" s="89"/>
    </row>
    <row r="2196" spans="1:9" x14ac:dyDescent="0.3">
      <c r="A2196" s="88"/>
      <c r="B2196" s="88"/>
      <c r="C2196" s="88"/>
      <c r="D2196" s="88"/>
      <c r="E2196" s="88"/>
      <c r="F2196" s="88"/>
      <c r="G2196" s="88"/>
      <c r="H2196" s="88"/>
      <c r="I2196" s="89"/>
    </row>
    <row r="2197" spans="1:9" x14ac:dyDescent="0.3">
      <c r="A2197" s="88"/>
      <c r="B2197" s="88"/>
      <c r="C2197" s="88"/>
      <c r="D2197" s="88"/>
      <c r="E2197" s="88"/>
      <c r="F2197" s="88"/>
      <c r="G2197" s="88"/>
      <c r="H2197" s="88"/>
      <c r="I2197" s="89"/>
    </row>
    <row r="2198" spans="1:9" x14ac:dyDescent="0.3">
      <c r="A2198" s="88"/>
      <c r="B2198" s="88"/>
      <c r="C2198" s="88"/>
      <c r="D2198" s="88"/>
      <c r="E2198" s="88"/>
      <c r="F2198" s="88"/>
      <c r="G2198" s="88"/>
      <c r="H2198" s="88"/>
      <c r="I2198" s="89"/>
    </row>
    <row r="2199" spans="1:9" x14ac:dyDescent="0.3">
      <c r="A2199" s="88"/>
      <c r="B2199" s="88"/>
      <c r="C2199" s="88"/>
      <c r="D2199" s="88"/>
      <c r="E2199" s="88"/>
      <c r="F2199" s="88"/>
      <c r="G2199" s="88"/>
      <c r="H2199" s="88"/>
      <c r="I2199" s="89"/>
    </row>
    <row r="2200" spans="1:9" x14ac:dyDescent="0.3">
      <c r="A2200" s="88"/>
      <c r="B2200" s="88"/>
      <c r="C2200" s="88"/>
      <c r="D2200" s="88"/>
      <c r="E2200" s="88"/>
      <c r="F2200" s="88"/>
      <c r="G2200" s="88"/>
      <c r="H2200" s="88"/>
      <c r="I2200" s="89"/>
    </row>
    <row r="2201" spans="1:9" x14ac:dyDescent="0.3">
      <c r="A2201" s="88"/>
      <c r="B2201" s="88"/>
      <c r="C2201" s="88"/>
      <c r="D2201" s="88"/>
      <c r="E2201" s="88"/>
      <c r="F2201" s="88"/>
      <c r="G2201" s="88"/>
      <c r="H2201" s="88"/>
      <c r="I2201" s="89"/>
    </row>
    <row r="2202" spans="1:9" x14ac:dyDescent="0.3">
      <c r="A2202" s="88"/>
      <c r="B2202" s="88"/>
      <c r="C2202" s="88"/>
      <c r="D2202" s="88"/>
      <c r="E2202" s="88"/>
      <c r="F2202" s="88"/>
      <c r="G2202" s="88"/>
      <c r="H2202" s="88"/>
      <c r="I2202" s="89"/>
    </row>
    <row r="2203" spans="1:9" x14ac:dyDescent="0.3">
      <c r="A2203" s="88"/>
      <c r="B2203" s="88"/>
      <c r="C2203" s="88"/>
      <c r="D2203" s="88"/>
      <c r="E2203" s="88"/>
      <c r="F2203" s="88"/>
      <c r="G2203" s="88"/>
      <c r="H2203" s="88"/>
      <c r="I2203" s="89"/>
    </row>
    <row r="2204" spans="1:9" x14ac:dyDescent="0.3">
      <c r="A2204" s="88"/>
      <c r="B2204" s="88"/>
      <c r="C2204" s="88"/>
      <c r="D2204" s="88"/>
      <c r="E2204" s="88"/>
      <c r="F2204" s="88"/>
      <c r="G2204" s="88"/>
      <c r="H2204" s="88"/>
      <c r="I2204" s="89"/>
    </row>
    <row r="2205" spans="1:9" x14ac:dyDescent="0.3">
      <c r="A2205" s="88"/>
      <c r="B2205" s="88"/>
      <c r="C2205" s="88"/>
      <c r="D2205" s="88"/>
      <c r="E2205" s="88"/>
      <c r="F2205" s="88"/>
      <c r="G2205" s="88"/>
      <c r="H2205" s="88"/>
      <c r="I2205" s="89"/>
    </row>
    <row r="2206" spans="1:9" x14ac:dyDescent="0.3">
      <c r="A2206" s="88"/>
      <c r="B2206" s="88"/>
      <c r="C2206" s="88"/>
      <c r="D2206" s="88"/>
      <c r="E2206" s="88"/>
      <c r="F2206" s="88"/>
      <c r="G2206" s="88"/>
      <c r="H2206" s="88"/>
      <c r="I2206" s="89"/>
    </row>
    <row r="2207" spans="1:9" x14ac:dyDescent="0.3">
      <c r="A2207" s="88"/>
      <c r="B2207" s="88"/>
      <c r="C2207" s="88"/>
      <c r="D2207" s="88"/>
      <c r="E2207" s="88"/>
      <c r="F2207" s="88"/>
      <c r="G2207" s="88"/>
      <c r="H2207" s="88"/>
      <c r="I2207" s="89"/>
    </row>
    <row r="2208" spans="1:9" x14ac:dyDescent="0.3">
      <c r="A2208" s="88"/>
      <c r="B2208" s="88"/>
      <c r="C2208" s="88"/>
      <c r="D2208" s="88"/>
      <c r="E2208" s="88"/>
      <c r="F2208" s="88"/>
      <c r="G2208" s="88"/>
      <c r="H2208" s="88"/>
      <c r="I2208" s="89"/>
    </row>
    <row r="2209" spans="1:9" x14ac:dyDescent="0.3">
      <c r="A2209" s="88"/>
      <c r="B2209" s="88"/>
      <c r="C2209" s="88"/>
      <c r="D2209" s="88"/>
      <c r="E2209" s="88"/>
      <c r="F2209" s="88"/>
      <c r="G2209" s="88"/>
      <c r="H2209" s="88"/>
      <c r="I2209" s="89"/>
    </row>
    <row r="2210" spans="1:9" x14ac:dyDescent="0.3">
      <c r="A2210" s="88"/>
      <c r="B2210" s="88"/>
      <c r="C2210" s="88"/>
      <c r="D2210" s="88"/>
      <c r="E2210" s="88"/>
      <c r="F2210" s="88"/>
      <c r="G2210" s="88"/>
      <c r="H2210" s="88"/>
      <c r="I2210" s="89"/>
    </row>
    <row r="2211" spans="1:9" x14ac:dyDescent="0.3">
      <c r="A2211" s="88"/>
      <c r="B2211" s="88"/>
      <c r="C2211" s="88"/>
      <c r="D2211" s="88"/>
      <c r="E2211" s="88"/>
      <c r="F2211" s="88"/>
      <c r="G2211" s="88"/>
      <c r="H2211" s="88"/>
      <c r="I2211" s="89"/>
    </row>
    <row r="2212" spans="1:9" x14ac:dyDescent="0.3">
      <c r="A2212" s="88"/>
      <c r="B2212" s="88"/>
      <c r="C2212" s="88"/>
      <c r="D2212" s="88"/>
      <c r="E2212" s="88"/>
      <c r="F2212" s="88"/>
      <c r="G2212" s="88"/>
      <c r="H2212" s="88"/>
      <c r="I2212" s="89"/>
    </row>
    <row r="2213" spans="1:9" x14ac:dyDescent="0.3">
      <c r="A2213" s="88"/>
      <c r="B2213" s="88"/>
      <c r="C2213" s="88"/>
      <c r="D2213" s="88"/>
      <c r="E2213" s="88"/>
      <c r="F2213" s="88"/>
      <c r="G2213" s="88"/>
      <c r="H2213" s="88"/>
      <c r="I2213" s="89"/>
    </row>
    <row r="2214" spans="1:9" x14ac:dyDescent="0.3">
      <c r="A2214" s="88"/>
      <c r="B2214" s="88"/>
      <c r="C2214" s="88"/>
      <c r="D2214" s="88"/>
      <c r="E2214" s="88"/>
      <c r="F2214" s="88"/>
      <c r="G2214" s="88"/>
      <c r="H2214" s="88"/>
      <c r="I2214" s="89"/>
    </row>
    <row r="2215" spans="1:9" x14ac:dyDescent="0.3">
      <c r="A2215" s="88"/>
      <c r="B2215" s="88"/>
      <c r="C2215" s="88"/>
      <c r="D2215" s="88"/>
      <c r="E2215" s="88"/>
      <c r="F2215" s="88"/>
      <c r="G2215" s="88"/>
      <c r="H2215" s="88"/>
      <c r="I2215" s="89"/>
    </row>
    <row r="2216" spans="1:9" x14ac:dyDescent="0.3">
      <c r="A2216" s="88"/>
      <c r="B2216" s="88"/>
      <c r="C2216" s="88"/>
      <c r="D2216" s="88"/>
      <c r="E2216" s="88"/>
      <c r="F2216" s="88"/>
      <c r="G2216" s="88"/>
      <c r="H2216" s="88"/>
      <c r="I2216" s="89"/>
    </row>
    <row r="2217" spans="1:9" x14ac:dyDescent="0.3">
      <c r="A2217" s="88"/>
      <c r="B2217" s="88"/>
      <c r="C2217" s="88"/>
      <c r="D2217" s="88"/>
      <c r="E2217" s="88"/>
      <c r="F2217" s="88"/>
      <c r="G2217" s="88"/>
      <c r="H2217" s="88"/>
      <c r="I2217" s="89"/>
    </row>
    <row r="2218" spans="1:9" x14ac:dyDescent="0.3">
      <c r="A2218" s="88"/>
      <c r="B2218" s="88"/>
      <c r="C2218" s="88"/>
      <c r="D2218" s="88"/>
      <c r="E2218" s="88"/>
      <c r="F2218" s="88"/>
      <c r="G2218" s="88"/>
      <c r="H2218" s="88"/>
      <c r="I2218" s="89"/>
    </row>
    <row r="2219" spans="1:9" x14ac:dyDescent="0.3">
      <c r="A2219" s="88"/>
      <c r="B2219" s="88"/>
      <c r="C2219" s="88"/>
      <c r="D2219" s="88"/>
      <c r="E2219" s="88"/>
      <c r="F2219" s="88"/>
      <c r="G2219" s="88"/>
      <c r="H2219" s="88"/>
      <c r="I2219" s="89"/>
    </row>
    <row r="2220" spans="1:9" x14ac:dyDescent="0.3">
      <c r="A2220" s="88"/>
      <c r="B2220" s="88"/>
      <c r="C2220" s="88"/>
      <c r="D2220" s="88"/>
      <c r="E2220" s="88"/>
      <c r="F2220" s="88"/>
      <c r="G2220" s="88"/>
      <c r="H2220" s="88"/>
      <c r="I2220" s="89"/>
    </row>
    <row r="2221" spans="1:9" x14ac:dyDescent="0.3">
      <c r="A2221" s="88"/>
      <c r="B2221" s="88"/>
      <c r="C2221" s="88"/>
      <c r="D2221" s="88"/>
      <c r="E2221" s="88"/>
      <c r="F2221" s="88"/>
      <c r="G2221" s="88"/>
      <c r="H2221" s="88"/>
      <c r="I2221" s="89"/>
    </row>
    <row r="2222" spans="1:9" x14ac:dyDescent="0.3">
      <c r="A2222" s="88"/>
      <c r="B2222" s="88"/>
      <c r="C2222" s="88"/>
      <c r="D2222" s="88"/>
      <c r="E2222" s="88"/>
      <c r="F2222" s="88"/>
      <c r="G2222" s="88"/>
      <c r="H2222" s="88"/>
      <c r="I2222" s="89"/>
    </row>
    <row r="2223" spans="1:9" x14ac:dyDescent="0.3">
      <c r="A2223" s="88"/>
      <c r="B2223" s="88"/>
      <c r="C2223" s="88"/>
      <c r="D2223" s="88"/>
      <c r="E2223" s="88"/>
      <c r="F2223" s="88"/>
      <c r="G2223" s="88"/>
      <c r="H2223" s="88"/>
      <c r="I2223" s="89"/>
    </row>
    <row r="2224" spans="1:9" x14ac:dyDescent="0.3">
      <c r="A2224" s="88"/>
      <c r="B2224" s="88"/>
      <c r="C2224" s="88"/>
      <c r="D2224" s="88"/>
      <c r="E2224" s="88"/>
      <c r="F2224" s="88"/>
      <c r="G2224" s="88"/>
      <c r="H2224" s="88"/>
      <c r="I2224" s="89"/>
    </row>
    <row r="2225" spans="1:9" x14ac:dyDescent="0.3">
      <c r="A2225" s="88"/>
      <c r="B2225" s="88"/>
      <c r="C2225" s="88"/>
      <c r="D2225" s="88"/>
      <c r="E2225" s="88"/>
      <c r="F2225" s="88"/>
      <c r="G2225" s="88"/>
      <c r="H2225" s="88"/>
      <c r="I2225" s="89"/>
    </row>
    <row r="2226" spans="1:9" x14ac:dyDescent="0.3">
      <c r="A2226" s="88"/>
      <c r="B2226" s="88"/>
      <c r="C2226" s="88"/>
      <c r="D2226" s="88"/>
      <c r="E2226" s="88"/>
      <c r="F2226" s="88"/>
      <c r="G2226" s="88"/>
      <c r="H2226" s="88"/>
      <c r="I2226" s="89"/>
    </row>
    <row r="2227" spans="1:9" x14ac:dyDescent="0.3">
      <c r="A2227" s="88"/>
      <c r="B2227" s="88"/>
      <c r="C2227" s="88"/>
      <c r="D2227" s="88"/>
      <c r="E2227" s="88"/>
      <c r="F2227" s="88"/>
      <c r="G2227" s="88"/>
      <c r="H2227" s="88"/>
      <c r="I2227" s="89"/>
    </row>
    <row r="2228" spans="1:9" x14ac:dyDescent="0.3">
      <c r="A2228" s="88"/>
      <c r="B2228" s="88"/>
      <c r="C2228" s="88"/>
      <c r="D2228" s="88"/>
      <c r="E2228" s="88"/>
      <c r="F2228" s="88"/>
      <c r="G2228" s="88"/>
      <c r="H2228" s="88"/>
      <c r="I2228" s="89"/>
    </row>
    <row r="2229" spans="1:9" x14ac:dyDescent="0.3">
      <c r="A2229" s="88"/>
      <c r="B2229" s="88"/>
      <c r="C2229" s="88"/>
      <c r="D2229" s="88"/>
      <c r="E2229" s="88"/>
      <c r="F2229" s="88"/>
      <c r="G2229" s="88"/>
      <c r="H2229" s="88"/>
      <c r="I2229" s="89"/>
    </row>
    <row r="2230" spans="1:9" x14ac:dyDescent="0.3">
      <c r="A2230" s="88"/>
      <c r="B2230" s="88"/>
      <c r="C2230" s="88"/>
      <c r="D2230" s="88"/>
      <c r="E2230" s="88"/>
      <c r="F2230" s="88"/>
      <c r="G2230" s="88"/>
      <c r="H2230" s="88"/>
      <c r="I2230" s="89"/>
    </row>
    <row r="2231" spans="1:9" x14ac:dyDescent="0.3">
      <c r="A2231" s="88"/>
      <c r="B2231" s="88"/>
      <c r="C2231" s="88"/>
      <c r="D2231" s="88"/>
      <c r="E2231" s="88"/>
      <c r="F2231" s="88"/>
      <c r="G2231" s="88"/>
      <c r="H2231" s="88"/>
      <c r="I2231" s="89"/>
    </row>
    <row r="2232" spans="1:9" x14ac:dyDescent="0.3">
      <c r="A2232" s="88"/>
      <c r="B2232" s="88"/>
      <c r="C2232" s="88"/>
      <c r="D2232" s="88"/>
      <c r="E2232" s="88"/>
      <c r="F2232" s="88"/>
      <c r="G2232" s="88"/>
      <c r="H2232" s="88"/>
      <c r="I2232" s="89"/>
    </row>
    <row r="2233" spans="1:9" x14ac:dyDescent="0.3">
      <c r="A2233" s="88"/>
      <c r="B2233" s="88"/>
      <c r="C2233" s="88"/>
      <c r="D2233" s="88"/>
      <c r="E2233" s="88"/>
      <c r="F2233" s="88"/>
      <c r="G2233" s="88"/>
      <c r="H2233" s="88"/>
      <c r="I2233" s="89"/>
    </row>
    <row r="2234" spans="1:9" x14ac:dyDescent="0.3">
      <c r="A2234" s="88"/>
      <c r="B2234" s="88"/>
      <c r="C2234" s="88"/>
      <c r="D2234" s="88"/>
      <c r="E2234" s="88"/>
      <c r="F2234" s="88"/>
      <c r="G2234" s="88"/>
      <c r="H2234" s="88"/>
      <c r="I2234" s="89"/>
    </row>
    <row r="2235" spans="1:9" x14ac:dyDescent="0.3">
      <c r="A2235" s="88"/>
      <c r="B2235" s="88"/>
      <c r="C2235" s="88"/>
      <c r="D2235" s="88"/>
      <c r="E2235" s="88"/>
      <c r="F2235" s="88"/>
      <c r="G2235" s="88"/>
      <c r="H2235" s="88"/>
      <c r="I2235" s="89"/>
    </row>
    <row r="2236" spans="1:9" x14ac:dyDescent="0.3">
      <c r="A2236" s="88"/>
      <c r="B2236" s="88"/>
      <c r="C2236" s="88"/>
      <c r="D2236" s="88"/>
      <c r="E2236" s="88"/>
      <c r="F2236" s="88"/>
      <c r="G2236" s="88"/>
      <c r="H2236" s="88"/>
      <c r="I2236" s="89"/>
    </row>
    <row r="2237" spans="1:9" x14ac:dyDescent="0.3">
      <c r="A2237" s="88"/>
      <c r="B2237" s="88"/>
      <c r="C2237" s="88"/>
      <c r="D2237" s="88"/>
      <c r="E2237" s="88"/>
      <c r="F2237" s="88"/>
      <c r="G2237" s="88"/>
      <c r="H2237" s="88"/>
      <c r="I2237" s="89"/>
    </row>
    <row r="2238" spans="1:9" x14ac:dyDescent="0.3">
      <c r="A2238" s="88"/>
      <c r="B2238" s="88"/>
      <c r="C2238" s="88"/>
      <c r="D2238" s="88"/>
      <c r="E2238" s="88"/>
      <c r="F2238" s="88"/>
      <c r="G2238" s="88"/>
      <c r="H2238" s="88"/>
      <c r="I2238" s="89"/>
    </row>
    <row r="2239" spans="1:9" x14ac:dyDescent="0.3">
      <c r="A2239" s="88"/>
      <c r="B2239" s="88"/>
      <c r="C2239" s="88"/>
      <c r="D2239" s="88"/>
      <c r="E2239" s="88"/>
      <c r="F2239" s="88"/>
      <c r="G2239" s="88"/>
      <c r="H2239" s="88"/>
      <c r="I2239" s="89"/>
    </row>
    <row r="2240" spans="1:9" x14ac:dyDescent="0.3">
      <c r="A2240" s="88"/>
      <c r="B2240" s="88"/>
      <c r="C2240" s="88"/>
      <c r="D2240" s="88"/>
      <c r="E2240" s="88"/>
      <c r="F2240" s="88"/>
      <c r="G2240" s="88"/>
      <c r="H2240" s="88"/>
      <c r="I2240" s="89"/>
    </row>
    <row r="2241" spans="1:9" x14ac:dyDescent="0.3">
      <c r="A2241" s="88"/>
      <c r="B2241" s="88"/>
      <c r="C2241" s="88"/>
      <c r="D2241" s="88"/>
      <c r="E2241" s="88"/>
      <c r="F2241" s="88"/>
      <c r="G2241" s="88"/>
      <c r="H2241" s="88"/>
      <c r="I2241" s="89"/>
    </row>
    <row r="2242" spans="1:9" x14ac:dyDescent="0.3">
      <c r="A2242" s="88"/>
      <c r="B2242" s="88"/>
      <c r="C2242" s="88"/>
      <c r="D2242" s="88"/>
      <c r="E2242" s="88"/>
      <c r="F2242" s="88"/>
      <c r="G2242" s="88"/>
      <c r="H2242" s="88"/>
      <c r="I2242" s="89"/>
    </row>
    <row r="2243" spans="1:9" x14ac:dyDescent="0.3">
      <c r="A2243" s="88"/>
      <c r="B2243" s="88"/>
      <c r="C2243" s="88"/>
      <c r="D2243" s="88"/>
      <c r="E2243" s="88"/>
      <c r="F2243" s="88"/>
      <c r="G2243" s="88"/>
      <c r="H2243" s="88"/>
      <c r="I2243" s="89"/>
    </row>
    <row r="2244" spans="1:9" x14ac:dyDescent="0.3">
      <c r="A2244" s="88"/>
      <c r="B2244" s="88"/>
      <c r="C2244" s="88"/>
      <c r="D2244" s="88"/>
      <c r="E2244" s="88"/>
      <c r="F2244" s="88"/>
      <c r="G2244" s="88"/>
      <c r="H2244" s="88"/>
      <c r="I2244" s="89"/>
    </row>
    <row r="2245" spans="1:9" x14ac:dyDescent="0.3">
      <c r="A2245" s="88"/>
      <c r="B2245" s="88"/>
      <c r="C2245" s="88"/>
      <c r="D2245" s="88"/>
      <c r="E2245" s="88"/>
      <c r="F2245" s="88"/>
      <c r="G2245" s="88"/>
      <c r="H2245" s="88"/>
      <c r="I2245" s="89"/>
    </row>
    <row r="2246" spans="1:9" x14ac:dyDescent="0.3">
      <c r="A2246" s="88"/>
      <c r="B2246" s="88"/>
      <c r="C2246" s="88"/>
      <c r="D2246" s="88"/>
      <c r="E2246" s="88"/>
      <c r="F2246" s="88"/>
      <c r="G2246" s="88"/>
      <c r="H2246" s="88"/>
      <c r="I2246" s="89"/>
    </row>
    <row r="2247" spans="1:9" x14ac:dyDescent="0.3">
      <c r="A2247" s="88"/>
      <c r="B2247" s="88"/>
      <c r="C2247" s="88"/>
      <c r="D2247" s="88"/>
      <c r="E2247" s="88"/>
      <c r="F2247" s="88"/>
      <c r="G2247" s="88"/>
      <c r="H2247" s="88"/>
      <c r="I2247" s="89"/>
    </row>
    <row r="2248" spans="1:9" x14ac:dyDescent="0.3">
      <c r="A2248" s="88"/>
      <c r="B2248" s="88"/>
      <c r="C2248" s="88"/>
      <c r="D2248" s="88"/>
      <c r="E2248" s="88"/>
      <c r="F2248" s="88"/>
      <c r="G2248" s="88"/>
      <c r="H2248" s="88"/>
      <c r="I2248" s="89"/>
    </row>
    <row r="2249" spans="1:9" x14ac:dyDescent="0.3">
      <c r="A2249" s="88"/>
      <c r="B2249" s="88"/>
      <c r="C2249" s="88"/>
      <c r="D2249" s="88"/>
      <c r="E2249" s="88"/>
      <c r="F2249" s="88"/>
      <c r="G2249" s="88"/>
      <c r="H2249" s="88"/>
      <c r="I2249" s="89"/>
    </row>
    <row r="2250" spans="1:9" x14ac:dyDescent="0.3">
      <c r="A2250" s="88"/>
      <c r="B2250" s="88"/>
      <c r="C2250" s="88"/>
      <c r="D2250" s="88"/>
      <c r="E2250" s="88"/>
      <c r="F2250" s="88"/>
      <c r="G2250" s="88"/>
      <c r="H2250" s="88"/>
      <c r="I2250" s="89"/>
    </row>
    <row r="2251" spans="1:9" x14ac:dyDescent="0.3">
      <c r="A2251" s="88"/>
      <c r="B2251" s="88"/>
      <c r="C2251" s="88"/>
      <c r="D2251" s="88"/>
      <c r="E2251" s="88"/>
      <c r="F2251" s="88"/>
      <c r="G2251" s="88"/>
      <c r="H2251" s="88"/>
      <c r="I2251" s="89"/>
    </row>
    <row r="2252" spans="1:9" x14ac:dyDescent="0.3">
      <c r="A2252" s="88"/>
      <c r="B2252" s="88"/>
      <c r="C2252" s="88"/>
      <c r="D2252" s="88"/>
      <c r="E2252" s="88"/>
      <c r="F2252" s="88"/>
      <c r="G2252" s="88"/>
      <c r="H2252" s="88"/>
      <c r="I2252" s="89"/>
    </row>
    <row r="2253" spans="1:9" x14ac:dyDescent="0.3">
      <c r="A2253" s="88"/>
      <c r="B2253" s="88"/>
      <c r="C2253" s="88"/>
      <c r="D2253" s="88"/>
      <c r="E2253" s="88"/>
      <c r="F2253" s="88"/>
      <c r="G2253" s="88"/>
      <c r="H2253" s="88"/>
      <c r="I2253" s="89"/>
    </row>
    <row r="2254" spans="1:9" x14ac:dyDescent="0.3">
      <c r="A2254" s="88"/>
      <c r="B2254" s="88"/>
      <c r="C2254" s="88"/>
      <c r="D2254" s="88"/>
      <c r="E2254" s="88"/>
      <c r="F2254" s="88"/>
      <c r="G2254" s="88"/>
      <c r="H2254" s="88"/>
      <c r="I2254" s="89"/>
    </row>
    <row r="2255" spans="1:9" x14ac:dyDescent="0.3">
      <c r="A2255" s="88"/>
      <c r="B2255" s="88"/>
      <c r="C2255" s="88"/>
      <c r="D2255" s="88"/>
      <c r="E2255" s="88"/>
      <c r="F2255" s="88"/>
      <c r="G2255" s="88"/>
      <c r="H2255" s="88"/>
      <c r="I2255" s="89"/>
    </row>
    <row r="2256" spans="1:9" x14ac:dyDescent="0.3">
      <c r="A2256" s="88"/>
      <c r="B2256" s="88"/>
      <c r="C2256" s="88"/>
      <c r="D2256" s="88"/>
      <c r="E2256" s="88"/>
      <c r="F2256" s="88"/>
      <c r="G2256" s="88"/>
      <c r="H2256" s="88"/>
      <c r="I2256" s="89"/>
    </row>
    <row r="2257" spans="1:9" x14ac:dyDescent="0.3">
      <c r="A2257" s="88"/>
      <c r="B2257" s="88"/>
      <c r="C2257" s="88"/>
      <c r="D2257" s="88"/>
      <c r="E2257" s="88"/>
      <c r="F2257" s="88"/>
      <c r="G2257" s="88"/>
      <c r="H2257" s="88"/>
      <c r="I2257" s="89"/>
    </row>
    <row r="2258" spans="1:9" x14ac:dyDescent="0.3">
      <c r="A2258" s="88"/>
      <c r="B2258" s="88"/>
      <c r="C2258" s="88"/>
      <c r="D2258" s="88"/>
      <c r="E2258" s="88"/>
      <c r="F2258" s="88"/>
      <c r="G2258" s="88"/>
      <c r="H2258" s="88"/>
      <c r="I2258" s="89"/>
    </row>
    <row r="2259" spans="1:9" x14ac:dyDescent="0.3">
      <c r="A2259" s="88"/>
      <c r="B2259" s="88"/>
      <c r="C2259" s="88"/>
      <c r="D2259" s="88"/>
      <c r="E2259" s="88"/>
      <c r="F2259" s="88"/>
      <c r="G2259" s="88"/>
      <c r="H2259" s="88"/>
      <c r="I2259" s="89"/>
    </row>
    <row r="2260" spans="1:9" x14ac:dyDescent="0.3">
      <c r="A2260" s="88"/>
      <c r="B2260" s="88"/>
      <c r="C2260" s="88"/>
      <c r="D2260" s="88"/>
      <c r="E2260" s="88"/>
      <c r="F2260" s="88"/>
      <c r="G2260" s="88"/>
      <c r="H2260" s="88"/>
      <c r="I2260" s="89"/>
    </row>
    <row r="2261" spans="1:9" x14ac:dyDescent="0.3">
      <c r="A2261" s="88"/>
      <c r="B2261" s="88"/>
      <c r="C2261" s="88"/>
      <c r="D2261" s="88"/>
      <c r="E2261" s="88"/>
      <c r="F2261" s="88"/>
      <c r="G2261" s="88"/>
      <c r="H2261" s="88"/>
      <c r="I2261" s="89"/>
    </row>
    <row r="2262" spans="1:9" x14ac:dyDescent="0.3">
      <c r="A2262" s="88"/>
      <c r="B2262" s="88"/>
      <c r="C2262" s="88"/>
      <c r="D2262" s="88"/>
      <c r="E2262" s="88"/>
      <c r="F2262" s="88"/>
      <c r="G2262" s="88"/>
      <c r="H2262" s="88"/>
      <c r="I2262" s="89"/>
    </row>
    <row r="2263" spans="1:9" x14ac:dyDescent="0.3">
      <c r="A2263" s="88"/>
      <c r="B2263" s="88"/>
      <c r="C2263" s="88"/>
      <c r="D2263" s="88"/>
      <c r="E2263" s="88"/>
      <c r="F2263" s="88"/>
      <c r="G2263" s="88"/>
      <c r="H2263" s="88"/>
      <c r="I2263" s="89"/>
    </row>
    <row r="2264" spans="1:9" x14ac:dyDescent="0.3">
      <c r="A2264" s="88"/>
      <c r="B2264" s="88"/>
      <c r="C2264" s="88"/>
      <c r="D2264" s="88"/>
      <c r="E2264" s="88"/>
      <c r="F2264" s="88"/>
      <c r="G2264" s="88"/>
      <c r="H2264" s="88"/>
      <c r="I2264" s="89"/>
    </row>
    <row r="2265" spans="1:9" x14ac:dyDescent="0.3">
      <c r="A2265" s="88"/>
      <c r="B2265" s="88"/>
      <c r="C2265" s="88"/>
      <c r="D2265" s="88"/>
      <c r="E2265" s="88"/>
      <c r="F2265" s="88"/>
      <c r="G2265" s="88"/>
      <c r="H2265" s="88"/>
      <c r="I2265" s="89"/>
    </row>
    <row r="2266" spans="1:9" x14ac:dyDescent="0.3">
      <c r="A2266" s="88"/>
      <c r="B2266" s="88"/>
      <c r="C2266" s="88"/>
      <c r="D2266" s="88"/>
      <c r="E2266" s="88"/>
      <c r="F2266" s="88"/>
      <c r="G2266" s="88"/>
      <c r="H2266" s="88"/>
      <c r="I2266" s="89"/>
    </row>
    <row r="2267" spans="1:9" x14ac:dyDescent="0.3">
      <c r="A2267" s="88"/>
      <c r="B2267" s="88"/>
      <c r="C2267" s="88"/>
      <c r="D2267" s="88"/>
      <c r="E2267" s="88"/>
      <c r="F2267" s="88"/>
      <c r="G2267" s="88"/>
      <c r="H2267" s="88"/>
      <c r="I2267" s="89"/>
    </row>
    <row r="2268" spans="1:9" x14ac:dyDescent="0.3">
      <c r="A2268" s="88"/>
      <c r="B2268" s="88"/>
      <c r="C2268" s="88"/>
      <c r="D2268" s="88"/>
      <c r="E2268" s="88"/>
      <c r="F2268" s="88"/>
      <c r="G2268" s="88"/>
      <c r="H2268" s="88"/>
      <c r="I2268" s="89"/>
    </row>
    <row r="2269" spans="1:9" x14ac:dyDescent="0.3">
      <c r="A2269" s="88"/>
      <c r="B2269" s="88"/>
      <c r="C2269" s="88"/>
      <c r="D2269" s="88"/>
      <c r="E2269" s="88"/>
      <c r="F2269" s="88"/>
      <c r="G2269" s="88"/>
      <c r="H2269" s="88"/>
      <c r="I2269" s="89"/>
    </row>
    <row r="2270" spans="1:9" x14ac:dyDescent="0.3">
      <c r="A2270" s="88"/>
      <c r="B2270" s="88"/>
      <c r="C2270" s="88"/>
      <c r="D2270" s="88"/>
      <c r="E2270" s="88"/>
      <c r="F2270" s="88"/>
      <c r="G2270" s="88"/>
      <c r="H2270" s="88"/>
      <c r="I2270" s="89"/>
    </row>
    <row r="2271" spans="1:9" x14ac:dyDescent="0.3">
      <c r="A2271" s="88"/>
      <c r="B2271" s="88"/>
      <c r="C2271" s="88"/>
      <c r="D2271" s="88"/>
      <c r="E2271" s="88"/>
      <c r="F2271" s="88"/>
      <c r="G2271" s="88"/>
      <c r="H2271" s="88"/>
      <c r="I2271" s="89"/>
    </row>
    <row r="2272" spans="1:9" x14ac:dyDescent="0.3">
      <c r="A2272" s="88"/>
      <c r="B2272" s="88"/>
      <c r="C2272" s="88"/>
      <c r="D2272" s="88"/>
      <c r="E2272" s="88"/>
      <c r="F2272" s="88"/>
      <c r="G2272" s="88"/>
      <c r="H2272" s="88"/>
      <c r="I2272" s="89"/>
    </row>
    <row r="2273" spans="1:9" x14ac:dyDescent="0.3">
      <c r="A2273" s="88"/>
      <c r="B2273" s="88"/>
      <c r="C2273" s="88"/>
      <c r="D2273" s="88"/>
      <c r="E2273" s="88"/>
      <c r="F2273" s="88"/>
      <c r="G2273" s="88"/>
      <c r="H2273" s="88"/>
      <c r="I2273" s="89"/>
    </row>
    <row r="2274" spans="1:9" x14ac:dyDescent="0.3">
      <c r="A2274" s="88"/>
      <c r="B2274" s="88"/>
      <c r="C2274" s="88"/>
      <c r="D2274" s="88"/>
      <c r="E2274" s="88"/>
      <c r="F2274" s="88"/>
      <c r="G2274" s="88"/>
      <c r="H2274" s="88"/>
      <c r="I2274" s="89"/>
    </row>
    <row r="2275" spans="1:9" x14ac:dyDescent="0.3">
      <c r="A2275" s="88"/>
      <c r="B2275" s="88"/>
      <c r="C2275" s="88"/>
      <c r="D2275" s="88"/>
      <c r="E2275" s="88"/>
      <c r="F2275" s="88"/>
      <c r="G2275" s="88"/>
      <c r="H2275" s="88"/>
      <c r="I2275" s="89"/>
    </row>
    <row r="2276" spans="1:9" x14ac:dyDescent="0.3">
      <c r="A2276" s="88"/>
      <c r="B2276" s="88"/>
      <c r="C2276" s="88"/>
      <c r="D2276" s="88"/>
      <c r="E2276" s="88"/>
      <c r="F2276" s="88"/>
      <c r="G2276" s="88"/>
      <c r="H2276" s="88"/>
      <c r="I2276" s="89"/>
    </row>
    <row r="2277" spans="1:9" x14ac:dyDescent="0.3">
      <c r="A2277" s="88"/>
      <c r="B2277" s="88"/>
      <c r="C2277" s="88"/>
      <c r="D2277" s="88"/>
      <c r="E2277" s="88"/>
      <c r="F2277" s="88"/>
      <c r="G2277" s="88"/>
      <c r="H2277" s="88"/>
      <c r="I2277" s="89"/>
    </row>
    <row r="2278" spans="1:9" x14ac:dyDescent="0.3">
      <c r="A2278" s="88"/>
      <c r="B2278" s="88"/>
      <c r="C2278" s="88"/>
      <c r="D2278" s="88"/>
      <c r="E2278" s="88"/>
      <c r="F2278" s="88"/>
      <c r="G2278" s="88"/>
      <c r="H2278" s="88"/>
      <c r="I2278" s="89"/>
    </row>
    <row r="2279" spans="1:9" x14ac:dyDescent="0.3">
      <c r="A2279" s="88"/>
      <c r="B2279" s="88"/>
      <c r="C2279" s="88"/>
      <c r="D2279" s="88"/>
      <c r="E2279" s="88"/>
      <c r="F2279" s="88"/>
      <c r="G2279" s="88"/>
      <c r="H2279" s="88"/>
      <c r="I2279" s="89"/>
    </row>
    <row r="2280" spans="1:9" x14ac:dyDescent="0.3">
      <c r="A2280" s="88"/>
      <c r="B2280" s="88"/>
      <c r="C2280" s="88"/>
      <c r="D2280" s="88"/>
      <c r="E2280" s="88"/>
      <c r="F2280" s="88"/>
      <c r="G2280" s="88"/>
      <c r="H2280" s="88"/>
      <c r="I2280" s="89"/>
    </row>
    <row r="2281" spans="1:9" x14ac:dyDescent="0.3">
      <c r="A2281" s="88"/>
      <c r="B2281" s="88"/>
      <c r="C2281" s="88"/>
      <c r="D2281" s="88"/>
      <c r="E2281" s="88"/>
      <c r="F2281" s="88"/>
      <c r="G2281" s="88"/>
      <c r="H2281" s="88"/>
      <c r="I2281" s="89"/>
    </row>
    <row r="2282" spans="1:9" x14ac:dyDescent="0.3">
      <c r="A2282" s="88"/>
      <c r="B2282" s="88"/>
      <c r="C2282" s="88"/>
      <c r="D2282" s="88"/>
      <c r="E2282" s="88"/>
      <c r="F2282" s="88"/>
      <c r="G2282" s="88"/>
      <c r="H2282" s="88"/>
      <c r="I2282" s="89"/>
    </row>
    <row r="2283" spans="1:9" x14ac:dyDescent="0.3">
      <c r="A2283" s="88"/>
      <c r="B2283" s="88"/>
      <c r="C2283" s="88"/>
      <c r="D2283" s="88"/>
      <c r="E2283" s="88"/>
      <c r="F2283" s="88"/>
      <c r="G2283" s="88"/>
      <c r="H2283" s="88"/>
      <c r="I2283" s="89"/>
    </row>
    <row r="2284" spans="1:9" x14ac:dyDescent="0.3">
      <c r="A2284" s="88"/>
      <c r="B2284" s="88"/>
      <c r="C2284" s="88"/>
      <c r="D2284" s="88"/>
      <c r="E2284" s="88"/>
      <c r="F2284" s="88"/>
      <c r="G2284" s="88"/>
      <c r="H2284" s="88"/>
      <c r="I2284" s="89"/>
    </row>
    <row r="2285" spans="1:9" x14ac:dyDescent="0.3">
      <c r="A2285" s="88"/>
      <c r="B2285" s="88"/>
      <c r="C2285" s="88"/>
      <c r="D2285" s="88"/>
      <c r="E2285" s="88"/>
      <c r="F2285" s="88"/>
      <c r="G2285" s="88"/>
      <c r="H2285" s="88"/>
      <c r="I2285" s="89"/>
    </row>
    <row r="2286" spans="1:9" x14ac:dyDescent="0.3">
      <c r="A2286" s="88"/>
      <c r="B2286" s="88"/>
      <c r="C2286" s="88"/>
      <c r="D2286" s="88"/>
      <c r="E2286" s="88"/>
      <c r="F2286" s="88"/>
      <c r="G2286" s="88"/>
      <c r="H2286" s="88"/>
      <c r="I2286" s="89"/>
    </row>
    <row r="2287" spans="1:9" x14ac:dyDescent="0.3">
      <c r="A2287" s="88"/>
      <c r="B2287" s="88"/>
      <c r="C2287" s="88"/>
      <c r="D2287" s="88"/>
      <c r="E2287" s="88"/>
      <c r="F2287" s="88"/>
      <c r="G2287" s="88"/>
      <c r="H2287" s="88"/>
      <c r="I2287" s="89"/>
    </row>
    <row r="2288" spans="1:9" x14ac:dyDescent="0.3">
      <c r="A2288" s="88"/>
      <c r="B2288" s="88"/>
      <c r="C2288" s="88"/>
      <c r="D2288" s="88"/>
      <c r="E2288" s="88"/>
      <c r="F2288" s="88"/>
      <c r="G2288" s="88"/>
      <c r="H2288" s="88"/>
      <c r="I2288" s="89"/>
    </row>
    <row r="2289" spans="1:9" x14ac:dyDescent="0.3">
      <c r="A2289" s="88"/>
      <c r="B2289" s="88"/>
      <c r="C2289" s="88"/>
      <c r="D2289" s="88"/>
      <c r="E2289" s="88"/>
      <c r="F2289" s="88"/>
      <c r="G2289" s="88"/>
      <c r="H2289" s="88"/>
      <c r="I2289" s="89"/>
    </row>
    <row r="2290" spans="1:9" x14ac:dyDescent="0.3">
      <c r="A2290" s="88"/>
      <c r="B2290" s="88"/>
      <c r="C2290" s="88"/>
      <c r="D2290" s="88"/>
      <c r="E2290" s="88"/>
      <c r="F2290" s="88"/>
      <c r="G2290" s="88"/>
      <c r="H2290" s="88"/>
      <c r="I2290" s="89"/>
    </row>
    <row r="2291" spans="1:9" x14ac:dyDescent="0.3">
      <c r="A2291" s="88"/>
      <c r="B2291" s="88"/>
      <c r="C2291" s="88"/>
      <c r="D2291" s="88"/>
      <c r="E2291" s="88"/>
      <c r="F2291" s="88"/>
      <c r="G2291" s="88"/>
      <c r="H2291" s="88"/>
      <c r="I2291" s="89"/>
    </row>
    <row r="2292" spans="1:9" x14ac:dyDescent="0.3">
      <c r="A2292" s="88"/>
      <c r="B2292" s="88"/>
      <c r="C2292" s="88"/>
      <c r="D2292" s="88"/>
      <c r="E2292" s="88"/>
      <c r="F2292" s="88"/>
      <c r="G2292" s="88"/>
      <c r="H2292" s="88"/>
      <c r="I2292" s="89"/>
    </row>
    <row r="2293" spans="1:9" x14ac:dyDescent="0.3">
      <c r="A2293" s="88"/>
      <c r="B2293" s="88"/>
      <c r="C2293" s="88"/>
      <c r="D2293" s="88"/>
      <c r="E2293" s="88"/>
      <c r="F2293" s="88"/>
      <c r="G2293" s="88"/>
      <c r="H2293" s="88"/>
      <c r="I2293" s="89"/>
    </row>
    <row r="2294" spans="1:9" x14ac:dyDescent="0.3">
      <c r="A2294" s="88"/>
      <c r="B2294" s="88"/>
      <c r="C2294" s="88"/>
      <c r="D2294" s="88"/>
      <c r="E2294" s="88"/>
      <c r="F2294" s="88"/>
      <c r="G2294" s="88"/>
      <c r="H2294" s="88"/>
      <c r="I2294" s="89"/>
    </row>
    <row r="2295" spans="1:9" x14ac:dyDescent="0.3">
      <c r="A2295" s="88"/>
      <c r="B2295" s="88"/>
      <c r="C2295" s="88"/>
      <c r="D2295" s="88"/>
      <c r="E2295" s="88"/>
      <c r="F2295" s="88"/>
      <c r="G2295" s="88"/>
      <c r="H2295" s="88"/>
      <c r="I2295" s="89"/>
    </row>
    <row r="2296" spans="1:9" x14ac:dyDescent="0.3">
      <c r="A2296" s="88"/>
      <c r="B2296" s="88"/>
      <c r="C2296" s="88"/>
      <c r="D2296" s="88"/>
      <c r="E2296" s="88"/>
      <c r="F2296" s="88"/>
      <c r="G2296" s="88"/>
      <c r="H2296" s="88"/>
      <c r="I2296" s="89"/>
    </row>
    <row r="2297" spans="1:9" x14ac:dyDescent="0.3">
      <c r="A2297" s="88"/>
      <c r="B2297" s="88"/>
      <c r="C2297" s="88"/>
      <c r="D2297" s="88"/>
      <c r="E2297" s="88"/>
      <c r="F2297" s="88"/>
      <c r="G2297" s="88"/>
      <c r="H2297" s="88"/>
      <c r="I2297" s="89"/>
    </row>
    <row r="2298" spans="1:9" x14ac:dyDescent="0.3">
      <c r="A2298" s="88"/>
      <c r="B2298" s="88"/>
      <c r="C2298" s="88"/>
      <c r="D2298" s="88"/>
      <c r="E2298" s="88"/>
      <c r="F2298" s="88"/>
      <c r="G2298" s="88"/>
      <c r="H2298" s="88"/>
      <c r="I2298" s="89"/>
    </row>
    <row r="2299" spans="1:9" x14ac:dyDescent="0.3">
      <c r="A2299" s="88"/>
      <c r="B2299" s="88"/>
      <c r="C2299" s="88"/>
      <c r="D2299" s="88"/>
      <c r="E2299" s="88"/>
      <c r="F2299" s="88"/>
      <c r="G2299" s="88"/>
      <c r="H2299" s="88"/>
      <c r="I2299" s="89"/>
    </row>
    <row r="2300" spans="1:9" x14ac:dyDescent="0.3">
      <c r="A2300" s="88"/>
      <c r="B2300" s="88"/>
      <c r="C2300" s="88"/>
      <c r="D2300" s="88"/>
      <c r="E2300" s="88"/>
      <c r="F2300" s="88"/>
      <c r="G2300" s="88"/>
      <c r="H2300" s="88"/>
      <c r="I2300" s="89"/>
    </row>
    <row r="2301" spans="1:9" x14ac:dyDescent="0.3">
      <c r="A2301" s="88"/>
      <c r="B2301" s="88"/>
      <c r="C2301" s="88"/>
      <c r="D2301" s="88"/>
      <c r="E2301" s="88"/>
      <c r="F2301" s="88"/>
      <c r="G2301" s="88"/>
      <c r="H2301" s="88"/>
      <c r="I2301" s="89"/>
    </row>
    <row r="2302" spans="1:9" x14ac:dyDescent="0.3">
      <c r="A2302" s="88"/>
      <c r="B2302" s="88"/>
      <c r="C2302" s="88"/>
      <c r="D2302" s="88"/>
      <c r="E2302" s="88"/>
      <c r="F2302" s="88"/>
      <c r="G2302" s="88"/>
      <c r="H2302" s="88"/>
      <c r="I2302" s="89"/>
    </row>
    <row r="2303" spans="1:9" x14ac:dyDescent="0.3">
      <c r="A2303" s="88"/>
      <c r="B2303" s="88"/>
      <c r="C2303" s="88"/>
      <c r="D2303" s="88"/>
      <c r="E2303" s="88"/>
      <c r="F2303" s="88"/>
      <c r="G2303" s="88"/>
      <c r="H2303" s="88"/>
      <c r="I2303" s="89"/>
    </row>
    <row r="2304" spans="1:9" x14ac:dyDescent="0.3">
      <c r="A2304" s="88"/>
      <c r="B2304" s="88"/>
      <c r="C2304" s="88"/>
      <c r="D2304" s="88"/>
      <c r="E2304" s="88"/>
      <c r="F2304" s="88"/>
      <c r="G2304" s="88"/>
      <c r="H2304" s="88"/>
      <c r="I2304" s="89"/>
    </row>
    <row r="2305" spans="1:9" x14ac:dyDescent="0.3">
      <c r="A2305" s="88"/>
      <c r="B2305" s="88"/>
      <c r="C2305" s="88"/>
      <c r="D2305" s="88"/>
      <c r="E2305" s="88"/>
      <c r="F2305" s="88"/>
      <c r="G2305" s="88"/>
      <c r="H2305" s="88"/>
      <c r="I2305" s="89"/>
    </row>
    <row r="2306" spans="1:9" x14ac:dyDescent="0.3">
      <c r="A2306" s="88"/>
      <c r="B2306" s="88"/>
      <c r="C2306" s="88"/>
      <c r="D2306" s="88"/>
      <c r="E2306" s="88"/>
      <c r="F2306" s="88"/>
      <c r="G2306" s="88"/>
      <c r="H2306" s="88"/>
      <c r="I2306" s="89"/>
    </row>
    <row r="2307" spans="1:9" x14ac:dyDescent="0.3">
      <c r="A2307" s="88"/>
      <c r="B2307" s="88"/>
      <c r="C2307" s="88"/>
      <c r="D2307" s="88"/>
      <c r="E2307" s="88"/>
      <c r="F2307" s="88"/>
      <c r="G2307" s="88"/>
      <c r="H2307" s="88"/>
      <c r="I2307" s="89"/>
    </row>
    <row r="2308" spans="1:9" x14ac:dyDescent="0.3">
      <c r="A2308" s="88"/>
      <c r="B2308" s="88"/>
      <c r="C2308" s="88"/>
      <c r="D2308" s="88"/>
      <c r="E2308" s="88"/>
      <c r="F2308" s="88"/>
      <c r="G2308" s="88"/>
      <c r="H2308" s="88"/>
      <c r="I2308" s="89"/>
    </row>
    <row r="2309" spans="1:9" x14ac:dyDescent="0.3">
      <c r="A2309" s="88"/>
      <c r="B2309" s="88"/>
      <c r="C2309" s="88"/>
      <c r="D2309" s="88"/>
      <c r="E2309" s="88"/>
      <c r="F2309" s="88"/>
      <c r="G2309" s="88"/>
      <c r="H2309" s="88"/>
      <c r="I2309" s="89"/>
    </row>
    <row r="2310" spans="1:9" x14ac:dyDescent="0.3">
      <c r="A2310" s="88"/>
      <c r="B2310" s="88"/>
      <c r="C2310" s="88"/>
      <c r="D2310" s="88"/>
      <c r="E2310" s="88"/>
      <c r="F2310" s="88"/>
      <c r="G2310" s="88"/>
      <c r="H2310" s="88"/>
      <c r="I2310" s="89"/>
    </row>
    <row r="2311" spans="1:9" x14ac:dyDescent="0.3">
      <c r="A2311" s="88"/>
      <c r="B2311" s="88"/>
      <c r="C2311" s="88"/>
      <c r="D2311" s="88"/>
      <c r="E2311" s="88"/>
      <c r="F2311" s="88"/>
      <c r="G2311" s="88"/>
      <c r="H2311" s="88"/>
      <c r="I2311" s="89"/>
    </row>
    <row r="2312" spans="1:9" x14ac:dyDescent="0.3">
      <c r="A2312" s="88"/>
      <c r="B2312" s="88"/>
      <c r="C2312" s="88"/>
      <c r="D2312" s="88"/>
      <c r="E2312" s="88"/>
      <c r="F2312" s="88"/>
      <c r="G2312" s="88"/>
      <c r="H2312" s="88"/>
      <c r="I2312" s="89"/>
    </row>
    <row r="2313" spans="1:9" x14ac:dyDescent="0.3">
      <c r="A2313" s="88"/>
      <c r="B2313" s="88"/>
      <c r="C2313" s="88"/>
      <c r="D2313" s="88"/>
      <c r="E2313" s="88"/>
      <c r="F2313" s="88"/>
      <c r="G2313" s="88"/>
      <c r="H2313" s="88"/>
      <c r="I2313" s="89"/>
    </row>
    <row r="2314" spans="1:9" x14ac:dyDescent="0.3">
      <c r="A2314" s="88"/>
      <c r="B2314" s="88"/>
      <c r="C2314" s="88"/>
      <c r="D2314" s="88"/>
      <c r="E2314" s="88"/>
      <c r="F2314" s="88"/>
      <c r="G2314" s="88"/>
      <c r="H2314" s="88"/>
      <c r="I2314" s="89"/>
    </row>
    <row r="2315" spans="1:9" x14ac:dyDescent="0.3">
      <c r="A2315" s="88"/>
      <c r="B2315" s="88"/>
      <c r="C2315" s="88"/>
      <c r="D2315" s="88"/>
      <c r="E2315" s="88"/>
      <c r="F2315" s="88"/>
      <c r="G2315" s="88"/>
      <c r="H2315" s="88"/>
      <c r="I2315" s="89"/>
    </row>
    <row r="2316" spans="1:9" x14ac:dyDescent="0.3">
      <c r="A2316" s="88"/>
      <c r="B2316" s="88"/>
      <c r="C2316" s="88"/>
      <c r="D2316" s="88"/>
      <c r="E2316" s="88"/>
      <c r="F2316" s="88"/>
      <c r="G2316" s="88"/>
      <c r="H2316" s="88"/>
      <c r="I2316" s="89"/>
    </row>
    <row r="2317" spans="1:9" x14ac:dyDescent="0.3">
      <c r="A2317" s="88"/>
      <c r="B2317" s="88"/>
      <c r="C2317" s="88"/>
      <c r="D2317" s="88"/>
      <c r="E2317" s="88"/>
      <c r="F2317" s="88"/>
      <c r="G2317" s="88"/>
      <c r="H2317" s="88"/>
      <c r="I2317" s="89"/>
    </row>
    <row r="2318" spans="1:9" x14ac:dyDescent="0.3">
      <c r="A2318" s="88"/>
      <c r="B2318" s="88"/>
      <c r="C2318" s="88"/>
      <c r="D2318" s="88"/>
      <c r="E2318" s="88"/>
      <c r="F2318" s="88"/>
      <c r="G2318" s="88"/>
      <c r="H2318" s="88"/>
      <c r="I2318" s="89"/>
    </row>
    <row r="2319" spans="1:9" x14ac:dyDescent="0.3">
      <c r="A2319" s="88"/>
      <c r="B2319" s="88"/>
      <c r="C2319" s="88"/>
      <c r="D2319" s="88"/>
      <c r="E2319" s="88"/>
      <c r="F2319" s="88"/>
      <c r="G2319" s="88"/>
      <c r="H2319" s="88"/>
      <c r="I2319" s="89"/>
    </row>
    <row r="2320" spans="1:9" x14ac:dyDescent="0.3">
      <c r="A2320" s="88"/>
      <c r="B2320" s="88"/>
      <c r="C2320" s="88"/>
      <c r="D2320" s="88"/>
      <c r="E2320" s="88"/>
      <c r="F2320" s="88"/>
      <c r="G2320" s="88"/>
      <c r="H2320" s="88"/>
      <c r="I2320" s="89"/>
    </row>
    <row r="2321" spans="1:9" x14ac:dyDescent="0.3">
      <c r="A2321" s="88"/>
      <c r="B2321" s="88"/>
      <c r="C2321" s="88"/>
      <c r="D2321" s="88"/>
      <c r="E2321" s="88"/>
      <c r="F2321" s="88"/>
      <c r="G2321" s="88"/>
      <c r="H2321" s="88"/>
      <c r="I2321" s="89"/>
    </row>
    <row r="2322" spans="1:9" x14ac:dyDescent="0.3">
      <c r="A2322" s="88"/>
      <c r="B2322" s="88"/>
      <c r="C2322" s="88"/>
      <c r="D2322" s="88"/>
      <c r="E2322" s="88"/>
      <c r="F2322" s="88"/>
      <c r="G2322" s="88"/>
      <c r="H2322" s="88"/>
      <c r="I2322" s="89"/>
    </row>
    <row r="2323" spans="1:9" x14ac:dyDescent="0.3">
      <c r="A2323" s="88"/>
      <c r="B2323" s="88"/>
      <c r="C2323" s="88"/>
      <c r="D2323" s="88"/>
      <c r="E2323" s="88"/>
      <c r="F2323" s="88"/>
      <c r="G2323" s="88"/>
      <c r="H2323" s="88"/>
      <c r="I2323" s="89"/>
    </row>
    <row r="2324" spans="1:9" x14ac:dyDescent="0.3">
      <c r="A2324" s="88"/>
      <c r="B2324" s="88"/>
      <c r="C2324" s="88"/>
      <c r="D2324" s="88"/>
      <c r="E2324" s="88"/>
      <c r="F2324" s="88"/>
      <c r="G2324" s="88"/>
      <c r="H2324" s="88"/>
      <c r="I2324" s="89"/>
    </row>
    <row r="2325" spans="1:9" x14ac:dyDescent="0.3">
      <c r="A2325" s="88"/>
      <c r="B2325" s="88"/>
      <c r="C2325" s="88"/>
      <c r="D2325" s="88"/>
      <c r="E2325" s="88"/>
      <c r="F2325" s="88"/>
      <c r="G2325" s="88"/>
      <c r="H2325" s="88"/>
      <c r="I2325" s="89"/>
    </row>
    <row r="2326" spans="1:9" x14ac:dyDescent="0.3">
      <c r="A2326" s="88"/>
      <c r="B2326" s="88"/>
      <c r="C2326" s="88"/>
      <c r="D2326" s="88"/>
      <c r="E2326" s="88"/>
      <c r="F2326" s="88"/>
      <c r="G2326" s="88"/>
      <c r="H2326" s="88"/>
      <c r="I2326" s="89"/>
    </row>
    <row r="2327" spans="1:9" x14ac:dyDescent="0.3">
      <c r="A2327" s="88"/>
      <c r="B2327" s="88"/>
      <c r="C2327" s="88"/>
      <c r="D2327" s="88"/>
      <c r="E2327" s="88"/>
      <c r="F2327" s="88"/>
      <c r="G2327" s="88"/>
      <c r="H2327" s="88"/>
      <c r="I2327" s="89"/>
    </row>
    <row r="2328" spans="1:9" x14ac:dyDescent="0.3">
      <c r="A2328" s="88"/>
      <c r="B2328" s="88"/>
      <c r="C2328" s="88"/>
      <c r="D2328" s="88"/>
      <c r="E2328" s="88"/>
      <c r="F2328" s="88"/>
      <c r="G2328" s="88"/>
      <c r="H2328" s="88"/>
      <c r="I2328" s="89"/>
    </row>
    <row r="2329" spans="1:9" x14ac:dyDescent="0.3">
      <c r="A2329" s="88"/>
      <c r="B2329" s="88"/>
      <c r="C2329" s="88"/>
      <c r="D2329" s="88"/>
      <c r="E2329" s="88"/>
      <c r="F2329" s="88"/>
      <c r="G2329" s="88"/>
      <c r="H2329" s="88"/>
      <c r="I2329" s="89"/>
    </row>
    <row r="2330" spans="1:9" x14ac:dyDescent="0.3">
      <c r="A2330" s="88"/>
      <c r="B2330" s="88"/>
      <c r="C2330" s="88"/>
      <c r="D2330" s="88"/>
      <c r="E2330" s="88"/>
      <c r="F2330" s="88"/>
      <c r="G2330" s="88"/>
      <c r="H2330" s="88"/>
      <c r="I2330" s="89"/>
    </row>
    <row r="2331" spans="1:9" x14ac:dyDescent="0.3">
      <c r="A2331" s="88"/>
      <c r="B2331" s="88"/>
      <c r="C2331" s="88"/>
      <c r="D2331" s="88"/>
      <c r="E2331" s="88"/>
      <c r="F2331" s="88"/>
      <c r="G2331" s="88"/>
      <c r="H2331" s="88"/>
      <c r="I2331" s="89"/>
    </row>
    <row r="2332" spans="1:9" x14ac:dyDescent="0.3">
      <c r="A2332" s="88"/>
      <c r="B2332" s="88"/>
      <c r="C2332" s="88"/>
      <c r="D2332" s="88"/>
      <c r="E2332" s="88"/>
      <c r="F2332" s="88"/>
      <c r="G2332" s="88"/>
      <c r="H2332" s="88"/>
      <c r="I2332" s="89"/>
    </row>
    <row r="2333" spans="1:9" x14ac:dyDescent="0.3">
      <c r="A2333" s="88"/>
      <c r="B2333" s="88"/>
      <c r="C2333" s="88"/>
      <c r="D2333" s="88"/>
      <c r="E2333" s="88"/>
      <c r="F2333" s="88"/>
      <c r="G2333" s="88"/>
      <c r="H2333" s="88"/>
      <c r="I2333" s="89"/>
    </row>
    <row r="2334" spans="1:9" x14ac:dyDescent="0.3">
      <c r="A2334" s="88"/>
      <c r="B2334" s="88"/>
      <c r="C2334" s="88"/>
      <c r="D2334" s="88"/>
      <c r="E2334" s="88"/>
      <c r="F2334" s="88"/>
      <c r="G2334" s="88"/>
      <c r="H2334" s="88"/>
      <c r="I2334" s="89"/>
    </row>
    <row r="2335" spans="1:9" x14ac:dyDescent="0.3">
      <c r="A2335" s="88"/>
      <c r="B2335" s="88"/>
      <c r="C2335" s="88"/>
      <c r="D2335" s="88"/>
      <c r="E2335" s="88"/>
      <c r="F2335" s="88"/>
      <c r="G2335" s="88"/>
      <c r="H2335" s="88"/>
      <c r="I2335" s="89"/>
    </row>
    <row r="2336" spans="1:9" x14ac:dyDescent="0.3">
      <c r="A2336" s="88"/>
      <c r="B2336" s="88"/>
      <c r="C2336" s="88"/>
      <c r="D2336" s="88"/>
      <c r="E2336" s="88"/>
      <c r="F2336" s="88"/>
      <c r="G2336" s="88"/>
      <c r="H2336" s="88"/>
      <c r="I2336" s="89"/>
    </row>
    <row r="2337" spans="1:9" x14ac:dyDescent="0.3">
      <c r="A2337" s="88"/>
      <c r="B2337" s="88"/>
      <c r="C2337" s="88"/>
      <c r="D2337" s="88"/>
      <c r="E2337" s="88"/>
      <c r="F2337" s="88"/>
      <c r="G2337" s="88"/>
      <c r="H2337" s="88"/>
      <c r="I2337" s="89"/>
    </row>
    <row r="2338" spans="1:9" x14ac:dyDescent="0.3">
      <c r="A2338" s="88"/>
      <c r="B2338" s="88"/>
      <c r="C2338" s="88"/>
      <c r="D2338" s="88"/>
      <c r="E2338" s="88"/>
      <c r="F2338" s="88"/>
      <c r="G2338" s="88"/>
      <c r="H2338" s="88"/>
      <c r="I2338" s="89"/>
    </row>
    <row r="2339" spans="1:9" x14ac:dyDescent="0.3">
      <c r="A2339" s="88"/>
      <c r="B2339" s="88"/>
      <c r="C2339" s="88"/>
      <c r="D2339" s="88"/>
      <c r="E2339" s="88"/>
      <c r="F2339" s="88"/>
      <c r="G2339" s="88"/>
      <c r="H2339" s="88"/>
      <c r="I2339" s="89"/>
    </row>
    <row r="2340" spans="1:9" x14ac:dyDescent="0.3">
      <c r="A2340" s="88"/>
      <c r="B2340" s="88"/>
      <c r="C2340" s="88"/>
      <c r="D2340" s="88"/>
      <c r="E2340" s="88"/>
      <c r="F2340" s="88"/>
      <c r="G2340" s="88"/>
      <c r="H2340" s="88"/>
      <c r="I2340" s="89"/>
    </row>
    <row r="2341" spans="1:9" x14ac:dyDescent="0.3">
      <c r="A2341" s="88"/>
      <c r="B2341" s="88"/>
      <c r="C2341" s="88"/>
      <c r="D2341" s="88"/>
      <c r="E2341" s="88"/>
      <c r="F2341" s="88"/>
      <c r="G2341" s="88"/>
      <c r="H2341" s="88"/>
      <c r="I2341" s="89"/>
    </row>
    <row r="2342" spans="1:9" x14ac:dyDescent="0.3">
      <c r="A2342" s="88"/>
      <c r="B2342" s="88"/>
      <c r="C2342" s="88"/>
      <c r="D2342" s="88"/>
      <c r="E2342" s="88"/>
      <c r="F2342" s="88"/>
      <c r="G2342" s="88"/>
      <c r="H2342" s="88"/>
      <c r="I2342" s="89"/>
    </row>
    <row r="2343" spans="1:9" x14ac:dyDescent="0.3">
      <c r="A2343" s="88"/>
      <c r="B2343" s="88"/>
      <c r="C2343" s="88"/>
      <c r="D2343" s="88"/>
      <c r="E2343" s="88"/>
      <c r="F2343" s="88"/>
      <c r="G2343" s="88"/>
      <c r="H2343" s="88"/>
      <c r="I2343" s="89"/>
    </row>
    <row r="2344" spans="1:9" x14ac:dyDescent="0.3">
      <c r="A2344" s="88"/>
      <c r="B2344" s="88"/>
      <c r="C2344" s="88"/>
      <c r="D2344" s="88"/>
      <c r="E2344" s="88"/>
      <c r="F2344" s="88"/>
      <c r="G2344" s="88"/>
      <c r="H2344" s="88"/>
      <c r="I2344" s="89"/>
    </row>
    <row r="2345" spans="1:9" x14ac:dyDescent="0.3">
      <c r="A2345" s="88"/>
      <c r="B2345" s="88"/>
      <c r="C2345" s="88"/>
      <c r="D2345" s="88"/>
      <c r="E2345" s="88"/>
      <c r="F2345" s="88"/>
      <c r="G2345" s="88"/>
      <c r="H2345" s="88"/>
      <c r="I2345" s="89"/>
    </row>
    <row r="2346" spans="1:9" x14ac:dyDescent="0.3">
      <c r="A2346" s="88"/>
      <c r="B2346" s="88"/>
      <c r="C2346" s="88"/>
      <c r="D2346" s="88"/>
      <c r="E2346" s="88"/>
      <c r="F2346" s="88"/>
      <c r="G2346" s="88"/>
      <c r="H2346" s="88"/>
      <c r="I2346" s="89"/>
    </row>
    <row r="2347" spans="1:9" x14ac:dyDescent="0.3">
      <c r="A2347" s="88"/>
      <c r="B2347" s="88"/>
      <c r="C2347" s="88"/>
      <c r="D2347" s="88"/>
      <c r="E2347" s="88"/>
      <c r="F2347" s="88"/>
      <c r="G2347" s="88"/>
      <c r="H2347" s="88"/>
      <c r="I2347" s="89"/>
    </row>
    <row r="2348" spans="1:9" x14ac:dyDescent="0.3">
      <c r="A2348" s="88"/>
      <c r="B2348" s="88"/>
      <c r="C2348" s="88"/>
      <c r="D2348" s="88"/>
      <c r="E2348" s="88"/>
      <c r="F2348" s="88"/>
      <c r="G2348" s="88"/>
      <c r="H2348" s="88"/>
      <c r="I2348" s="89"/>
    </row>
    <row r="2349" spans="1:9" x14ac:dyDescent="0.3">
      <c r="A2349" s="88"/>
      <c r="B2349" s="88"/>
      <c r="C2349" s="88"/>
      <c r="D2349" s="88"/>
      <c r="E2349" s="88"/>
      <c r="F2349" s="88"/>
      <c r="G2349" s="88"/>
      <c r="H2349" s="88"/>
      <c r="I2349" s="89"/>
    </row>
    <row r="2350" spans="1:9" x14ac:dyDescent="0.3">
      <c r="A2350" s="88"/>
      <c r="B2350" s="88"/>
      <c r="C2350" s="88"/>
      <c r="D2350" s="88"/>
      <c r="E2350" s="88"/>
      <c r="F2350" s="88"/>
      <c r="G2350" s="88"/>
      <c r="H2350" s="88"/>
      <c r="I2350" s="89"/>
    </row>
    <row r="2351" spans="1:9" x14ac:dyDescent="0.3">
      <c r="A2351" s="88"/>
      <c r="B2351" s="88"/>
      <c r="C2351" s="88"/>
      <c r="D2351" s="88"/>
      <c r="E2351" s="88"/>
      <c r="F2351" s="88"/>
      <c r="G2351" s="88"/>
      <c r="H2351" s="88"/>
      <c r="I2351" s="89"/>
    </row>
    <row r="2352" spans="1:9" x14ac:dyDescent="0.3">
      <c r="A2352" s="88"/>
      <c r="B2352" s="88"/>
      <c r="C2352" s="88"/>
      <c r="D2352" s="88"/>
      <c r="E2352" s="88"/>
      <c r="F2352" s="88"/>
      <c r="G2352" s="88"/>
      <c r="H2352" s="88"/>
      <c r="I2352" s="89"/>
    </row>
    <row r="2353" spans="1:9" x14ac:dyDescent="0.3">
      <c r="A2353" s="88"/>
      <c r="B2353" s="88"/>
      <c r="C2353" s="88"/>
      <c r="D2353" s="88"/>
      <c r="E2353" s="88"/>
      <c r="F2353" s="88"/>
      <c r="G2353" s="88"/>
      <c r="H2353" s="88"/>
      <c r="I2353" s="89"/>
    </row>
    <row r="2354" spans="1:9" x14ac:dyDescent="0.3">
      <c r="A2354" s="88"/>
      <c r="B2354" s="88"/>
      <c r="C2354" s="88"/>
      <c r="D2354" s="88"/>
      <c r="E2354" s="88"/>
      <c r="F2354" s="88"/>
      <c r="G2354" s="88"/>
      <c r="H2354" s="88"/>
      <c r="I2354" s="89"/>
    </row>
    <row r="2355" spans="1:9" x14ac:dyDescent="0.3">
      <c r="A2355" s="88"/>
      <c r="B2355" s="88"/>
      <c r="C2355" s="88"/>
      <c r="D2355" s="88"/>
      <c r="E2355" s="88"/>
      <c r="F2355" s="88"/>
      <c r="G2355" s="88"/>
      <c r="H2355" s="88"/>
      <c r="I2355" s="89"/>
    </row>
    <row r="2356" spans="1:9" x14ac:dyDescent="0.3">
      <c r="A2356" s="88"/>
      <c r="B2356" s="88"/>
      <c r="C2356" s="88"/>
      <c r="D2356" s="88"/>
      <c r="E2356" s="88"/>
      <c r="F2356" s="88"/>
      <c r="G2356" s="88"/>
      <c r="H2356" s="88"/>
      <c r="I2356" s="89"/>
    </row>
    <row r="2357" spans="1:9" x14ac:dyDescent="0.3">
      <c r="A2357" s="88"/>
      <c r="B2357" s="88"/>
      <c r="C2357" s="88"/>
      <c r="D2357" s="88"/>
      <c r="E2357" s="88"/>
      <c r="F2357" s="88"/>
      <c r="G2357" s="88"/>
      <c r="H2357" s="88"/>
      <c r="I2357" s="89"/>
    </row>
    <row r="2358" spans="1:9" x14ac:dyDescent="0.3">
      <c r="A2358" s="88"/>
      <c r="B2358" s="88"/>
      <c r="C2358" s="88"/>
      <c r="D2358" s="88"/>
      <c r="E2358" s="88"/>
      <c r="F2358" s="88"/>
      <c r="G2358" s="88"/>
      <c r="H2358" s="88"/>
      <c r="I2358" s="89"/>
    </row>
    <row r="2359" spans="1:9" x14ac:dyDescent="0.3">
      <c r="A2359" s="88"/>
      <c r="B2359" s="88"/>
      <c r="C2359" s="88"/>
      <c r="D2359" s="88"/>
      <c r="E2359" s="88"/>
      <c r="F2359" s="88"/>
      <c r="G2359" s="88"/>
      <c r="H2359" s="88"/>
      <c r="I2359" s="89"/>
    </row>
    <row r="2360" spans="1:9" x14ac:dyDescent="0.3">
      <c r="A2360" s="88"/>
      <c r="B2360" s="88"/>
      <c r="C2360" s="88"/>
      <c r="D2360" s="88"/>
      <c r="E2360" s="88"/>
      <c r="F2360" s="88"/>
      <c r="G2360" s="88"/>
      <c r="H2360" s="88"/>
      <c r="I2360" s="89"/>
    </row>
    <row r="2361" spans="1:9" x14ac:dyDescent="0.3">
      <c r="A2361" s="88"/>
      <c r="B2361" s="88"/>
      <c r="C2361" s="88"/>
      <c r="D2361" s="88"/>
      <c r="E2361" s="88"/>
      <c r="F2361" s="88"/>
      <c r="G2361" s="88"/>
      <c r="H2361" s="88"/>
      <c r="I2361" s="89"/>
    </row>
    <row r="2362" spans="1:9" x14ac:dyDescent="0.3">
      <c r="A2362" s="88"/>
      <c r="B2362" s="88"/>
      <c r="C2362" s="88"/>
      <c r="D2362" s="88"/>
      <c r="E2362" s="88"/>
      <c r="F2362" s="88"/>
      <c r="G2362" s="88"/>
      <c r="H2362" s="88"/>
      <c r="I2362" s="89"/>
    </row>
    <row r="2363" spans="1:9" x14ac:dyDescent="0.3">
      <c r="A2363" s="88"/>
      <c r="B2363" s="88"/>
      <c r="C2363" s="88"/>
      <c r="D2363" s="88"/>
      <c r="E2363" s="88"/>
      <c r="F2363" s="88"/>
      <c r="G2363" s="88"/>
      <c r="H2363" s="88"/>
      <c r="I2363" s="89"/>
    </row>
    <row r="2364" spans="1:9" x14ac:dyDescent="0.3">
      <c r="A2364" s="88"/>
      <c r="B2364" s="88"/>
      <c r="C2364" s="88"/>
      <c r="D2364" s="88"/>
      <c r="E2364" s="88"/>
      <c r="F2364" s="88"/>
      <c r="G2364" s="88"/>
      <c r="H2364" s="88"/>
      <c r="I2364" s="89"/>
    </row>
    <row r="2365" spans="1:9" x14ac:dyDescent="0.3">
      <c r="A2365" s="88"/>
      <c r="B2365" s="88"/>
      <c r="C2365" s="88"/>
      <c r="D2365" s="88"/>
      <c r="E2365" s="88"/>
      <c r="F2365" s="88"/>
      <c r="G2365" s="88"/>
      <c r="H2365" s="88"/>
      <c r="I2365" s="89"/>
    </row>
    <row r="2366" spans="1:9" x14ac:dyDescent="0.3">
      <c r="A2366" s="88"/>
      <c r="B2366" s="88"/>
      <c r="C2366" s="88"/>
      <c r="D2366" s="88"/>
      <c r="E2366" s="88"/>
      <c r="F2366" s="88"/>
      <c r="G2366" s="88"/>
      <c r="H2366" s="88"/>
      <c r="I2366" s="89"/>
    </row>
    <row r="2367" spans="1:9" x14ac:dyDescent="0.3">
      <c r="A2367" s="88"/>
      <c r="B2367" s="88"/>
      <c r="C2367" s="88"/>
      <c r="D2367" s="88"/>
      <c r="E2367" s="88"/>
      <c r="F2367" s="88"/>
      <c r="G2367" s="88"/>
      <c r="H2367" s="88"/>
      <c r="I2367" s="89"/>
    </row>
    <row r="2368" spans="1:9" x14ac:dyDescent="0.3">
      <c r="A2368" s="88"/>
      <c r="B2368" s="88"/>
      <c r="C2368" s="88"/>
      <c r="D2368" s="88"/>
      <c r="E2368" s="88"/>
      <c r="F2368" s="88"/>
      <c r="G2368" s="88"/>
      <c r="H2368" s="88"/>
      <c r="I2368" s="89"/>
    </row>
    <row r="2369" spans="1:9" x14ac:dyDescent="0.3">
      <c r="A2369" s="88"/>
      <c r="B2369" s="88"/>
      <c r="C2369" s="88"/>
      <c r="D2369" s="88"/>
      <c r="E2369" s="88"/>
      <c r="F2369" s="88"/>
      <c r="G2369" s="88"/>
      <c r="H2369" s="88"/>
      <c r="I2369" s="89"/>
    </row>
    <row r="2370" spans="1:9" x14ac:dyDescent="0.3">
      <c r="A2370" s="88"/>
      <c r="B2370" s="88"/>
      <c r="C2370" s="88"/>
      <c r="D2370" s="88"/>
      <c r="E2370" s="88"/>
      <c r="F2370" s="88"/>
      <c r="G2370" s="88"/>
      <c r="H2370" s="88"/>
      <c r="I2370" s="89"/>
    </row>
    <row r="2371" spans="1:9" x14ac:dyDescent="0.3">
      <c r="A2371" s="88"/>
      <c r="B2371" s="88"/>
      <c r="C2371" s="88"/>
      <c r="D2371" s="88"/>
      <c r="E2371" s="88"/>
      <c r="F2371" s="88"/>
      <c r="G2371" s="88"/>
      <c r="H2371" s="88"/>
      <c r="I2371" s="89"/>
    </row>
    <row r="2372" spans="1:9" x14ac:dyDescent="0.3">
      <c r="A2372" s="88"/>
      <c r="B2372" s="88"/>
      <c r="C2372" s="88"/>
      <c r="D2372" s="88"/>
      <c r="E2372" s="88"/>
      <c r="F2372" s="88"/>
      <c r="G2372" s="88"/>
      <c r="H2372" s="88"/>
      <c r="I2372" s="89"/>
    </row>
    <row r="2373" spans="1:9" x14ac:dyDescent="0.3">
      <c r="A2373" s="88"/>
      <c r="B2373" s="88"/>
      <c r="C2373" s="88"/>
      <c r="D2373" s="88"/>
      <c r="E2373" s="88"/>
      <c r="F2373" s="88"/>
      <c r="G2373" s="88"/>
      <c r="H2373" s="88"/>
      <c r="I2373" s="89"/>
    </row>
    <row r="2374" spans="1:9" x14ac:dyDescent="0.3">
      <c r="A2374" s="88"/>
      <c r="B2374" s="88"/>
      <c r="C2374" s="88"/>
      <c r="D2374" s="88"/>
      <c r="E2374" s="88"/>
      <c r="F2374" s="88"/>
      <c r="G2374" s="88"/>
      <c r="H2374" s="88"/>
      <c r="I2374" s="89"/>
    </row>
    <row r="2375" spans="1:9" x14ac:dyDescent="0.3">
      <c r="A2375" s="88"/>
      <c r="B2375" s="88"/>
      <c r="C2375" s="88"/>
      <c r="D2375" s="88"/>
      <c r="E2375" s="88"/>
      <c r="F2375" s="88"/>
      <c r="G2375" s="88"/>
      <c r="H2375" s="88"/>
      <c r="I2375" s="89"/>
    </row>
    <row r="2376" spans="1:9" x14ac:dyDescent="0.3">
      <c r="A2376" s="88"/>
      <c r="B2376" s="88"/>
      <c r="C2376" s="88"/>
      <c r="D2376" s="88"/>
      <c r="E2376" s="88"/>
      <c r="F2376" s="88"/>
      <c r="G2376" s="88"/>
      <c r="H2376" s="88"/>
      <c r="I2376" s="89"/>
    </row>
    <row r="2377" spans="1:9" x14ac:dyDescent="0.3">
      <c r="A2377" s="88"/>
      <c r="B2377" s="88"/>
      <c r="C2377" s="88"/>
      <c r="D2377" s="88"/>
      <c r="E2377" s="88"/>
      <c r="F2377" s="88"/>
      <c r="G2377" s="88"/>
      <c r="H2377" s="88"/>
      <c r="I2377" s="89"/>
    </row>
    <row r="2378" spans="1:9" x14ac:dyDescent="0.3">
      <c r="A2378" s="88"/>
      <c r="B2378" s="88"/>
      <c r="C2378" s="88"/>
      <c r="D2378" s="88"/>
      <c r="E2378" s="88"/>
      <c r="F2378" s="88"/>
      <c r="G2378" s="88"/>
      <c r="H2378" s="88"/>
      <c r="I2378" s="89"/>
    </row>
    <row r="2379" spans="1:9" x14ac:dyDescent="0.3">
      <c r="A2379" s="88"/>
      <c r="B2379" s="88"/>
      <c r="C2379" s="88"/>
      <c r="D2379" s="88"/>
      <c r="E2379" s="88"/>
      <c r="F2379" s="88"/>
      <c r="G2379" s="88"/>
      <c r="H2379" s="88"/>
      <c r="I2379" s="89"/>
    </row>
    <row r="2380" spans="1:9" x14ac:dyDescent="0.3">
      <c r="A2380" s="88"/>
      <c r="B2380" s="88"/>
      <c r="C2380" s="88"/>
      <c r="D2380" s="88"/>
      <c r="E2380" s="88"/>
      <c r="F2380" s="88"/>
      <c r="G2380" s="88"/>
      <c r="H2380" s="88"/>
      <c r="I2380" s="89"/>
    </row>
    <row r="2381" spans="1:9" x14ac:dyDescent="0.3">
      <c r="A2381" s="88"/>
      <c r="B2381" s="88"/>
      <c r="C2381" s="88"/>
      <c r="D2381" s="88"/>
      <c r="E2381" s="88"/>
      <c r="F2381" s="88"/>
      <c r="G2381" s="88"/>
      <c r="H2381" s="88"/>
      <c r="I2381" s="89"/>
    </row>
    <row r="2382" spans="1:9" x14ac:dyDescent="0.3">
      <c r="A2382" s="88"/>
      <c r="B2382" s="88"/>
      <c r="C2382" s="88"/>
      <c r="D2382" s="88"/>
      <c r="E2382" s="88"/>
      <c r="F2382" s="88"/>
      <c r="G2382" s="88"/>
      <c r="H2382" s="88"/>
      <c r="I2382" s="89"/>
    </row>
    <row r="2383" spans="1:9" x14ac:dyDescent="0.3">
      <c r="A2383" s="88"/>
      <c r="B2383" s="88"/>
      <c r="C2383" s="88"/>
      <c r="D2383" s="88"/>
      <c r="E2383" s="88"/>
      <c r="F2383" s="88"/>
      <c r="G2383" s="88"/>
      <c r="H2383" s="88"/>
      <c r="I2383" s="89"/>
    </row>
    <row r="2384" spans="1:9" x14ac:dyDescent="0.3">
      <c r="A2384" s="88"/>
      <c r="B2384" s="88"/>
      <c r="C2384" s="88"/>
      <c r="D2384" s="88"/>
      <c r="E2384" s="88"/>
      <c r="F2384" s="88"/>
      <c r="G2384" s="88"/>
      <c r="H2384" s="88"/>
      <c r="I2384" s="89"/>
    </row>
    <row r="2385" spans="1:9" x14ac:dyDescent="0.3">
      <c r="A2385" s="88"/>
      <c r="B2385" s="88"/>
      <c r="C2385" s="88"/>
      <c r="D2385" s="88"/>
      <c r="E2385" s="88"/>
      <c r="F2385" s="88"/>
      <c r="G2385" s="88"/>
      <c r="H2385" s="88"/>
      <c r="I2385" s="89"/>
    </row>
    <row r="2386" spans="1:9" x14ac:dyDescent="0.3">
      <c r="A2386" s="88"/>
      <c r="B2386" s="88"/>
      <c r="C2386" s="88"/>
      <c r="D2386" s="88"/>
      <c r="E2386" s="88"/>
      <c r="F2386" s="88"/>
      <c r="G2386" s="88"/>
      <c r="H2386" s="88"/>
      <c r="I2386" s="89"/>
    </row>
    <row r="2387" spans="1:9" x14ac:dyDescent="0.3">
      <c r="A2387" s="88"/>
      <c r="B2387" s="88"/>
      <c r="C2387" s="88"/>
      <c r="D2387" s="88"/>
      <c r="E2387" s="88"/>
      <c r="F2387" s="88"/>
      <c r="G2387" s="88"/>
      <c r="H2387" s="88"/>
      <c r="I2387" s="89"/>
    </row>
    <row r="2388" spans="1:9" x14ac:dyDescent="0.3">
      <c r="A2388" s="88"/>
      <c r="B2388" s="88"/>
      <c r="C2388" s="88"/>
      <c r="D2388" s="88"/>
      <c r="E2388" s="88"/>
      <c r="F2388" s="88"/>
      <c r="G2388" s="88"/>
      <c r="H2388" s="88"/>
      <c r="I2388" s="89"/>
    </row>
    <row r="2389" spans="1:9" x14ac:dyDescent="0.3">
      <c r="A2389" s="88"/>
      <c r="B2389" s="88"/>
      <c r="C2389" s="88"/>
      <c r="D2389" s="88"/>
      <c r="E2389" s="88"/>
      <c r="F2389" s="88"/>
      <c r="G2389" s="88"/>
      <c r="H2389" s="88"/>
      <c r="I2389" s="89"/>
    </row>
    <row r="2390" spans="1:9" x14ac:dyDescent="0.3">
      <c r="A2390" s="88"/>
      <c r="B2390" s="88"/>
      <c r="C2390" s="88"/>
      <c r="D2390" s="88"/>
      <c r="E2390" s="88"/>
      <c r="F2390" s="88"/>
      <c r="G2390" s="88"/>
      <c r="H2390" s="88"/>
      <c r="I2390" s="89"/>
    </row>
    <row r="2391" spans="1:9" x14ac:dyDescent="0.3">
      <c r="A2391" s="88"/>
      <c r="B2391" s="88"/>
      <c r="C2391" s="88"/>
      <c r="D2391" s="88"/>
      <c r="E2391" s="88"/>
      <c r="F2391" s="88"/>
      <c r="G2391" s="88"/>
      <c r="H2391" s="88"/>
      <c r="I2391" s="89"/>
    </row>
    <row r="2392" spans="1:9" x14ac:dyDescent="0.3">
      <c r="A2392" s="88"/>
      <c r="B2392" s="88"/>
      <c r="C2392" s="88"/>
      <c r="D2392" s="88"/>
      <c r="E2392" s="88"/>
      <c r="F2392" s="88"/>
      <c r="G2392" s="88"/>
      <c r="H2392" s="88"/>
      <c r="I2392" s="89"/>
    </row>
    <row r="2393" spans="1:9" x14ac:dyDescent="0.3">
      <c r="A2393" s="88"/>
      <c r="B2393" s="88"/>
      <c r="C2393" s="88"/>
      <c r="D2393" s="88"/>
      <c r="E2393" s="88"/>
      <c r="F2393" s="88"/>
      <c r="G2393" s="88"/>
      <c r="H2393" s="88"/>
      <c r="I2393" s="89"/>
    </row>
    <row r="2394" spans="1:9" x14ac:dyDescent="0.3">
      <c r="A2394" s="88"/>
      <c r="B2394" s="88"/>
      <c r="C2394" s="88"/>
      <c r="D2394" s="88"/>
      <c r="E2394" s="88"/>
      <c r="F2394" s="88"/>
      <c r="G2394" s="88"/>
      <c r="H2394" s="88"/>
      <c r="I2394" s="89"/>
    </row>
    <row r="2395" spans="1:9" x14ac:dyDescent="0.3">
      <c r="A2395" s="88"/>
      <c r="B2395" s="88"/>
      <c r="C2395" s="88"/>
      <c r="D2395" s="88"/>
      <c r="E2395" s="88"/>
      <c r="F2395" s="88"/>
      <c r="G2395" s="88"/>
      <c r="H2395" s="88"/>
      <c r="I2395" s="89"/>
    </row>
    <row r="2396" spans="1:9" x14ac:dyDescent="0.3">
      <c r="A2396" s="88"/>
      <c r="B2396" s="88"/>
      <c r="C2396" s="88"/>
      <c r="D2396" s="88"/>
      <c r="E2396" s="88"/>
      <c r="F2396" s="88"/>
      <c r="G2396" s="88"/>
      <c r="H2396" s="88"/>
      <c r="I2396" s="89"/>
    </row>
    <row r="2397" spans="1:9" x14ac:dyDescent="0.3">
      <c r="A2397" s="88"/>
      <c r="B2397" s="88"/>
      <c r="C2397" s="88"/>
      <c r="D2397" s="88"/>
      <c r="E2397" s="88"/>
      <c r="F2397" s="88"/>
      <c r="G2397" s="88"/>
      <c r="H2397" s="88"/>
      <c r="I2397" s="89"/>
    </row>
    <row r="2398" spans="1:9" x14ac:dyDescent="0.3">
      <c r="A2398" s="88"/>
      <c r="B2398" s="88"/>
      <c r="C2398" s="88"/>
      <c r="D2398" s="88"/>
      <c r="E2398" s="88"/>
      <c r="F2398" s="88"/>
      <c r="G2398" s="88"/>
      <c r="H2398" s="88"/>
      <c r="I2398" s="89"/>
    </row>
    <row r="2399" spans="1:9" x14ac:dyDescent="0.3">
      <c r="A2399" s="88"/>
      <c r="B2399" s="88"/>
      <c r="C2399" s="88"/>
      <c r="D2399" s="88"/>
      <c r="E2399" s="88"/>
      <c r="F2399" s="88"/>
      <c r="G2399" s="88"/>
      <c r="H2399" s="88"/>
      <c r="I2399" s="89"/>
    </row>
    <row r="2400" spans="1:9" x14ac:dyDescent="0.3">
      <c r="A2400" s="88"/>
      <c r="B2400" s="88"/>
      <c r="C2400" s="88"/>
      <c r="D2400" s="88"/>
      <c r="E2400" s="88"/>
      <c r="F2400" s="88"/>
      <c r="G2400" s="88"/>
      <c r="H2400" s="88"/>
      <c r="I2400" s="89"/>
    </row>
    <row r="2401" spans="1:9" x14ac:dyDescent="0.3">
      <c r="A2401" s="88"/>
      <c r="B2401" s="88"/>
      <c r="C2401" s="88"/>
      <c r="D2401" s="88"/>
      <c r="E2401" s="88"/>
      <c r="F2401" s="88"/>
      <c r="G2401" s="88"/>
      <c r="H2401" s="88"/>
      <c r="I2401" s="89"/>
    </row>
    <row r="2402" spans="1:9" x14ac:dyDescent="0.3">
      <c r="A2402" s="88"/>
      <c r="B2402" s="88"/>
      <c r="C2402" s="88"/>
      <c r="D2402" s="88"/>
      <c r="E2402" s="88"/>
      <c r="F2402" s="88"/>
      <c r="G2402" s="88"/>
      <c r="H2402" s="88"/>
      <c r="I2402" s="89"/>
    </row>
    <row r="2403" spans="1:9" x14ac:dyDescent="0.3">
      <c r="A2403" s="88"/>
      <c r="B2403" s="88"/>
      <c r="C2403" s="88"/>
      <c r="D2403" s="88"/>
      <c r="E2403" s="88"/>
      <c r="F2403" s="88"/>
      <c r="G2403" s="88"/>
      <c r="H2403" s="88"/>
      <c r="I2403" s="89"/>
    </row>
    <row r="2404" spans="1:9" x14ac:dyDescent="0.3">
      <c r="A2404" s="88"/>
      <c r="B2404" s="88"/>
      <c r="C2404" s="88"/>
      <c r="D2404" s="88"/>
      <c r="E2404" s="88"/>
      <c r="F2404" s="88"/>
      <c r="G2404" s="88"/>
      <c r="H2404" s="88"/>
      <c r="I2404" s="89"/>
    </row>
    <row r="2405" spans="1:9" x14ac:dyDescent="0.3">
      <c r="A2405" s="88"/>
      <c r="B2405" s="88"/>
      <c r="C2405" s="88"/>
      <c r="D2405" s="88"/>
      <c r="E2405" s="88"/>
      <c r="F2405" s="88"/>
      <c r="G2405" s="88"/>
      <c r="H2405" s="88"/>
      <c r="I2405" s="89"/>
    </row>
    <row r="2406" spans="1:9" x14ac:dyDescent="0.3">
      <c r="A2406" s="88"/>
      <c r="B2406" s="88"/>
      <c r="C2406" s="88"/>
      <c r="D2406" s="88"/>
      <c r="E2406" s="88"/>
      <c r="F2406" s="88"/>
      <c r="G2406" s="88"/>
      <c r="H2406" s="88"/>
      <c r="I2406" s="89"/>
    </row>
    <row r="2407" spans="1:9" x14ac:dyDescent="0.3">
      <c r="A2407" s="88"/>
      <c r="B2407" s="88"/>
      <c r="C2407" s="88"/>
      <c r="D2407" s="88"/>
      <c r="E2407" s="88"/>
      <c r="F2407" s="88"/>
      <c r="G2407" s="88"/>
      <c r="H2407" s="88"/>
      <c r="I2407" s="89"/>
    </row>
    <row r="2408" spans="1:9" x14ac:dyDescent="0.3">
      <c r="A2408" s="88"/>
      <c r="B2408" s="88"/>
      <c r="C2408" s="88"/>
      <c r="D2408" s="88"/>
      <c r="E2408" s="88"/>
      <c r="F2408" s="88"/>
      <c r="G2408" s="88"/>
      <c r="H2408" s="88"/>
      <c r="I2408" s="89"/>
    </row>
    <row r="2409" spans="1:9" x14ac:dyDescent="0.3">
      <c r="A2409" s="88"/>
      <c r="B2409" s="88"/>
      <c r="C2409" s="88"/>
      <c r="D2409" s="88"/>
      <c r="E2409" s="88"/>
      <c r="F2409" s="88"/>
      <c r="G2409" s="88"/>
      <c r="H2409" s="88"/>
      <c r="I2409" s="89"/>
    </row>
    <row r="2410" spans="1:9" x14ac:dyDescent="0.3">
      <c r="A2410" s="88"/>
      <c r="B2410" s="88"/>
      <c r="C2410" s="88"/>
      <c r="D2410" s="88"/>
      <c r="E2410" s="88"/>
      <c r="F2410" s="88"/>
      <c r="G2410" s="88"/>
      <c r="H2410" s="88"/>
      <c r="I2410" s="89"/>
    </row>
    <row r="2411" spans="1:9" x14ac:dyDescent="0.3">
      <c r="A2411" s="88"/>
      <c r="B2411" s="88"/>
      <c r="C2411" s="88"/>
      <c r="D2411" s="88"/>
      <c r="E2411" s="88"/>
      <c r="F2411" s="88"/>
      <c r="G2411" s="88"/>
      <c r="H2411" s="88"/>
      <c r="I2411" s="89"/>
    </row>
    <row r="2412" spans="1:9" x14ac:dyDescent="0.3">
      <c r="A2412" s="88"/>
      <c r="B2412" s="88"/>
      <c r="C2412" s="88"/>
      <c r="D2412" s="88"/>
      <c r="E2412" s="88"/>
      <c r="F2412" s="88"/>
      <c r="G2412" s="88"/>
      <c r="H2412" s="88"/>
      <c r="I2412" s="89"/>
    </row>
    <row r="2413" spans="1:9" x14ac:dyDescent="0.3">
      <c r="A2413" s="88"/>
      <c r="B2413" s="88"/>
      <c r="C2413" s="88"/>
      <c r="D2413" s="88"/>
      <c r="E2413" s="88"/>
      <c r="F2413" s="88"/>
      <c r="G2413" s="88"/>
      <c r="H2413" s="88"/>
      <c r="I2413" s="89"/>
    </row>
    <row r="2414" spans="1:9" x14ac:dyDescent="0.3">
      <c r="A2414" s="88"/>
      <c r="B2414" s="88"/>
      <c r="C2414" s="88"/>
      <c r="D2414" s="88"/>
      <c r="E2414" s="88"/>
      <c r="F2414" s="88"/>
      <c r="G2414" s="88"/>
      <c r="H2414" s="88"/>
      <c r="I2414" s="89"/>
    </row>
    <row r="2415" spans="1:9" x14ac:dyDescent="0.3">
      <c r="A2415" s="88"/>
      <c r="B2415" s="88"/>
      <c r="C2415" s="88"/>
      <c r="D2415" s="88"/>
      <c r="E2415" s="88"/>
      <c r="F2415" s="88"/>
      <c r="G2415" s="88"/>
      <c r="H2415" s="88"/>
      <c r="I2415" s="89"/>
    </row>
    <row r="2416" spans="1:9" x14ac:dyDescent="0.3">
      <c r="A2416" s="88"/>
      <c r="B2416" s="88"/>
      <c r="C2416" s="88"/>
      <c r="D2416" s="88"/>
      <c r="E2416" s="88"/>
      <c r="F2416" s="88"/>
      <c r="G2416" s="88"/>
      <c r="H2416" s="88"/>
      <c r="I2416" s="89"/>
    </row>
    <row r="2417" spans="1:9" x14ac:dyDescent="0.3">
      <c r="A2417" s="88"/>
      <c r="B2417" s="88"/>
      <c r="C2417" s="88"/>
      <c r="D2417" s="88"/>
      <c r="E2417" s="88"/>
      <c r="F2417" s="88"/>
      <c r="G2417" s="88"/>
      <c r="H2417" s="88"/>
      <c r="I2417" s="89"/>
    </row>
    <row r="2418" spans="1:9" x14ac:dyDescent="0.3">
      <c r="A2418" s="88"/>
      <c r="B2418" s="88"/>
      <c r="C2418" s="88"/>
      <c r="D2418" s="88"/>
      <c r="E2418" s="88"/>
      <c r="F2418" s="88"/>
      <c r="G2418" s="88"/>
      <c r="H2418" s="88"/>
      <c r="I2418" s="89"/>
    </row>
    <row r="2419" spans="1:9" x14ac:dyDescent="0.3">
      <c r="A2419" s="88"/>
      <c r="B2419" s="88"/>
      <c r="C2419" s="88"/>
      <c r="D2419" s="88"/>
      <c r="E2419" s="88"/>
      <c r="F2419" s="88"/>
      <c r="G2419" s="88"/>
      <c r="H2419" s="88"/>
      <c r="I2419" s="89"/>
    </row>
    <row r="2420" spans="1:9" x14ac:dyDescent="0.3">
      <c r="A2420" s="88"/>
      <c r="B2420" s="88"/>
      <c r="C2420" s="88"/>
      <c r="D2420" s="88"/>
      <c r="E2420" s="88"/>
      <c r="F2420" s="88"/>
      <c r="G2420" s="88"/>
      <c r="H2420" s="88"/>
      <c r="I2420" s="89"/>
    </row>
    <row r="2421" spans="1:9" x14ac:dyDescent="0.3">
      <c r="A2421" s="88"/>
      <c r="B2421" s="88"/>
      <c r="C2421" s="88"/>
      <c r="D2421" s="88"/>
      <c r="E2421" s="88"/>
      <c r="F2421" s="88"/>
      <c r="G2421" s="88"/>
      <c r="H2421" s="88"/>
      <c r="I2421" s="89"/>
    </row>
    <row r="2422" spans="1:9" x14ac:dyDescent="0.3">
      <c r="A2422" s="88"/>
      <c r="B2422" s="88"/>
      <c r="C2422" s="88"/>
      <c r="D2422" s="88"/>
      <c r="E2422" s="88"/>
      <c r="F2422" s="88"/>
      <c r="G2422" s="88"/>
      <c r="H2422" s="88"/>
      <c r="I2422" s="89"/>
    </row>
    <row r="2423" spans="1:9" x14ac:dyDescent="0.3">
      <c r="A2423" s="88"/>
      <c r="B2423" s="88"/>
      <c r="C2423" s="88"/>
      <c r="D2423" s="88"/>
      <c r="E2423" s="88"/>
      <c r="F2423" s="88"/>
      <c r="G2423" s="88"/>
      <c r="H2423" s="88"/>
      <c r="I2423" s="89"/>
    </row>
    <row r="2424" spans="1:9" x14ac:dyDescent="0.3">
      <c r="A2424" s="88"/>
      <c r="B2424" s="88"/>
      <c r="C2424" s="88"/>
      <c r="D2424" s="88"/>
      <c r="E2424" s="88"/>
      <c r="F2424" s="88"/>
      <c r="G2424" s="88"/>
      <c r="H2424" s="88"/>
      <c r="I2424" s="89"/>
    </row>
    <row r="2425" spans="1:9" x14ac:dyDescent="0.3">
      <c r="A2425" s="88"/>
      <c r="B2425" s="88"/>
      <c r="C2425" s="88"/>
      <c r="D2425" s="88"/>
      <c r="E2425" s="88"/>
      <c r="F2425" s="88"/>
      <c r="G2425" s="88"/>
      <c r="H2425" s="88"/>
      <c r="I2425" s="89"/>
    </row>
    <row r="2426" spans="1:9" x14ac:dyDescent="0.3">
      <c r="A2426" s="88"/>
      <c r="B2426" s="88"/>
      <c r="C2426" s="88"/>
      <c r="D2426" s="88"/>
      <c r="E2426" s="88"/>
      <c r="F2426" s="88"/>
      <c r="G2426" s="88"/>
      <c r="H2426" s="88"/>
      <c r="I2426" s="89"/>
    </row>
    <row r="2427" spans="1:9" x14ac:dyDescent="0.3">
      <c r="A2427" s="88"/>
      <c r="B2427" s="88"/>
      <c r="C2427" s="88"/>
      <c r="D2427" s="88"/>
      <c r="E2427" s="88"/>
      <c r="F2427" s="88"/>
      <c r="G2427" s="88"/>
      <c r="H2427" s="88"/>
      <c r="I2427" s="89"/>
    </row>
    <row r="2428" spans="1:9" x14ac:dyDescent="0.3">
      <c r="A2428" s="88"/>
      <c r="B2428" s="88"/>
      <c r="C2428" s="88"/>
      <c r="D2428" s="88"/>
      <c r="E2428" s="88"/>
      <c r="F2428" s="88"/>
      <c r="G2428" s="88"/>
      <c r="H2428" s="88"/>
      <c r="I2428" s="89"/>
    </row>
    <row r="2429" spans="1:9" x14ac:dyDescent="0.3">
      <c r="A2429" s="88"/>
      <c r="B2429" s="88"/>
      <c r="C2429" s="88"/>
      <c r="D2429" s="88"/>
      <c r="E2429" s="88"/>
      <c r="F2429" s="88"/>
      <c r="G2429" s="88"/>
      <c r="H2429" s="88"/>
      <c r="I2429" s="89"/>
    </row>
    <row r="2430" spans="1:9" x14ac:dyDescent="0.3">
      <c r="A2430" s="88"/>
      <c r="B2430" s="88"/>
      <c r="C2430" s="88"/>
      <c r="D2430" s="88"/>
      <c r="E2430" s="88"/>
      <c r="F2430" s="88"/>
      <c r="G2430" s="88"/>
      <c r="H2430" s="88"/>
      <c r="I2430" s="89"/>
    </row>
    <row r="2431" spans="1:9" x14ac:dyDescent="0.3">
      <c r="A2431" s="88"/>
      <c r="B2431" s="88"/>
      <c r="C2431" s="88"/>
      <c r="D2431" s="88"/>
      <c r="E2431" s="88"/>
      <c r="F2431" s="88"/>
      <c r="G2431" s="88"/>
      <c r="H2431" s="88"/>
      <c r="I2431" s="89"/>
    </row>
    <row r="2432" spans="1:9" x14ac:dyDescent="0.3">
      <c r="A2432" s="88"/>
      <c r="B2432" s="88"/>
      <c r="C2432" s="88"/>
      <c r="D2432" s="88"/>
      <c r="E2432" s="88"/>
      <c r="F2432" s="88"/>
      <c r="G2432" s="88"/>
      <c r="H2432" s="88"/>
      <c r="I2432" s="89"/>
    </row>
    <row r="2433" spans="1:9" x14ac:dyDescent="0.3">
      <c r="A2433" s="88"/>
      <c r="B2433" s="88"/>
      <c r="C2433" s="88"/>
      <c r="D2433" s="88"/>
      <c r="E2433" s="88"/>
      <c r="F2433" s="88"/>
      <c r="G2433" s="88"/>
      <c r="H2433" s="88"/>
      <c r="I2433" s="89"/>
    </row>
    <row r="2434" spans="1:9" x14ac:dyDescent="0.3">
      <c r="A2434" s="88"/>
      <c r="B2434" s="88"/>
      <c r="C2434" s="88"/>
      <c r="D2434" s="88"/>
      <c r="E2434" s="88"/>
      <c r="F2434" s="88"/>
      <c r="G2434" s="88"/>
      <c r="H2434" s="88"/>
      <c r="I2434" s="89"/>
    </row>
    <row r="2435" spans="1:9" x14ac:dyDescent="0.3">
      <c r="A2435" s="88"/>
      <c r="B2435" s="88"/>
      <c r="C2435" s="88"/>
      <c r="D2435" s="88"/>
      <c r="E2435" s="88"/>
      <c r="F2435" s="88"/>
      <c r="G2435" s="88"/>
      <c r="H2435" s="88"/>
      <c r="I2435" s="89"/>
    </row>
    <row r="2436" spans="1:9" x14ac:dyDescent="0.3">
      <c r="A2436" s="88"/>
      <c r="B2436" s="88"/>
      <c r="C2436" s="88"/>
      <c r="D2436" s="88"/>
      <c r="E2436" s="88"/>
      <c r="F2436" s="88"/>
      <c r="G2436" s="88"/>
      <c r="H2436" s="88"/>
      <c r="I2436" s="89"/>
    </row>
    <row r="2437" spans="1:9" x14ac:dyDescent="0.3">
      <c r="A2437" s="88"/>
      <c r="B2437" s="88"/>
      <c r="C2437" s="88"/>
      <c r="D2437" s="88"/>
      <c r="E2437" s="88"/>
      <c r="F2437" s="88"/>
      <c r="G2437" s="88"/>
      <c r="H2437" s="88"/>
      <c r="I2437" s="89"/>
    </row>
    <row r="2438" spans="1:9" x14ac:dyDescent="0.3">
      <c r="A2438" s="88"/>
      <c r="B2438" s="88"/>
      <c r="C2438" s="88"/>
      <c r="D2438" s="88"/>
      <c r="E2438" s="88"/>
      <c r="F2438" s="88"/>
      <c r="G2438" s="88"/>
      <c r="H2438" s="88"/>
      <c r="I2438" s="89"/>
    </row>
    <row r="2439" spans="1:9" x14ac:dyDescent="0.3">
      <c r="A2439" s="88"/>
      <c r="B2439" s="88"/>
      <c r="C2439" s="88"/>
      <c r="D2439" s="88"/>
      <c r="E2439" s="88"/>
      <c r="F2439" s="88"/>
      <c r="G2439" s="88"/>
      <c r="H2439" s="88"/>
      <c r="I2439" s="89"/>
    </row>
    <row r="2440" spans="1:9" x14ac:dyDescent="0.3">
      <c r="A2440" s="88"/>
      <c r="B2440" s="88"/>
      <c r="C2440" s="88"/>
      <c r="D2440" s="88"/>
      <c r="E2440" s="88"/>
      <c r="F2440" s="88"/>
      <c r="G2440" s="88"/>
      <c r="H2440" s="88"/>
      <c r="I2440" s="89"/>
    </row>
    <row r="2441" spans="1:9" x14ac:dyDescent="0.3">
      <c r="A2441" s="88"/>
      <c r="B2441" s="88"/>
      <c r="C2441" s="88"/>
      <c r="D2441" s="88"/>
      <c r="E2441" s="88"/>
      <c r="F2441" s="88"/>
      <c r="G2441" s="88"/>
      <c r="H2441" s="88"/>
      <c r="I2441" s="89"/>
    </row>
    <row r="2442" spans="1:9" x14ac:dyDescent="0.3">
      <c r="A2442" s="88"/>
      <c r="B2442" s="88"/>
      <c r="C2442" s="88"/>
      <c r="D2442" s="88"/>
      <c r="E2442" s="88"/>
      <c r="F2442" s="88"/>
      <c r="G2442" s="88"/>
      <c r="H2442" s="88"/>
      <c r="I2442" s="89"/>
    </row>
    <row r="2443" spans="1:9" x14ac:dyDescent="0.3">
      <c r="A2443" s="88"/>
      <c r="B2443" s="88"/>
      <c r="C2443" s="88"/>
      <c r="D2443" s="88"/>
      <c r="E2443" s="88"/>
      <c r="F2443" s="88"/>
      <c r="G2443" s="88"/>
      <c r="H2443" s="88"/>
      <c r="I2443" s="89"/>
    </row>
    <row r="2444" spans="1:9" x14ac:dyDescent="0.3">
      <c r="A2444" s="88"/>
      <c r="B2444" s="88"/>
      <c r="C2444" s="88"/>
      <c r="D2444" s="88"/>
      <c r="E2444" s="88"/>
      <c r="F2444" s="88"/>
      <c r="G2444" s="88"/>
      <c r="H2444" s="88"/>
      <c r="I2444" s="89"/>
    </row>
    <row r="2445" spans="1:9" x14ac:dyDescent="0.3">
      <c r="A2445" s="88"/>
      <c r="B2445" s="88"/>
      <c r="C2445" s="88"/>
      <c r="D2445" s="88"/>
      <c r="E2445" s="88"/>
      <c r="F2445" s="88"/>
      <c r="G2445" s="88"/>
      <c r="H2445" s="88"/>
      <c r="I2445" s="89"/>
    </row>
    <row r="2446" spans="1:9" x14ac:dyDescent="0.3">
      <c r="A2446" s="88"/>
      <c r="B2446" s="88"/>
      <c r="C2446" s="88"/>
      <c r="D2446" s="88"/>
      <c r="E2446" s="88"/>
      <c r="F2446" s="88"/>
      <c r="G2446" s="88"/>
      <c r="H2446" s="88"/>
      <c r="I2446" s="89"/>
    </row>
    <row r="2447" spans="1:9" x14ac:dyDescent="0.3">
      <c r="A2447" s="88"/>
      <c r="B2447" s="88"/>
      <c r="C2447" s="88"/>
      <c r="D2447" s="88"/>
      <c r="E2447" s="88"/>
      <c r="F2447" s="88"/>
      <c r="G2447" s="88"/>
      <c r="H2447" s="88"/>
      <c r="I2447" s="89"/>
    </row>
    <row r="2448" spans="1:9" x14ac:dyDescent="0.3">
      <c r="A2448" s="88"/>
      <c r="B2448" s="88"/>
      <c r="C2448" s="88"/>
      <c r="D2448" s="88"/>
      <c r="E2448" s="88"/>
      <c r="F2448" s="88"/>
      <c r="G2448" s="88"/>
      <c r="H2448" s="88"/>
      <c r="I2448" s="89"/>
    </row>
    <row r="2449" spans="1:9" x14ac:dyDescent="0.3">
      <c r="A2449" s="88"/>
      <c r="B2449" s="88"/>
      <c r="C2449" s="88"/>
      <c r="D2449" s="88"/>
      <c r="E2449" s="88"/>
      <c r="F2449" s="88"/>
      <c r="G2449" s="88"/>
      <c r="H2449" s="88"/>
      <c r="I2449" s="89"/>
    </row>
    <row r="2450" spans="1:9" x14ac:dyDescent="0.3">
      <c r="A2450" s="88"/>
      <c r="B2450" s="88"/>
      <c r="C2450" s="88"/>
      <c r="D2450" s="88"/>
      <c r="E2450" s="88"/>
      <c r="F2450" s="88"/>
      <c r="G2450" s="88"/>
      <c r="H2450" s="88"/>
      <c r="I2450" s="89"/>
    </row>
    <row r="2451" spans="1:9" x14ac:dyDescent="0.3">
      <c r="A2451" s="88"/>
      <c r="B2451" s="88"/>
      <c r="C2451" s="88"/>
      <c r="D2451" s="88"/>
      <c r="E2451" s="88"/>
      <c r="F2451" s="88"/>
      <c r="G2451" s="88"/>
      <c r="H2451" s="88"/>
      <c r="I2451" s="89"/>
    </row>
    <row r="2452" spans="1:9" x14ac:dyDescent="0.3">
      <c r="A2452" s="88"/>
      <c r="B2452" s="88"/>
      <c r="C2452" s="88"/>
      <c r="D2452" s="88"/>
      <c r="E2452" s="88"/>
      <c r="F2452" s="88"/>
      <c r="G2452" s="88"/>
      <c r="H2452" s="88"/>
      <c r="I2452" s="89"/>
    </row>
    <row r="2453" spans="1:9" x14ac:dyDescent="0.3">
      <c r="A2453" s="88"/>
      <c r="B2453" s="88"/>
      <c r="C2453" s="88"/>
      <c r="D2453" s="88"/>
      <c r="E2453" s="88"/>
      <c r="F2453" s="88"/>
      <c r="G2453" s="88"/>
      <c r="H2453" s="88"/>
      <c r="I2453" s="89"/>
    </row>
    <row r="2454" spans="1:9" x14ac:dyDescent="0.3">
      <c r="A2454" s="88"/>
      <c r="B2454" s="88"/>
      <c r="C2454" s="88"/>
      <c r="D2454" s="88"/>
      <c r="E2454" s="88"/>
      <c r="F2454" s="88"/>
      <c r="G2454" s="88"/>
      <c r="H2454" s="88"/>
      <c r="I2454" s="89"/>
    </row>
    <row r="2455" spans="1:9" x14ac:dyDescent="0.3">
      <c r="A2455" s="88"/>
      <c r="B2455" s="88"/>
      <c r="C2455" s="88"/>
      <c r="D2455" s="88"/>
      <c r="E2455" s="88"/>
      <c r="F2455" s="88"/>
      <c r="G2455" s="88"/>
      <c r="H2455" s="88"/>
      <c r="I2455" s="89"/>
    </row>
    <row r="2456" spans="1:9" x14ac:dyDescent="0.3">
      <c r="A2456" s="88"/>
      <c r="B2456" s="88"/>
      <c r="C2456" s="88"/>
      <c r="D2456" s="88"/>
      <c r="E2456" s="88"/>
      <c r="F2456" s="88"/>
      <c r="G2456" s="88"/>
      <c r="H2456" s="88"/>
      <c r="I2456" s="89"/>
    </row>
    <row r="2457" spans="1:9" x14ac:dyDescent="0.3">
      <c r="A2457" s="88"/>
      <c r="B2457" s="88"/>
      <c r="C2457" s="88"/>
      <c r="D2457" s="88"/>
      <c r="E2457" s="88"/>
      <c r="F2457" s="88"/>
      <c r="G2457" s="88"/>
      <c r="H2457" s="88"/>
      <c r="I2457" s="89"/>
    </row>
    <row r="2458" spans="1:9" x14ac:dyDescent="0.3">
      <c r="A2458" s="88"/>
      <c r="B2458" s="88"/>
      <c r="C2458" s="88"/>
      <c r="D2458" s="88"/>
      <c r="E2458" s="88"/>
      <c r="F2458" s="88"/>
      <c r="G2458" s="88"/>
      <c r="H2458" s="88"/>
      <c r="I2458" s="89"/>
    </row>
    <row r="2459" spans="1:9" x14ac:dyDescent="0.3">
      <c r="A2459" s="88"/>
      <c r="B2459" s="88"/>
      <c r="C2459" s="88"/>
      <c r="D2459" s="88"/>
      <c r="E2459" s="88"/>
      <c r="F2459" s="88"/>
      <c r="G2459" s="88"/>
      <c r="H2459" s="88"/>
      <c r="I2459" s="89"/>
    </row>
    <row r="2460" spans="1:9" x14ac:dyDescent="0.3">
      <c r="A2460" s="88"/>
      <c r="B2460" s="88"/>
      <c r="C2460" s="88"/>
      <c r="D2460" s="88"/>
      <c r="E2460" s="88"/>
      <c r="F2460" s="88"/>
      <c r="G2460" s="88"/>
      <c r="H2460" s="88"/>
      <c r="I2460" s="89"/>
    </row>
    <row r="2461" spans="1:9" x14ac:dyDescent="0.3">
      <c r="A2461" s="88"/>
      <c r="B2461" s="88"/>
      <c r="C2461" s="88"/>
      <c r="D2461" s="88"/>
      <c r="E2461" s="88"/>
      <c r="F2461" s="88"/>
      <c r="G2461" s="88"/>
      <c r="H2461" s="88"/>
      <c r="I2461" s="89"/>
    </row>
    <row r="2462" spans="1:9" x14ac:dyDescent="0.3">
      <c r="A2462" s="88"/>
      <c r="B2462" s="88"/>
      <c r="C2462" s="88"/>
      <c r="D2462" s="88"/>
      <c r="E2462" s="88"/>
      <c r="F2462" s="88"/>
      <c r="G2462" s="88"/>
      <c r="H2462" s="88"/>
      <c r="I2462" s="89"/>
    </row>
    <row r="2463" spans="1:9" x14ac:dyDescent="0.3">
      <c r="A2463" s="88"/>
      <c r="B2463" s="88"/>
      <c r="C2463" s="88"/>
      <c r="D2463" s="88"/>
      <c r="E2463" s="88"/>
      <c r="F2463" s="88"/>
      <c r="G2463" s="88"/>
      <c r="H2463" s="88"/>
      <c r="I2463" s="89"/>
    </row>
    <row r="2464" spans="1:9" x14ac:dyDescent="0.3">
      <c r="A2464" s="88"/>
      <c r="B2464" s="88"/>
      <c r="C2464" s="88"/>
      <c r="D2464" s="88"/>
      <c r="E2464" s="88"/>
      <c r="F2464" s="88"/>
      <c r="G2464" s="88"/>
      <c r="H2464" s="88"/>
      <c r="I2464" s="89"/>
    </row>
    <row r="2465" spans="1:9" x14ac:dyDescent="0.3">
      <c r="A2465" s="88"/>
      <c r="B2465" s="88"/>
      <c r="C2465" s="88"/>
      <c r="D2465" s="88"/>
      <c r="E2465" s="88"/>
      <c r="F2465" s="88"/>
      <c r="G2465" s="88"/>
      <c r="H2465" s="88"/>
      <c r="I2465" s="89"/>
    </row>
    <row r="2466" spans="1:9" x14ac:dyDescent="0.3">
      <c r="A2466" s="88"/>
      <c r="B2466" s="88"/>
      <c r="C2466" s="88"/>
      <c r="D2466" s="88"/>
      <c r="E2466" s="88"/>
      <c r="F2466" s="88"/>
      <c r="G2466" s="88"/>
      <c r="H2466" s="88"/>
      <c r="I2466" s="89"/>
    </row>
    <row r="2467" spans="1:9" x14ac:dyDescent="0.3">
      <c r="A2467" s="88"/>
      <c r="B2467" s="88"/>
      <c r="C2467" s="88"/>
      <c r="D2467" s="88"/>
      <c r="E2467" s="88"/>
      <c r="F2467" s="88"/>
      <c r="G2467" s="88"/>
      <c r="H2467" s="88"/>
      <c r="I2467" s="89"/>
    </row>
    <row r="2468" spans="1:9" x14ac:dyDescent="0.3">
      <c r="A2468" s="88"/>
      <c r="B2468" s="88"/>
      <c r="C2468" s="88"/>
      <c r="D2468" s="88"/>
      <c r="E2468" s="88"/>
      <c r="F2468" s="88"/>
      <c r="G2468" s="88"/>
      <c r="H2468" s="88"/>
      <c r="I2468" s="89"/>
    </row>
    <row r="2469" spans="1:9" x14ac:dyDescent="0.3">
      <c r="A2469" s="88"/>
      <c r="B2469" s="88"/>
      <c r="C2469" s="88"/>
      <c r="D2469" s="88"/>
      <c r="E2469" s="88"/>
      <c r="F2469" s="88"/>
      <c r="G2469" s="88"/>
      <c r="H2469" s="88"/>
      <c r="I2469" s="89"/>
    </row>
    <row r="2470" spans="1:9" x14ac:dyDescent="0.3">
      <c r="A2470" s="88"/>
      <c r="B2470" s="88"/>
      <c r="C2470" s="88"/>
      <c r="D2470" s="88"/>
      <c r="E2470" s="88"/>
      <c r="F2470" s="88"/>
      <c r="G2470" s="88"/>
      <c r="H2470" s="88"/>
      <c r="I2470" s="89"/>
    </row>
    <row r="2471" spans="1:9" x14ac:dyDescent="0.3">
      <c r="A2471" s="88"/>
      <c r="B2471" s="88"/>
      <c r="C2471" s="88"/>
      <c r="D2471" s="88"/>
      <c r="E2471" s="88"/>
      <c r="F2471" s="88"/>
      <c r="G2471" s="88"/>
      <c r="H2471" s="88"/>
      <c r="I2471" s="89"/>
    </row>
    <row r="2472" spans="1:9" x14ac:dyDescent="0.3">
      <c r="A2472" s="88"/>
      <c r="B2472" s="88"/>
      <c r="C2472" s="88"/>
      <c r="D2472" s="88"/>
      <c r="E2472" s="88"/>
      <c r="F2472" s="88"/>
      <c r="G2472" s="88"/>
      <c r="H2472" s="88"/>
      <c r="I2472" s="89"/>
    </row>
    <row r="2473" spans="1:9" x14ac:dyDescent="0.3">
      <c r="A2473" s="88"/>
      <c r="B2473" s="88"/>
      <c r="C2473" s="88"/>
      <c r="D2473" s="88"/>
      <c r="E2473" s="88"/>
      <c r="F2473" s="88"/>
      <c r="G2473" s="88"/>
      <c r="H2473" s="88"/>
      <c r="I2473" s="89"/>
    </row>
    <row r="2474" spans="1:9" x14ac:dyDescent="0.3">
      <c r="A2474" s="88"/>
      <c r="B2474" s="88"/>
      <c r="C2474" s="88"/>
      <c r="D2474" s="88"/>
      <c r="E2474" s="88"/>
      <c r="F2474" s="88"/>
      <c r="G2474" s="88"/>
      <c r="H2474" s="88"/>
      <c r="I2474" s="89"/>
    </row>
    <row r="2475" spans="1:9" x14ac:dyDescent="0.3">
      <c r="A2475" s="88"/>
      <c r="B2475" s="88"/>
      <c r="C2475" s="88"/>
      <c r="D2475" s="88"/>
      <c r="E2475" s="88"/>
      <c r="F2475" s="88"/>
      <c r="G2475" s="88"/>
      <c r="H2475" s="88"/>
      <c r="I2475" s="89"/>
    </row>
    <row r="2476" spans="1:9" x14ac:dyDescent="0.3">
      <c r="A2476" s="88"/>
      <c r="B2476" s="88"/>
      <c r="C2476" s="88"/>
      <c r="D2476" s="88"/>
      <c r="E2476" s="88"/>
      <c r="F2476" s="88"/>
      <c r="G2476" s="88"/>
      <c r="H2476" s="88"/>
      <c r="I2476" s="89"/>
    </row>
    <row r="2477" spans="1:9" x14ac:dyDescent="0.3">
      <c r="A2477" s="88"/>
      <c r="B2477" s="88"/>
      <c r="C2477" s="88"/>
      <c r="D2477" s="88"/>
      <c r="E2477" s="88"/>
      <c r="F2477" s="88"/>
      <c r="G2477" s="88"/>
      <c r="H2477" s="88"/>
      <c r="I2477" s="89"/>
    </row>
    <row r="2478" spans="1:9" x14ac:dyDescent="0.3">
      <c r="A2478" s="88"/>
      <c r="B2478" s="88"/>
      <c r="C2478" s="88"/>
      <c r="D2478" s="88"/>
      <c r="E2478" s="88"/>
      <c r="F2478" s="88"/>
      <c r="G2478" s="88"/>
      <c r="H2478" s="88"/>
      <c r="I2478" s="89"/>
    </row>
    <row r="2479" spans="1:9" x14ac:dyDescent="0.3">
      <c r="A2479" s="88"/>
      <c r="B2479" s="88"/>
      <c r="C2479" s="88"/>
      <c r="D2479" s="88"/>
      <c r="E2479" s="88"/>
      <c r="F2479" s="88"/>
      <c r="G2479" s="88"/>
      <c r="H2479" s="88"/>
      <c r="I2479" s="89"/>
    </row>
    <row r="2480" spans="1:9" x14ac:dyDescent="0.3">
      <c r="A2480" s="88"/>
      <c r="B2480" s="88"/>
      <c r="C2480" s="88"/>
      <c r="D2480" s="88"/>
      <c r="E2480" s="88"/>
      <c r="F2480" s="88"/>
      <c r="G2480" s="88"/>
      <c r="H2480" s="88"/>
      <c r="I2480" s="89"/>
    </row>
    <row r="2481" spans="1:9" x14ac:dyDescent="0.3">
      <c r="A2481" s="88"/>
      <c r="B2481" s="88"/>
      <c r="C2481" s="88"/>
      <c r="D2481" s="88"/>
      <c r="E2481" s="88"/>
      <c r="F2481" s="88"/>
      <c r="G2481" s="88"/>
      <c r="H2481" s="88"/>
      <c r="I2481" s="89"/>
    </row>
    <row r="2482" spans="1:9" x14ac:dyDescent="0.3">
      <c r="A2482" s="88"/>
      <c r="B2482" s="88"/>
      <c r="C2482" s="88"/>
      <c r="D2482" s="88"/>
      <c r="E2482" s="88"/>
      <c r="F2482" s="88"/>
      <c r="G2482" s="88"/>
      <c r="H2482" s="88"/>
      <c r="I2482" s="89"/>
    </row>
    <row r="2483" spans="1:9" x14ac:dyDescent="0.3">
      <c r="A2483" s="88"/>
      <c r="B2483" s="88"/>
      <c r="C2483" s="88"/>
      <c r="D2483" s="88"/>
      <c r="E2483" s="88"/>
      <c r="F2483" s="88"/>
      <c r="G2483" s="88"/>
      <c r="H2483" s="88"/>
      <c r="I2483" s="89"/>
    </row>
    <row r="2484" spans="1:9" x14ac:dyDescent="0.3">
      <c r="A2484" s="88"/>
      <c r="B2484" s="88"/>
      <c r="C2484" s="88"/>
      <c r="D2484" s="88"/>
      <c r="E2484" s="88"/>
      <c r="F2484" s="88"/>
      <c r="G2484" s="88"/>
      <c r="H2484" s="88"/>
      <c r="I2484" s="89"/>
    </row>
    <row r="2485" spans="1:9" x14ac:dyDescent="0.3">
      <c r="A2485" s="88"/>
      <c r="B2485" s="88"/>
      <c r="C2485" s="88"/>
      <c r="D2485" s="88"/>
      <c r="E2485" s="88"/>
      <c r="F2485" s="88"/>
      <c r="G2485" s="88"/>
      <c r="H2485" s="88"/>
      <c r="I2485" s="89"/>
    </row>
    <row r="2486" spans="1:9" x14ac:dyDescent="0.3">
      <c r="A2486" s="88"/>
      <c r="B2486" s="88"/>
      <c r="C2486" s="88"/>
      <c r="D2486" s="88"/>
      <c r="E2486" s="88"/>
      <c r="F2486" s="88"/>
      <c r="G2486" s="88"/>
      <c r="H2486" s="88"/>
      <c r="I2486" s="89"/>
    </row>
    <row r="2487" spans="1:9" x14ac:dyDescent="0.3">
      <c r="A2487" s="88"/>
      <c r="B2487" s="88"/>
      <c r="C2487" s="88"/>
      <c r="D2487" s="88"/>
      <c r="E2487" s="88"/>
      <c r="F2487" s="88"/>
      <c r="G2487" s="88"/>
      <c r="H2487" s="88"/>
      <c r="I2487" s="89"/>
    </row>
    <row r="2488" spans="1:9" x14ac:dyDescent="0.3">
      <c r="A2488" s="88"/>
      <c r="B2488" s="88"/>
      <c r="C2488" s="88"/>
      <c r="D2488" s="88"/>
      <c r="E2488" s="88"/>
      <c r="F2488" s="88"/>
      <c r="G2488" s="88"/>
      <c r="H2488" s="88"/>
      <c r="I2488" s="89"/>
    </row>
    <row r="2489" spans="1:9" x14ac:dyDescent="0.3">
      <c r="A2489" s="88"/>
      <c r="B2489" s="88"/>
      <c r="C2489" s="88"/>
      <c r="D2489" s="88"/>
      <c r="E2489" s="88"/>
      <c r="F2489" s="88"/>
      <c r="G2489" s="88"/>
      <c r="H2489" s="88"/>
      <c r="I2489" s="89"/>
    </row>
    <row r="2490" spans="1:9" x14ac:dyDescent="0.3">
      <c r="A2490" s="88"/>
      <c r="B2490" s="88"/>
      <c r="C2490" s="88"/>
      <c r="D2490" s="88"/>
      <c r="E2490" s="88"/>
      <c r="F2490" s="88"/>
      <c r="G2490" s="88"/>
      <c r="H2490" s="88"/>
      <c r="I2490" s="89"/>
    </row>
    <row r="2491" spans="1:9" x14ac:dyDescent="0.3">
      <c r="A2491" s="88"/>
      <c r="B2491" s="88"/>
      <c r="C2491" s="88"/>
      <c r="D2491" s="88"/>
      <c r="E2491" s="88"/>
      <c r="F2491" s="88"/>
      <c r="G2491" s="88"/>
      <c r="H2491" s="88"/>
      <c r="I2491" s="89"/>
    </row>
    <row r="2492" spans="1:9" x14ac:dyDescent="0.3">
      <c r="A2492" s="88"/>
      <c r="B2492" s="88"/>
      <c r="C2492" s="88"/>
      <c r="D2492" s="88"/>
      <c r="E2492" s="88"/>
      <c r="F2492" s="88"/>
      <c r="G2492" s="88"/>
      <c r="H2492" s="88"/>
      <c r="I2492" s="89"/>
    </row>
    <row r="2493" spans="1:9" x14ac:dyDescent="0.3">
      <c r="A2493" s="88"/>
      <c r="B2493" s="88"/>
      <c r="C2493" s="88"/>
      <c r="D2493" s="88"/>
      <c r="E2493" s="88"/>
      <c r="F2493" s="88"/>
      <c r="G2493" s="88"/>
      <c r="H2493" s="88"/>
      <c r="I2493" s="89"/>
    </row>
    <row r="2494" spans="1:9" x14ac:dyDescent="0.3">
      <c r="A2494" s="88"/>
      <c r="B2494" s="88"/>
      <c r="C2494" s="88"/>
      <c r="D2494" s="88"/>
      <c r="E2494" s="88"/>
      <c r="F2494" s="88"/>
      <c r="G2494" s="88"/>
      <c r="H2494" s="88"/>
      <c r="I2494" s="89"/>
    </row>
    <row r="2495" spans="1:9" x14ac:dyDescent="0.3">
      <c r="A2495" s="88"/>
      <c r="B2495" s="88"/>
      <c r="C2495" s="88"/>
      <c r="D2495" s="88"/>
      <c r="E2495" s="88"/>
      <c r="F2495" s="88"/>
      <c r="G2495" s="88"/>
      <c r="H2495" s="88"/>
      <c r="I2495" s="89"/>
    </row>
    <row r="2496" spans="1:9" x14ac:dyDescent="0.3">
      <c r="A2496" s="88"/>
      <c r="B2496" s="88"/>
      <c r="C2496" s="88"/>
      <c r="D2496" s="88"/>
      <c r="E2496" s="88"/>
      <c r="F2496" s="88"/>
      <c r="G2496" s="88"/>
      <c r="H2496" s="88"/>
      <c r="I2496" s="89"/>
    </row>
    <row r="2497" spans="1:9" x14ac:dyDescent="0.3">
      <c r="A2497" s="88"/>
      <c r="B2497" s="88"/>
      <c r="C2497" s="88"/>
      <c r="D2497" s="88"/>
      <c r="E2497" s="88"/>
      <c r="F2497" s="88"/>
      <c r="G2497" s="88"/>
      <c r="H2497" s="88"/>
      <c r="I2497" s="89"/>
    </row>
    <row r="2498" spans="1:9" x14ac:dyDescent="0.3">
      <c r="A2498" s="88"/>
      <c r="B2498" s="88"/>
      <c r="C2498" s="88"/>
      <c r="D2498" s="88"/>
      <c r="E2498" s="88"/>
      <c r="F2498" s="88"/>
      <c r="G2498" s="88"/>
      <c r="H2498" s="88"/>
      <c r="I2498" s="89"/>
    </row>
    <row r="2499" spans="1:9" x14ac:dyDescent="0.3">
      <c r="A2499" s="88"/>
      <c r="B2499" s="88"/>
      <c r="C2499" s="88"/>
      <c r="D2499" s="88"/>
      <c r="E2499" s="88"/>
      <c r="F2499" s="88"/>
      <c r="G2499" s="88"/>
      <c r="H2499" s="88"/>
      <c r="I2499" s="89"/>
    </row>
    <row r="2500" spans="1:9" x14ac:dyDescent="0.3">
      <c r="A2500" s="88"/>
      <c r="B2500" s="88"/>
      <c r="C2500" s="88"/>
      <c r="D2500" s="88"/>
      <c r="E2500" s="88"/>
      <c r="F2500" s="88"/>
      <c r="G2500" s="88"/>
      <c r="H2500" s="88"/>
      <c r="I2500" s="89"/>
    </row>
    <row r="2501" spans="1:9" x14ac:dyDescent="0.3">
      <c r="A2501" s="88"/>
      <c r="B2501" s="88"/>
      <c r="C2501" s="88"/>
      <c r="D2501" s="88"/>
      <c r="E2501" s="88"/>
      <c r="F2501" s="88"/>
      <c r="G2501" s="88"/>
      <c r="H2501" s="88"/>
      <c r="I2501" s="89"/>
    </row>
    <row r="2502" spans="1:9" x14ac:dyDescent="0.3">
      <c r="A2502" s="88"/>
      <c r="B2502" s="88"/>
      <c r="C2502" s="88"/>
      <c r="D2502" s="88"/>
      <c r="E2502" s="88"/>
      <c r="F2502" s="88"/>
      <c r="G2502" s="88"/>
      <c r="H2502" s="88"/>
      <c r="I2502" s="89"/>
    </row>
    <row r="2503" spans="1:9" x14ac:dyDescent="0.3">
      <c r="A2503" s="88"/>
      <c r="B2503" s="88"/>
      <c r="C2503" s="88"/>
      <c r="D2503" s="88"/>
      <c r="E2503" s="88"/>
      <c r="F2503" s="88"/>
      <c r="G2503" s="88"/>
      <c r="H2503" s="88"/>
      <c r="I2503" s="89"/>
    </row>
    <row r="2504" spans="1:9" x14ac:dyDescent="0.3">
      <c r="A2504" s="88"/>
      <c r="B2504" s="88"/>
      <c r="C2504" s="88"/>
      <c r="D2504" s="88"/>
      <c r="E2504" s="88"/>
      <c r="F2504" s="88"/>
      <c r="G2504" s="88"/>
      <c r="H2504" s="88"/>
      <c r="I2504" s="89"/>
    </row>
    <row r="2505" spans="1:9" x14ac:dyDescent="0.3">
      <c r="A2505" s="88"/>
      <c r="B2505" s="88"/>
      <c r="C2505" s="88"/>
      <c r="D2505" s="88"/>
      <c r="E2505" s="88"/>
      <c r="F2505" s="88"/>
      <c r="G2505" s="88"/>
      <c r="H2505" s="88"/>
      <c r="I2505" s="89"/>
    </row>
    <row r="2506" spans="1:9" x14ac:dyDescent="0.3">
      <c r="A2506" s="88"/>
      <c r="B2506" s="88"/>
      <c r="C2506" s="88"/>
      <c r="D2506" s="88"/>
      <c r="E2506" s="88"/>
      <c r="F2506" s="88"/>
      <c r="G2506" s="88"/>
      <c r="H2506" s="88"/>
      <c r="I2506" s="89"/>
    </row>
    <row r="2507" spans="1:9" x14ac:dyDescent="0.3">
      <c r="A2507" s="88"/>
      <c r="B2507" s="88"/>
      <c r="C2507" s="88"/>
      <c r="D2507" s="88"/>
      <c r="E2507" s="88"/>
      <c r="F2507" s="88"/>
      <c r="G2507" s="88"/>
      <c r="H2507" s="88"/>
      <c r="I2507" s="89"/>
    </row>
    <row r="2508" spans="1:9" x14ac:dyDescent="0.3">
      <c r="A2508" s="88"/>
      <c r="B2508" s="88"/>
      <c r="C2508" s="88"/>
      <c r="D2508" s="88"/>
      <c r="E2508" s="88"/>
      <c r="F2508" s="88"/>
      <c r="G2508" s="88"/>
      <c r="H2508" s="88"/>
      <c r="I2508" s="89"/>
    </row>
    <row r="2509" spans="1:9" x14ac:dyDescent="0.3">
      <c r="A2509" s="88"/>
      <c r="B2509" s="88"/>
      <c r="C2509" s="88"/>
      <c r="D2509" s="88"/>
      <c r="E2509" s="88"/>
      <c r="F2509" s="88"/>
      <c r="G2509" s="88"/>
      <c r="H2509" s="88"/>
      <c r="I2509" s="89"/>
    </row>
    <row r="2510" spans="1:9" x14ac:dyDescent="0.3">
      <c r="A2510" s="88"/>
      <c r="B2510" s="88"/>
      <c r="C2510" s="88"/>
      <c r="D2510" s="88"/>
      <c r="E2510" s="88"/>
      <c r="F2510" s="88"/>
      <c r="G2510" s="88"/>
      <c r="H2510" s="88"/>
      <c r="I2510" s="89"/>
    </row>
    <row r="2511" spans="1:9" x14ac:dyDescent="0.3">
      <c r="A2511" s="88"/>
      <c r="B2511" s="88"/>
      <c r="C2511" s="88"/>
      <c r="D2511" s="88"/>
      <c r="E2511" s="88"/>
      <c r="F2511" s="88"/>
      <c r="G2511" s="88"/>
      <c r="H2511" s="88"/>
      <c r="I2511" s="89"/>
    </row>
    <row r="2512" spans="1:9" x14ac:dyDescent="0.3">
      <c r="A2512" s="88"/>
      <c r="B2512" s="88"/>
      <c r="C2512" s="88"/>
      <c r="D2512" s="88"/>
      <c r="E2512" s="88"/>
      <c r="F2512" s="88"/>
      <c r="G2512" s="88"/>
      <c r="H2512" s="88"/>
      <c r="I2512" s="89"/>
    </row>
    <row r="2513" spans="1:9" x14ac:dyDescent="0.3">
      <c r="A2513" s="88"/>
      <c r="B2513" s="88"/>
      <c r="C2513" s="88"/>
      <c r="D2513" s="88"/>
      <c r="E2513" s="88"/>
      <c r="F2513" s="88"/>
      <c r="G2513" s="88"/>
      <c r="H2513" s="88"/>
      <c r="I2513" s="89"/>
    </row>
    <row r="2514" spans="1:9" x14ac:dyDescent="0.3">
      <c r="A2514" s="88"/>
      <c r="B2514" s="88"/>
      <c r="C2514" s="88"/>
      <c r="D2514" s="88"/>
      <c r="E2514" s="88"/>
      <c r="F2514" s="88"/>
      <c r="G2514" s="88"/>
      <c r="H2514" s="88"/>
      <c r="I2514" s="89"/>
    </row>
    <row r="2515" spans="1:9" x14ac:dyDescent="0.3">
      <c r="A2515" s="88"/>
      <c r="B2515" s="88"/>
      <c r="C2515" s="88"/>
      <c r="D2515" s="88"/>
      <c r="E2515" s="88"/>
      <c r="F2515" s="88"/>
      <c r="G2515" s="88"/>
      <c r="H2515" s="88"/>
      <c r="I2515" s="89"/>
    </row>
    <row r="2516" spans="1:9" x14ac:dyDescent="0.3">
      <c r="A2516" s="88"/>
      <c r="B2516" s="88"/>
      <c r="C2516" s="88"/>
      <c r="D2516" s="88"/>
      <c r="E2516" s="88"/>
      <c r="F2516" s="88"/>
      <c r="G2516" s="88"/>
      <c r="H2516" s="88"/>
      <c r="I2516" s="89"/>
    </row>
    <row r="2517" spans="1:9" x14ac:dyDescent="0.3">
      <c r="A2517" s="88"/>
      <c r="B2517" s="88"/>
      <c r="C2517" s="88"/>
      <c r="D2517" s="88"/>
      <c r="E2517" s="88"/>
      <c r="F2517" s="88"/>
      <c r="G2517" s="88"/>
      <c r="H2517" s="88"/>
      <c r="I2517" s="89"/>
    </row>
    <row r="2518" spans="1:9" x14ac:dyDescent="0.3">
      <c r="A2518" s="88"/>
      <c r="B2518" s="88"/>
      <c r="C2518" s="88"/>
      <c r="D2518" s="88"/>
      <c r="E2518" s="88"/>
      <c r="F2518" s="88"/>
      <c r="G2518" s="88"/>
      <c r="H2518" s="88"/>
      <c r="I2518" s="89"/>
    </row>
    <row r="2519" spans="1:9" x14ac:dyDescent="0.3">
      <c r="A2519" s="88"/>
      <c r="B2519" s="88"/>
      <c r="C2519" s="88"/>
      <c r="D2519" s="88"/>
      <c r="E2519" s="88"/>
      <c r="F2519" s="88"/>
      <c r="G2519" s="88"/>
      <c r="H2519" s="88"/>
      <c r="I2519" s="89"/>
    </row>
    <row r="2520" spans="1:9" x14ac:dyDescent="0.3">
      <c r="A2520" s="88"/>
      <c r="B2520" s="88"/>
      <c r="C2520" s="88"/>
      <c r="D2520" s="88"/>
      <c r="E2520" s="88"/>
      <c r="F2520" s="88"/>
      <c r="G2520" s="88"/>
      <c r="H2520" s="88"/>
      <c r="I2520" s="89"/>
    </row>
    <row r="2521" spans="1:9" x14ac:dyDescent="0.3">
      <c r="A2521" s="88"/>
      <c r="B2521" s="88"/>
      <c r="C2521" s="88"/>
      <c r="D2521" s="88"/>
      <c r="E2521" s="88"/>
      <c r="F2521" s="88"/>
      <c r="G2521" s="88"/>
      <c r="H2521" s="88"/>
      <c r="I2521" s="89"/>
    </row>
    <row r="2522" spans="1:9" x14ac:dyDescent="0.3">
      <c r="A2522" s="88"/>
      <c r="B2522" s="88"/>
      <c r="C2522" s="88"/>
      <c r="D2522" s="88"/>
      <c r="E2522" s="88"/>
      <c r="F2522" s="88"/>
      <c r="G2522" s="88"/>
      <c r="H2522" s="88"/>
      <c r="I2522" s="89"/>
    </row>
    <row r="2523" spans="1:9" x14ac:dyDescent="0.3">
      <c r="A2523" s="88"/>
      <c r="B2523" s="88"/>
      <c r="C2523" s="88"/>
      <c r="D2523" s="88"/>
      <c r="E2523" s="88"/>
      <c r="F2523" s="88"/>
      <c r="G2523" s="88"/>
      <c r="H2523" s="88"/>
      <c r="I2523" s="89"/>
    </row>
    <row r="2524" spans="1:9" x14ac:dyDescent="0.3">
      <c r="A2524" s="88"/>
      <c r="B2524" s="88"/>
      <c r="C2524" s="88"/>
      <c r="D2524" s="88"/>
      <c r="E2524" s="88"/>
      <c r="F2524" s="88"/>
      <c r="G2524" s="88"/>
      <c r="H2524" s="88"/>
      <c r="I2524" s="89"/>
    </row>
    <row r="2525" spans="1:9" x14ac:dyDescent="0.3">
      <c r="A2525" s="88"/>
      <c r="B2525" s="88"/>
      <c r="C2525" s="88"/>
      <c r="D2525" s="88"/>
      <c r="E2525" s="88"/>
      <c r="F2525" s="88"/>
      <c r="G2525" s="88"/>
      <c r="H2525" s="88"/>
      <c r="I2525" s="89"/>
    </row>
    <row r="2526" spans="1:9" x14ac:dyDescent="0.3">
      <c r="A2526" s="88"/>
      <c r="B2526" s="88"/>
      <c r="C2526" s="88"/>
      <c r="D2526" s="88"/>
      <c r="E2526" s="88"/>
      <c r="F2526" s="88"/>
      <c r="G2526" s="88"/>
      <c r="H2526" s="88"/>
      <c r="I2526" s="89"/>
    </row>
    <row r="2527" spans="1:9" x14ac:dyDescent="0.3">
      <c r="A2527" s="88"/>
      <c r="B2527" s="88"/>
      <c r="C2527" s="88"/>
      <c r="D2527" s="88"/>
      <c r="E2527" s="88"/>
      <c r="F2527" s="88"/>
      <c r="G2527" s="88"/>
      <c r="H2527" s="88"/>
      <c r="I2527" s="89"/>
    </row>
    <row r="2528" spans="1:9" x14ac:dyDescent="0.3">
      <c r="A2528" s="88"/>
      <c r="B2528" s="88"/>
      <c r="C2528" s="88"/>
      <c r="D2528" s="88"/>
      <c r="E2528" s="88"/>
      <c r="F2528" s="88"/>
      <c r="G2528" s="88"/>
      <c r="H2528" s="88"/>
      <c r="I2528" s="89"/>
    </row>
    <row r="2529" spans="1:9" x14ac:dyDescent="0.3">
      <c r="A2529" s="88"/>
      <c r="B2529" s="88"/>
      <c r="C2529" s="88"/>
      <c r="D2529" s="88"/>
      <c r="E2529" s="88"/>
      <c r="F2529" s="88"/>
      <c r="G2529" s="88"/>
      <c r="H2529" s="88"/>
      <c r="I2529" s="89"/>
    </row>
    <row r="2530" spans="1:9" x14ac:dyDescent="0.3">
      <c r="A2530" s="88"/>
      <c r="B2530" s="88"/>
      <c r="C2530" s="88"/>
      <c r="D2530" s="88"/>
      <c r="E2530" s="88"/>
      <c r="F2530" s="88"/>
      <c r="G2530" s="88"/>
      <c r="H2530" s="88"/>
      <c r="I2530" s="89"/>
    </row>
    <row r="2531" spans="1:9" x14ac:dyDescent="0.3">
      <c r="A2531" s="88"/>
      <c r="B2531" s="88"/>
      <c r="C2531" s="88"/>
      <c r="D2531" s="88"/>
      <c r="E2531" s="88"/>
      <c r="F2531" s="88"/>
      <c r="G2531" s="88"/>
      <c r="H2531" s="88"/>
      <c r="I2531" s="89"/>
    </row>
    <row r="2532" spans="1:9" x14ac:dyDescent="0.3">
      <c r="A2532" s="88"/>
      <c r="B2532" s="88"/>
      <c r="C2532" s="88"/>
      <c r="D2532" s="88"/>
      <c r="E2532" s="88"/>
      <c r="F2532" s="88"/>
      <c r="G2532" s="88"/>
      <c r="H2532" s="88"/>
      <c r="I2532" s="89"/>
    </row>
    <row r="2533" spans="1:9" x14ac:dyDescent="0.3">
      <c r="A2533" s="88"/>
      <c r="B2533" s="88"/>
      <c r="C2533" s="88"/>
      <c r="D2533" s="88"/>
      <c r="E2533" s="88"/>
      <c r="F2533" s="88"/>
      <c r="G2533" s="88"/>
      <c r="H2533" s="88"/>
      <c r="I2533" s="89"/>
    </row>
    <row r="2534" spans="1:9" x14ac:dyDescent="0.3">
      <c r="A2534" s="88"/>
      <c r="B2534" s="88"/>
      <c r="C2534" s="88"/>
      <c r="D2534" s="88"/>
      <c r="E2534" s="88"/>
      <c r="F2534" s="88"/>
      <c r="G2534" s="88"/>
      <c r="H2534" s="88"/>
      <c r="I2534" s="89"/>
    </row>
    <row r="2535" spans="1:9" x14ac:dyDescent="0.3">
      <c r="A2535" s="88"/>
      <c r="B2535" s="88"/>
      <c r="C2535" s="88"/>
      <c r="D2535" s="88"/>
      <c r="E2535" s="88"/>
      <c r="F2535" s="88"/>
      <c r="G2535" s="88"/>
      <c r="H2535" s="88"/>
      <c r="I2535" s="89"/>
    </row>
    <row r="2536" spans="1:9" x14ac:dyDescent="0.3">
      <c r="A2536" s="88"/>
      <c r="B2536" s="88"/>
      <c r="C2536" s="88"/>
      <c r="D2536" s="88"/>
      <c r="E2536" s="88"/>
      <c r="F2536" s="88"/>
      <c r="G2536" s="88"/>
      <c r="H2536" s="88"/>
      <c r="I2536" s="89"/>
    </row>
    <row r="2537" spans="1:9" x14ac:dyDescent="0.3">
      <c r="A2537" s="88"/>
      <c r="B2537" s="88"/>
      <c r="C2537" s="88"/>
      <c r="D2537" s="88"/>
      <c r="E2537" s="88"/>
      <c r="F2537" s="88"/>
      <c r="G2537" s="88"/>
      <c r="H2537" s="88"/>
      <c r="I2537" s="89"/>
    </row>
    <row r="2538" spans="1:9" x14ac:dyDescent="0.3">
      <c r="A2538" s="88"/>
      <c r="B2538" s="88"/>
      <c r="C2538" s="88"/>
      <c r="D2538" s="88"/>
      <c r="E2538" s="88"/>
      <c r="F2538" s="88"/>
      <c r="G2538" s="88"/>
      <c r="H2538" s="88"/>
      <c r="I2538" s="89"/>
    </row>
    <row r="2539" spans="1:9" x14ac:dyDescent="0.3">
      <c r="A2539" s="88"/>
      <c r="B2539" s="88"/>
      <c r="C2539" s="88"/>
      <c r="D2539" s="88"/>
      <c r="E2539" s="88"/>
      <c r="F2539" s="88"/>
      <c r="G2539" s="88"/>
      <c r="H2539" s="88"/>
      <c r="I2539" s="89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68"/>
  <sheetViews>
    <sheetView topLeftCell="A173" workbookViewId="0">
      <selection activeCell="AC8" sqref="AC8"/>
    </sheetView>
  </sheetViews>
  <sheetFormatPr defaultColWidth="4.140625" defaultRowHeight="15" x14ac:dyDescent="0.3"/>
  <cols>
    <col min="1" max="1" width="19" style="84" bestFit="1" customWidth="1"/>
    <col min="2" max="2" width="12.7109375" style="84" bestFit="1" customWidth="1"/>
    <col min="3" max="3" width="12.5703125" style="84" bestFit="1" customWidth="1"/>
    <col min="4" max="4" width="12.42578125" style="84" bestFit="1" customWidth="1"/>
    <col min="5" max="5" width="10.5703125" style="84" bestFit="1" customWidth="1"/>
    <col min="6" max="6" width="7.85546875" style="84" bestFit="1" customWidth="1"/>
    <col min="7" max="7" width="9" style="84" bestFit="1" customWidth="1"/>
    <col min="8" max="8" width="9.140625" style="84" bestFit="1" customWidth="1"/>
    <col min="9" max="9" width="10.140625" style="84" bestFit="1" customWidth="1"/>
    <col min="10" max="10" width="10.5703125" style="84" bestFit="1" customWidth="1"/>
    <col min="11" max="11" width="12.5703125" style="84" bestFit="1" customWidth="1"/>
    <col min="12" max="12" width="6.7109375" style="84" bestFit="1" customWidth="1"/>
    <col min="13" max="13" width="10.5703125" style="84" bestFit="1" customWidth="1"/>
    <col min="14" max="14" width="7.85546875" style="84" bestFit="1" customWidth="1"/>
    <col min="15" max="15" width="9" style="84" bestFit="1" customWidth="1"/>
    <col min="16" max="16" width="11.140625" style="84" bestFit="1" customWidth="1"/>
    <col min="17" max="17" width="7.5703125" style="84" bestFit="1" customWidth="1"/>
    <col min="18" max="18" width="1.85546875" style="84" bestFit="1" customWidth="1"/>
    <col min="19" max="19" width="19" style="84" bestFit="1" customWidth="1"/>
    <col min="20" max="20" width="10" style="84" bestFit="1" customWidth="1"/>
    <col min="21" max="26" width="1.85546875" style="84" bestFit="1" customWidth="1"/>
    <col min="27" max="16384" width="4.140625" style="84"/>
  </cols>
  <sheetData>
    <row r="1" spans="1:26" x14ac:dyDescent="0.3">
      <c r="A1" s="169" t="s">
        <v>3194</v>
      </c>
      <c r="B1" s="169"/>
      <c r="C1" s="169"/>
      <c r="D1" s="169"/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</row>
    <row r="3" spans="1:26" ht="26.25" x14ac:dyDescent="0.4">
      <c r="A3" s="170" t="s">
        <v>3195</v>
      </c>
      <c r="B3" s="171"/>
      <c r="C3" s="171"/>
      <c r="D3" s="171"/>
      <c r="E3" s="171"/>
      <c r="F3" s="171"/>
      <c r="G3" s="171"/>
      <c r="H3" s="171"/>
      <c r="I3" s="171"/>
      <c r="J3" s="171"/>
      <c r="K3" s="171"/>
      <c r="L3" s="171"/>
      <c r="M3" s="171"/>
      <c r="N3" s="171"/>
      <c r="O3" s="171"/>
      <c r="P3" s="171"/>
      <c r="Q3" s="90"/>
      <c r="R3" s="90"/>
      <c r="S3" s="90"/>
      <c r="T3" s="90"/>
      <c r="U3" s="90"/>
      <c r="V3" s="90"/>
      <c r="W3" s="90"/>
      <c r="X3" s="90"/>
      <c r="Y3" s="90"/>
      <c r="Z3" s="90"/>
    </row>
    <row r="4" spans="1:26" ht="16.5" x14ac:dyDescent="0.3">
      <c r="A4" s="91"/>
      <c r="B4" s="91"/>
      <c r="C4" s="172" t="s">
        <v>3196</v>
      </c>
      <c r="D4" s="172"/>
      <c r="E4" s="172"/>
      <c r="F4" s="172"/>
      <c r="G4" s="172"/>
      <c r="H4" s="172"/>
      <c r="I4" s="172"/>
      <c r="J4" s="172" t="s">
        <v>3197</v>
      </c>
      <c r="K4" s="172"/>
      <c r="L4" s="172"/>
      <c r="M4" s="172"/>
      <c r="N4" s="172"/>
      <c r="O4" s="172"/>
      <c r="P4" s="172"/>
      <c r="Q4" s="91"/>
      <c r="R4" s="91"/>
      <c r="S4" s="91"/>
      <c r="T4" s="91"/>
      <c r="U4" s="91"/>
      <c r="V4" s="91"/>
      <c r="W4" s="91"/>
      <c r="X4" s="91"/>
      <c r="Y4" s="91"/>
      <c r="Z4" s="91"/>
    </row>
    <row r="5" spans="1:26" ht="25.5" x14ac:dyDescent="0.3">
      <c r="A5" s="92" t="s">
        <v>539</v>
      </c>
      <c r="B5" s="92" t="s">
        <v>541</v>
      </c>
      <c r="C5" s="92" t="s">
        <v>618</v>
      </c>
      <c r="D5" s="92" t="s">
        <v>3198</v>
      </c>
      <c r="E5" s="92" t="s">
        <v>3199</v>
      </c>
      <c r="F5" s="93" t="s">
        <v>3200</v>
      </c>
      <c r="G5" s="93" t="s">
        <v>3201</v>
      </c>
      <c r="H5" s="92" t="s">
        <v>3202</v>
      </c>
      <c r="I5" s="92" t="s">
        <v>3203</v>
      </c>
      <c r="J5" s="93" t="s">
        <v>3204</v>
      </c>
      <c r="K5" s="93" t="s">
        <v>3205</v>
      </c>
      <c r="L5" s="92" t="s">
        <v>3198</v>
      </c>
      <c r="M5" s="92" t="s">
        <v>3199</v>
      </c>
      <c r="N5" s="93" t="s">
        <v>3200</v>
      </c>
      <c r="O5" s="93" t="s">
        <v>3201</v>
      </c>
      <c r="P5" s="93" t="s">
        <v>3206</v>
      </c>
      <c r="Q5" s="92" t="s">
        <v>3207</v>
      </c>
      <c r="R5" s="92" t="s">
        <v>3207</v>
      </c>
      <c r="S5" s="92" t="s">
        <v>3207</v>
      </c>
      <c r="T5" s="92" t="s">
        <v>3207</v>
      </c>
      <c r="U5" s="92" t="s">
        <v>3207</v>
      </c>
      <c r="V5" s="92" t="s">
        <v>3207</v>
      </c>
      <c r="W5" s="92" t="s">
        <v>3207</v>
      </c>
      <c r="X5" s="92" t="s">
        <v>3207</v>
      </c>
      <c r="Y5" s="92" t="s">
        <v>3207</v>
      </c>
      <c r="Z5" s="92" t="s">
        <v>3207</v>
      </c>
    </row>
    <row r="6" spans="1:26" x14ac:dyDescent="0.3">
      <c r="A6" s="94" t="s">
        <v>293</v>
      </c>
      <c r="B6" s="94" t="s">
        <v>549</v>
      </c>
      <c r="C6" s="94">
        <v>271.18</v>
      </c>
      <c r="D6" s="94"/>
      <c r="E6" s="94"/>
      <c r="F6" s="94"/>
      <c r="G6" s="94">
        <v>4067.7</v>
      </c>
      <c r="H6" s="94"/>
      <c r="I6" s="95">
        <v>4338.88</v>
      </c>
      <c r="J6" s="95">
        <f t="shared" ref="J6:J69" si="0">IF(H6&gt;0,50,0)</f>
        <v>0</v>
      </c>
      <c r="K6" s="95">
        <f t="shared" ref="K6:K69" si="1">IF(C6 &gt; 500, 20 + ROUNDDOWN((C6 - 500) / 500, 0) * 15, 0)</f>
        <v>0</v>
      </c>
      <c r="L6" s="95">
        <f t="shared" ref="L6:L69" si="2">IF(D6&gt;900,50, 0)</f>
        <v>0</v>
      </c>
      <c r="M6" s="95">
        <f t="shared" ref="M6:M69" si="3">IF(E6&gt;274,20, 0)</f>
        <v>0</v>
      </c>
      <c r="N6" s="95">
        <f t="shared" ref="N6:N69" si="4">IF(F6&gt;0,20, 0)</f>
        <v>0</v>
      </c>
      <c r="O6" s="95">
        <f t="shared" ref="O6:O69" si="5">IF(G6&gt;0,50, 0)</f>
        <v>50</v>
      </c>
      <c r="P6" s="95">
        <f t="shared" ref="P6:P69" si="6">SUM(J6,K6, L6, M6, N6, O6)</f>
        <v>50</v>
      </c>
      <c r="Q6" s="94"/>
      <c r="R6" s="94"/>
      <c r="S6" s="149" t="s">
        <v>539</v>
      </c>
      <c r="T6" s="149" t="s">
        <v>3208</v>
      </c>
      <c r="U6" s="94">
        <v>31</v>
      </c>
      <c r="V6" s="94"/>
      <c r="W6" s="94"/>
      <c r="X6" s="94"/>
      <c r="Y6" s="94"/>
      <c r="Z6" s="94">
        <v>2</v>
      </c>
    </row>
    <row r="7" spans="1:26" x14ac:dyDescent="0.3">
      <c r="A7" s="94" t="s">
        <v>293</v>
      </c>
      <c r="B7" s="94" t="s">
        <v>577</v>
      </c>
      <c r="C7" s="94"/>
      <c r="D7" s="94"/>
      <c r="E7" s="94"/>
      <c r="F7" s="94"/>
      <c r="G7" s="94"/>
      <c r="H7" s="94"/>
      <c r="I7" s="95">
        <v>0</v>
      </c>
      <c r="J7" s="95">
        <f t="shared" si="0"/>
        <v>0</v>
      </c>
      <c r="K7" s="95">
        <f t="shared" si="1"/>
        <v>0</v>
      </c>
      <c r="L7" s="95">
        <f t="shared" si="2"/>
        <v>0</v>
      </c>
      <c r="M7" s="95">
        <f t="shared" si="3"/>
        <v>0</v>
      </c>
      <c r="N7" s="95">
        <f t="shared" si="4"/>
        <v>0</v>
      </c>
      <c r="O7" s="95">
        <f t="shared" si="5"/>
        <v>0</v>
      </c>
      <c r="P7" s="95">
        <f t="shared" si="6"/>
        <v>0</v>
      </c>
      <c r="Q7" s="94"/>
      <c r="R7" s="94"/>
      <c r="S7" s="149" t="s">
        <v>293</v>
      </c>
      <c r="T7" s="149">
        <v>1115</v>
      </c>
      <c r="U7" s="94"/>
      <c r="V7" s="94"/>
      <c r="W7" s="94"/>
      <c r="X7" s="94"/>
      <c r="Y7" s="94"/>
      <c r="Z7" s="94"/>
    </row>
    <row r="8" spans="1:26" x14ac:dyDescent="0.3">
      <c r="A8" s="94" t="s">
        <v>293</v>
      </c>
      <c r="B8" s="94" t="s">
        <v>604</v>
      </c>
      <c r="C8" s="94"/>
      <c r="D8" s="94"/>
      <c r="E8" s="94"/>
      <c r="F8" s="94"/>
      <c r="G8" s="94"/>
      <c r="H8" s="94"/>
      <c r="I8" s="95">
        <v>0</v>
      </c>
      <c r="J8" s="95">
        <f t="shared" si="0"/>
        <v>0</v>
      </c>
      <c r="K8" s="95">
        <f t="shared" si="1"/>
        <v>0</v>
      </c>
      <c r="L8" s="95">
        <f t="shared" si="2"/>
        <v>0</v>
      </c>
      <c r="M8" s="95">
        <f t="shared" si="3"/>
        <v>0</v>
      </c>
      <c r="N8" s="95">
        <f t="shared" si="4"/>
        <v>0</v>
      </c>
      <c r="O8" s="95">
        <f t="shared" si="5"/>
        <v>0</v>
      </c>
      <c r="P8" s="95">
        <f t="shared" si="6"/>
        <v>0</v>
      </c>
      <c r="Q8" s="94"/>
      <c r="R8" s="94"/>
      <c r="S8" s="149" t="s">
        <v>292</v>
      </c>
      <c r="T8" s="149">
        <v>210</v>
      </c>
      <c r="U8" s="94"/>
      <c r="V8" s="94"/>
      <c r="W8" s="94"/>
      <c r="X8" s="94"/>
      <c r="Y8" s="94"/>
      <c r="Z8" s="94"/>
    </row>
    <row r="9" spans="1:26" x14ac:dyDescent="0.3">
      <c r="A9" s="94" t="s">
        <v>293</v>
      </c>
      <c r="B9" s="94" t="s">
        <v>112</v>
      </c>
      <c r="C9" s="94">
        <v>135.59</v>
      </c>
      <c r="D9" s="94"/>
      <c r="E9" s="94"/>
      <c r="F9" s="94"/>
      <c r="G9" s="94"/>
      <c r="H9" s="94"/>
      <c r="I9" s="95">
        <v>135.59</v>
      </c>
      <c r="J9" s="95">
        <f t="shared" si="0"/>
        <v>0</v>
      </c>
      <c r="K9" s="95">
        <f t="shared" si="1"/>
        <v>0</v>
      </c>
      <c r="L9" s="95">
        <f t="shared" si="2"/>
        <v>0</v>
      </c>
      <c r="M9" s="95">
        <f t="shared" si="3"/>
        <v>0</v>
      </c>
      <c r="N9" s="95">
        <f t="shared" si="4"/>
        <v>0</v>
      </c>
      <c r="O9" s="95">
        <f t="shared" si="5"/>
        <v>0</v>
      </c>
      <c r="P9" s="95">
        <f t="shared" si="6"/>
        <v>0</v>
      </c>
      <c r="Q9" s="94"/>
      <c r="R9" s="94"/>
      <c r="S9" s="149" t="s">
        <v>294</v>
      </c>
      <c r="T9" s="149">
        <v>300</v>
      </c>
      <c r="U9" s="94"/>
      <c r="V9" s="94"/>
      <c r="W9" s="94"/>
      <c r="X9" s="94"/>
      <c r="Y9" s="94"/>
      <c r="Z9" s="94"/>
    </row>
    <row r="10" spans="1:26" ht="15.75" x14ac:dyDescent="0.3">
      <c r="A10" s="94" t="s">
        <v>293</v>
      </c>
      <c r="B10" s="94" t="s">
        <v>180</v>
      </c>
      <c r="C10" s="94"/>
      <c r="D10" s="94"/>
      <c r="E10" s="94"/>
      <c r="F10" s="94"/>
      <c r="G10" s="94"/>
      <c r="H10" s="94"/>
      <c r="I10" s="95">
        <v>0</v>
      </c>
      <c r="J10" s="95">
        <f t="shared" si="0"/>
        <v>0</v>
      </c>
      <c r="K10" s="95">
        <f t="shared" si="1"/>
        <v>0</v>
      </c>
      <c r="L10" s="95">
        <f t="shared" si="2"/>
        <v>0</v>
      </c>
      <c r="M10" s="95">
        <f t="shared" si="3"/>
        <v>0</v>
      </c>
      <c r="N10" s="95">
        <f t="shared" si="4"/>
        <v>0</v>
      </c>
      <c r="O10" s="95">
        <f t="shared" si="5"/>
        <v>0</v>
      </c>
      <c r="P10" s="95">
        <f t="shared" si="6"/>
        <v>0</v>
      </c>
      <c r="Q10" s="94"/>
      <c r="R10" s="94"/>
      <c r="S10" s="94"/>
      <c r="T10" s="150">
        <f>SUM(T7:T9)</f>
        <v>1625</v>
      </c>
      <c r="U10" s="94"/>
      <c r="V10" s="94"/>
      <c r="W10" s="94"/>
      <c r="X10" s="94"/>
      <c r="Y10" s="94"/>
      <c r="Z10" s="94"/>
    </row>
    <row r="11" spans="1:26" x14ac:dyDescent="0.3">
      <c r="A11" s="94" t="s">
        <v>293</v>
      </c>
      <c r="B11" s="94" t="s">
        <v>48</v>
      </c>
      <c r="C11" s="94">
        <v>1218.72</v>
      </c>
      <c r="D11" s="94"/>
      <c r="E11" s="94"/>
      <c r="F11" s="94"/>
      <c r="G11" s="94">
        <v>406.77</v>
      </c>
      <c r="H11" s="94"/>
      <c r="I11" s="95">
        <v>1625.49</v>
      </c>
      <c r="J11" s="95">
        <f t="shared" si="0"/>
        <v>0</v>
      </c>
      <c r="K11" s="95">
        <f t="shared" si="1"/>
        <v>35</v>
      </c>
      <c r="L11" s="95">
        <f t="shared" si="2"/>
        <v>0</v>
      </c>
      <c r="M11" s="95">
        <f t="shared" si="3"/>
        <v>0</v>
      </c>
      <c r="N11" s="95">
        <f t="shared" si="4"/>
        <v>0</v>
      </c>
      <c r="O11" s="95">
        <f t="shared" si="5"/>
        <v>50</v>
      </c>
      <c r="P11" s="95">
        <f t="shared" si="6"/>
        <v>85</v>
      </c>
      <c r="Q11" s="94"/>
      <c r="R11" s="94"/>
      <c r="S11" s="94"/>
      <c r="T11" s="94"/>
      <c r="U11" s="94"/>
      <c r="V11" s="94"/>
      <c r="W11" s="94"/>
      <c r="X11" s="94"/>
      <c r="Y11" s="94"/>
      <c r="Z11" s="94"/>
    </row>
    <row r="12" spans="1:26" x14ac:dyDescent="0.3">
      <c r="A12" s="94" t="s">
        <v>293</v>
      </c>
      <c r="B12" s="94" t="s">
        <v>665</v>
      </c>
      <c r="C12" s="94"/>
      <c r="D12" s="94"/>
      <c r="E12" s="94"/>
      <c r="F12" s="94"/>
      <c r="G12" s="94"/>
      <c r="H12" s="94"/>
      <c r="I12" s="95">
        <v>0</v>
      </c>
      <c r="J12" s="95">
        <f t="shared" si="0"/>
        <v>0</v>
      </c>
      <c r="K12" s="95">
        <f t="shared" si="1"/>
        <v>0</v>
      </c>
      <c r="L12" s="95">
        <f t="shared" si="2"/>
        <v>0</v>
      </c>
      <c r="M12" s="95">
        <f t="shared" si="3"/>
        <v>0</v>
      </c>
      <c r="N12" s="95">
        <f t="shared" si="4"/>
        <v>0</v>
      </c>
      <c r="O12" s="95">
        <f t="shared" si="5"/>
        <v>0</v>
      </c>
      <c r="P12" s="95">
        <f t="shared" si="6"/>
        <v>0</v>
      </c>
      <c r="Q12" s="94"/>
      <c r="R12" s="94"/>
      <c r="S12" s="94"/>
      <c r="T12" s="94"/>
      <c r="U12" s="94"/>
      <c r="V12" s="94"/>
      <c r="W12" s="94"/>
      <c r="X12" s="94"/>
      <c r="Y12" s="94"/>
      <c r="Z12" s="94"/>
    </row>
    <row r="13" spans="1:26" x14ac:dyDescent="0.3">
      <c r="A13" s="94" t="s">
        <v>293</v>
      </c>
      <c r="B13" s="94" t="s">
        <v>673</v>
      </c>
      <c r="C13" s="94"/>
      <c r="D13" s="94"/>
      <c r="E13" s="94"/>
      <c r="F13" s="94"/>
      <c r="G13" s="94"/>
      <c r="H13" s="94"/>
      <c r="I13" s="95">
        <v>0</v>
      </c>
      <c r="J13" s="95">
        <f t="shared" si="0"/>
        <v>0</v>
      </c>
      <c r="K13" s="95">
        <f t="shared" si="1"/>
        <v>0</v>
      </c>
      <c r="L13" s="95">
        <f t="shared" si="2"/>
        <v>0</v>
      </c>
      <c r="M13" s="95">
        <f t="shared" si="3"/>
        <v>0</v>
      </c>
      <c r="N13" s="95">
        <f t="shared" si="4"/>
        <v>0</v>
      </c>
      <c r="O13" s="95">
        <f t="shared" si="5"/>
        <v>0</v>
      </c>
      <c r="P13" s="95">
        <f t="shared" si="6"/>
        <v>0</v>
      </c>
      <c r="Q13" s="94"/>
      <c r="R13" s="94"/>
      <c r="S13" s="94"/>
      <c r="T13" s="94"/>
      <c r="U13" s="94"/>
      <c r="V13" s="94"/>
      <c r="W13" s="94"/>
      <c r="X13" s="94"/>
      <c r="Y13" s="94"/>
      <c r="Z13" s="94"/>
    </row>
    <row r="14" spans="1:26" x14ac:dyDescent="0.3">
      <c r="A14" s="94" t="s">
        <v>293</v>
      </c>
      <c r="B14" s="94" t="s">
        <v>723</v>
      </c>
      <c r="C14" s="94"/>
      <c r="D14" s="94"/>
      <c r="E14" s="94"/>
      <c r="F14" s="94"/>
      <c r="G14" s="94"/>
      <c r="H14" s="94"/>
      <c r="I14" s="95">
        <v>0</v>
      </c>
      <c r="J14" s="95">
        <f t="shared" si="0"/>
        <v>0</v>
      </c>
      <c r="K14" s="95">
        <f t="shared" si="1"/>
        <v>0</v>
      </c>
      <c r="L14" s="95">
        <f t="shared" si="2"/>
        <v>0</v>
      </c>
      <c r="M14" s="95">
        <f t="shared" si="3"/>
        <v>0</v>
      </c>
      <c r="N14" s="95">
        <f t="shared" si="4"/>
        <v>0</v>
      </c>
      <c r="O14" s="95">
        <f t="shared" si="5"/>
        <v>0</v>
      </c>
      <c r="P14" s="95">
        <f t="shared" si="6"/>
        <v>0</v>
      </c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 spans="1:26" x14ac:dyDescent="0.3">
      <c r="A15" s="94" t="s">
        <v>293</v>
      </c>
      <c r="B15" s="94" t="s">
        <v>769</v>
      </c>
      <c r="C15" s="94"/>
      <c r="D15" s="94"/>
      <c r="E15" s="94"/>
      <c r="F15" s="94"/>
      <c r="G15" s="94">
        <v>406.77</v>
      </c>
      <c r="H15" s="94"/>
      <c r="I15" s="95">
        <v>406.77</v>
      </c>
      <c r="J15" s="95">
        <f t="shared" si="0"/>
        <v>0</v>
      </c>
      <c r="K15" s="95">
        <f t="shared" si="1"/>
        <v>0</v>
      </c>
      <c r="L15" s="95">
        <f t="shared" si="2"/>
        <v>0</v>
      </c>
      <c r="M15" s="95">
        <f t="shared" si="3"/>
        <v>0</v>
      </c>
      <c r="N15" s="95">
        <f t="shared" si="4"/>
        <v>0</v>
      </c>
      <c r="O15" s="95">
        <f t="shared" si="5"/>
        <v>50</v>
      </c>
      <c r="P15" s="95">
        <f t="shared" si="6"/>
        <v>50</v>
      </c>
      <c r="Q15" s="94"/>
      <c r="R15" s="94"/>
      <c r="S15" s="94"/>
      <c r="T15" s="94"/>
      <c r="U15" s="94"/>
      <c r="V15" s="94"/>
      <c r="W15" s="94"/>
      <c r="X15" s="94"/>
      <c r="Y15" s="94"/>
      <c r="Z15" s="94"/>
    </row>
    <row r="16" spans="1:26" x14ac:dyDescent="0.3">
      <c r="A16" s="94" t="s">
        <v>293</v>
      </c>
      <c r="B16" s="94" t="s">
        <v>776</v>
      </c>
      <c r="C16" s="94"/>
      <c r="D16" s="94"/>
      <c r="E16" s="94"/>
      <c r="F16" s="94"/>
      <c r="G16" s="94"/>
      <c r="H16" s="94"/>
      <c r="I16" s="95">
        <v>0</v>
      </c>
      <c r="J16" s="95">
        <f t="shared" si="0"/>
        <v>0</v>
      </c>
      <c r="K16" s="95">
        <f t="shared" si="1"/>
        <v>0</v>
      </c>
      <c r="L16" s="95">
        <f t="shared" si="2"/>
        <v>0</v>
      </c>
      <c r="M16" s="95">
        <f t="shared" si="3"/>
        <v>0</v>
      </c>
      <c r="N16" s="95">
        <f t="shared" si="4"/>
        <v>0</v>
      </c>
      <c r="O16" s="95">
        <f t="shared" si="5"/>
        <v>0</v>
      </c>
      <c r="P16" s="95">
        <f t="shared" si="6"/>
        <v>0</v>
      </c>
      <c r="Q16" s="94"/>
      <c r="R16" s="94"/>
      <c r="S16" s="94"/>
      <c r="T16" s="94"/>
      <c r="U16" s="94"/>
      <c r="V16" s="94"/>
      <c r="W16" s="94"/>
      <c r="X16" s="94"/>
      <c r="Y16" s="94"/>
      <c r="Z16" s="94"/>
    </row>
    <row r="17" spans="1:26" x14ac:dyDescent="0.3">
      <c r="A17" s="94" t="s">
        <v>293</v>
      </c>
      <c r="B17" s="94" t="s">
        <v>822</v>
      </c>
      <c r="C17" s="94"/>
      <c r="D17" s="94"/>
      <c r="E17" s="94"/>
      <c r="F17" s="94"/>
      <c r="G17" s="94"/>
      <c r="H17" s="94"/>
      <c r="I17" s="95">
        <v>0</v>
      </c>
      <c r="J17" s="95">
        <f t="shared" si="0"/>
        <v>0</v>
      </c>
      <c r="K17" s="95">
        <f t="shared" si="1"/>
        <v>0</v>
      </c>
      <c r="L17" s="95">
        <f t="shared" si="2"/>
        <v>0</v>
      </c>
      <c r="M17" s="95">
        <f t="shared" si="3"/>
        <v>0</v>
      </c>
      <c r="N17" s="95">
        <f t="shared" si="4"/>
        <v>0</v>
      </c>
      <c r="O17" s="95">
        <f t="shared" si="5"/>
        <v>0</v>
      </c>
      <c r="P17" s="95">
        <f t="shared" si="6"/>
        <v>0</v>
      </c>
      <c r="Q17" s="94"/>
      <c r="R17" s="94"/>
      <c r="S17" s="94"/>
      <c r="T17" s="94"/>
      <c r="U17" s="94"/>
      <c r="V17" s="94"/>
      <c r="W17" s="94"/>
      <c r="X17" s="94"/>
      <c r="Y17" s="94"/>
      <c r="Z17" s="94"/>
    </row>
    <row r="18" spans="1:26" x14ac:dyDescent="0.3">
      <c r="A18" s="94" t="s">
        <v>293</v>
      </c>
      <c r="B18" s="94" t="s">
        <v>83</v>
      </c>
      <c r="C18" s="94">
        <v>347.45</v>
      </c>
      <c r="D18" s="94"/>
      <c r="E18" s="94"/>
      <c r="F18" s="94"/>
      <c r="G18" s="94"/>
      <c r="H18" s="94"/>
      <c r="I18" s="95">
        <v>347.45</v>
      </c>
      <c r="J18" s="95">
        <f t="shared" si="0"/>
        <v>0</v>
      </c>
      <c r="K18" s="95">
        <f t="shared" si="1"/>
        <v>0</v>
      </c>
      <c r="L18" s="95">
        <f t="shared" si="2"/>
        <v>0</v>
      </c>
      <c r="M18" s="95">
        <f t="shared" si="3"/>
        <v>0</v>
      </c>
      <c r="N18" s="95">
        <f t="shared" si="4"/>
        <v>0</v>
      </c>
      <c r="O18" s="95">
        <f t="shared" si="5"/>
        <v>0</v>
      </c>
      <c r="P18" s="95">
        <f t="shared" si="6"/>
        <v>0</v>
      </c>
      <c r="Q18" s="94"/>
      <c r="R18" s="94"/>
      <c r="S18" s="94"/>
      <c r="T18" s="94"/>
      <c r="U18" s="94"/>
      <c r="V18" s="94"/>
      <c r="W18" s="94"/>
      <c r="X18" s="94"/>
      <c r="Y18" s="94"/>
      <c r="Z18" s="94"/>
    </row>
    <row r="19" spans="1:26" x14ac:dyDescent="0.3">
      <c r="A19" s="94" t="s">
        <v>293</v>
      </c>
      <c r="B19" s="94" t="s">
        <v>925</v>
      </c>
      <c r="C19" s="94"/>
      <c r="D19" s="94"/>
      <c r="E19" s="94"/>
      <c r="F19" s="94"/>
      <c r="G19" s="94"/>
      <c r="H19" s="94"/>
      <c r="I19" s="95">
        <v>0</v>
      </c>
      <c r="J19" s="95">
        <f t="shared" si="0"/>
        <v>0</v>
      </c>
      <c r="K19" s="95">
        <f t="shared" si="1"/>
        <v>0</v>
      </c>
      <c r="L19" s="95">
        <f t="shared" si="2"/>
        <v>0</v>
      </c>
      <c r="M19" s="95">
        <f t="shared" si="3"/>
        <v>0</v>
      </c>
      <c r="N19" s="95">
        <f t="shared" si="4"/>
        <v>0</v>
      </c>
      <c r="O19" s="95">
        <f t="shared" si="5"/>
        <v>0</v>
      </c>
      <c r="P19" s="95">
        <f t="shared" si="6"/>
        <v>0</v>
      </c>
      <c r="Q19" s="94"/>
      <c r="R19" s="94"/>
      <c r="S19" s="94"/>
      <c r="T19" s="94"/>
      <c r="U19" s="94"/>
      <c r="V19" s="94"/>
      <c r="W19" s="94"/>
      <c r="X19" s="94"/>
      <c r="Y19" s="94"/>
      <c r="Z19" s="94"/>
    </row>
    <row r="20" spans="1:26" x14ac:dyDescent="0.3">
      <c r="A20" s="94" t="s">
        <v>293</v>
      </c>
      <c r="B20" s="94" t="s">
        <v>929</v>
      </c>
      <c r="C20" s="94"/>
      <c r="D20" s="94"/>
      <c r="E20" s="94"/>
      <c r="F20" s="94"/>
      <c r="G20" s="94"/>
      <c r="H20" s="94"/>
      <c r="I20" s="95">
        <v>0</v>
      </c>
      <c r="J20" s="95">
        <f t="shared" si="0"/>
        <v>0</v>
      </c>
      <c r="K20" s="95">
        <f t="shared" si="1"/>
        <v>0</v>
      </c>
      <c r="L20" s="95">
        <f t="shared" si="2"/>
        <v>0</v>
      </c>
      <c r="M20" s="95">
        <f t="shared" si="3"/>
        <v>0</v>
      </c>
      <c r="N20" s="95">
        <f t="shared" si="4"/>
        <v>0</v>
      </c>
      <c r="O20" s="95">
        <f t="shared" si="5"/>
        <v>0</v>
      </c>
      <c r="P20" s="95">
        <f t="shared" si="6"/>
        <v>0</v>
      </c>
      <c r="Q20" s="94"/>
      <c r="R20" s="94"/>
      <c r="S20" s="94"/>
      <c r="T20" s="94"/>
      <c r="U20" s="94"/>
      <c r="V20" s="94"/>
      <c r="W20" s="94"/>
      <c r="X20" s="94"/>
      <c r="Y20" s="94"/>
      <c r="Z20" s="94"/>
    </row>
    <row r="21" spans="1:26" x14ac:dyDescent="0.3">
      <c r="A21" s="94" t="s">
        <v>293</v>
      </c>
      <c r="B21" s="94" t="s">
        <v>267</v>
      </c>
      <c r="C21" s="94"/>
      <c r="D21" s="94"/>
      <c r="E21" s="94"/>
      <c r="F21" s="94"/>
      <c r="G21" s="94"/>
      <c r="H21" s="94"/>
      <c r="I21" s="95">
        <v>0</v>
      </c>
      <c r="J21" s="95">
        <f t="shared" si="0"/>
        <v>0</v>
      </c>
      <c r="K21" s="95">
        <f t="shared" si="1"/>
        <v>0</v>
      </c>
      <c r="L21" s="95">
        <f t="shared" si="2"/>
        <v>0</v>
      </c>
      <c r="M21" s="95">
        <f t="shared" si="3"/>
        <v>0</v>
      </c>
      <c r="N21" s="95">
        <f t="shared" si="4"/>
        <v>0</v>
      </c>
      <c r="O21" s="95">
        <f t="shared" si="5"/>
        <v>0</v>
      </c>
      <c r="P21" s="95">
        <f t="shared" si="6"/>
        <v>0</v>
      </c>
      <c r="Q21" s="94"/>
      <c r="R21" s="94"/>
      <c r="S21" s="94"/>
      <c r="T21" s="94"/>
      <c r="U21" s="94"/>
      <c r="V21" s="94"/>
      <c r="W21" s="94"/>
      <c r="X21" s="94"/>
      <c r="Y21" s="94"/>
      <c r="Z21" s="94"/>
    </row>
    <row r="22" spans="1:26" x14ac:dyDescent="0.3">
      <c r="A22" s="94" t="s">
        <v>293</v>
      </c>
      <c r="B22" s="94" t="s">
        <v>38</v>
      </c>
      <c r="C22" s="94"/>
      <c r="D22" s="94"/>
      <c r="E22" s="94"/>
      <c r="F22" s="94">
        <v>507.62</v>
      </c>
      <c r="G22" s="94"/>
      <c r="H22" s="94"/>
      <c r="I22" s="95">
        <v>507.62</v>
      </c>
      <c r="J22" s="95">
        <f t="shared" si="0"/>
        <v>0</v>
      </c>
      <c r="K22" s="95">
        <f t="shared" si="1"/>
        <v>0</v>
      </c>
      <c r="L22" s="95">
        <f t="shared" si="2"/>
        <v>0</v>
      </c>
      <c r="M22" s="95">
        <f t="shared" si="3"/>
        <v>0</v>
      </c>
      <c r="N22" s="95">
        <f t="shared" si="4"/>
        <v>20</v>
      </c>
      <c r="O22" s="95">
        <f t="shared" si="5"/>
        <v>0</v>
      </c>
      <c r="P22" s="95">
        <f t="shared" si="6"/>
        <v>20</v>
      </c>
      <c r="Q22" s="94"/>
      <c r="R22" s="94"/>
      <c r="S22" s="94"/>
      <c r="T22" s="94"/>
      <c r="U22" s="94"/>
      <c r="V22" s="94"/>
      <c r="W22" s="94"/>
      <c r="X22" s="94"/>
      <c r="Y22" s="94"/>
      <c r="Z22" s="94"/>
    </row>
    <row r="23" spans="1:26" x14ac:dyDescent="0.3">
      <c r="A23" s="94" t="s">
        <v>293</v>
      </c>
      <c r="B23" s="94" t="s">
        <v>963</v>
      </c>
      <c r="C23" s="94"/>
      <c r="D23" s="94"/>
      <c r="E23" s="94"/>
      <c r="F23" s="94"/>
      <c r="G23" s="94"/>
      <c r="H23" s="94"/>
      <c r="I23" s="95">
        <v>0</v>
      </c>
      <c r="J23" s="95">
        <f t="shared" si="0"/>
        <v>0</v>
      </c>
      <c r="K23" s="95">
        <f t="shared" si="1"/>
        <v>0</v>
      </c>
      <c r="L23" s="95">
        <f t="shared" si="2"/>
        <v>0</v>
      </c>
      <c r="M23" s="95">
        <f t="shared" si="3"/>
        <v>0</v>
      </c>
      <c r="N23" s="95">
        <f t="shared" si="4"/>
        <v>0</v>
      </c>
      <c r="O23" s="95">
        <f t="shared" si="5"/>
        <v>0</v>
      </c>
      <c r="P23" s="95">
        <f t="shared" si="6"/>
        <v>0</v>
      </c>
      <c r="Q23" s="94"/>
      <c r="R23" s="94"/>
      <c r="S23" s="94"/>
      <c r="T23" s="94"/>
      <c r="U23" s="94"/>
      <c r="V23" s="94"/>
      <c r="W23" s="94"/>
      <c r="X23" s="94"/>
      <c r="Y23" s="94"/>
      <c r="Z23" s="94"/>
    </row>
    <row r="24" spans="1:26" x14ac:dyDescent="0.3">
      <c r="A24" s="94" t="s">
        <v>293</v>
      </c>
      <c r="B24" s="94" t="s">
        <v>224</v>
      </c>
      <c r="C24" s="94"/>
      <c r="D24" s="94"/>
      <c r="E24" s="94"/>
      <c r="F24" s="94"/>
      <c r="G24" s="94"/>
      <c r="H24" s="94"/>
      <c r="I24" s="95">
        <v>0</v>
      </c>
      <c r="J24" s="95">
        <f t="shared" si="0"/>
        <v>0</v>
      </c>
      <c r="K24" s="95">
        <f t="shared" si="1"/>
        <v>0</v>
      </c>
      <c r="L24" s="95">
        <f t="shared" si="2"/>
        <v>0</v>
      </c>
      <c r="M24" s="95">
        <f t="shared" si="3"/>
        <v>0</v>
      </c>
      <c r="N24" s="95">
        <f t="shared" si="4"/>
        <v>0</v>
      </c>
      <c r="O24" s="95">
        <f t="shared" si="5"/>
        <v>0</v>
      </c>
      <c r="P24" s="95">
        <f t="shared" si="6"/>
        <v>0</v>
      </c>
      <c r="Q24" s="94"/>
      <c r="R24" s="94"/>
      <c r="S24" s="94"/>
      <c r="T24" s="94"/>
      <c r="U24" s="94"/>
      <c r="V24" s="94"/>
      <c r="W24" s="94"/>
      <c r="X24" s="94"/>
      <c r="Y24" s="94"/>
      <c r="Z24" s="94"/>
    </row>
    <row r="25" spans="1:26" x14ac:dyDescent="0.3">
      <c r="A25" s="94" t="s">
        <v>293</v>
      </c>
      <c r="B25" s="94" t="s">
        <v>106</v>
      </c>
      <c r="C25" s="94"/>
      <c r="D25" s="94"/>
      <c r="E25" s="94"/>
      <c r="F25" s="94">
        <v>572.03</v>
      </c>
      <c r="G25" s="94"/>
      <c r="H25" s="94"/>
      <c r="I25" s="95">
        <v>572.03</v>
      </c>
      <c r="J25" s="95">
        <f t="shared" si="0"/>
        <v>0</v>
      </c>
      <c r="K25" s="95">
        <f t="shared" si="1"/>
        <v>0</v>
      </c>
      <c r="L25" s="95">
        <f t="shared" si="2"/>
        <v>0</v>
      </c>
      <c r="M25" s="95">
        <f t="shared" si="3"/>
        <v>0</v>
      </c>
      <c r="N25" s="95">
        <f t="shared" si="4"/>
        <v>20</v>
      </c>
      <c r="O25" s="95">
        <f t="shared" si="5"/>
        <v>0</v>
      </c>
      <c r="P25" s="95">
        <f t="shared" si="6"/>
        <v>20</v>
      </c>
      <c r="Q25" s="94"/>
      <c r="R25" s="94"/>
      <c r="S25" s="94"/>
      <c r="T25" s="94"/>
      <c r="U25" s="94"/>
      <c r="V25" s="94"/>
      <c r="W25" s="94"/>
      <c r="X25" s="94"/>
      <c r="Y25" s="94"/>
      <c r="Z25" s="94"/>
    </row>
    <row r="26" spans="1:26" x14ac:dyDescent="0.3">
      <c r="A26" s="94" t="s">
        <v>293</v>
      </c>
      <c r="B26" s="94" t="s">
        <v>1002</v>
      </c>
      <c r="C26" s="94"/>
      <c r="D26" s="94"/>
      <c r="E26" s="94"/>
      <c r="F26" s="94"/>
      <c r="G26" s="94"/>
      <c r="H26" s="94"/>
      <c r="I26" s="95">
        <v>0</v>
      </c>
      <c r="J26" s="95">
        <f t="shared" si="0"/>
        <v>0</v>
      </c>
      <c r="K26" s="95">
        <f t="shared" si="1"/>
        <v>0</v>
      </c>
      <c r="L26" s="95">
        <f t="shared" si="2"/>
        <v>0</v>
      </c>
      <c r="M26" s="95">
        <f t="shared" si="3"/>
        <v>0</v>
      </c>
      <c r="N26" s="95">
        <f t="shared" si="4"/>
        <v>0</v>
      </c>
      <c r="O26" s="95">
        <f t="shared" si="5"/>
        <v>0</v>
      </c>
      <c r="P26" s="95">
        <f t="shared" si="6"/>
        <v>0</v>
      </c>
      <c r="Q26" s="94"/>
      <c r="R26" s="94"/>
      <c r="S26" s="94"/>
      <c r="T26" s="94"/>
      <c r="U26" s="94"/>
      <c r="V26" s="94"/>
      <c r="W26" s="94"/>
      <c r="X26" s="94"/>
      <c r="Y26" s="94"/>
      <c r="Z26" s="94"/>
    </row>
    <row r="27" spans="1:26" x14ac:dyDescent="0.3">
      <c r="A27" s="94" t="s">
        <v>293</v>
      </c>
      <c r="B27" s="94" t="s">
        <v>259</v>
      </c>
      <c r="C27" s="94"/>
      <c r="D27" s="94"/>
      <c r="E27" s="94"/>
      <c r="F27" s="94">
        <v>507.62</v>
      </c>
      <c r="G27" s="94">
        <v>0</v>
      </c>
      <c r="H27" s="94"/>
      <c r="I27" s="95">
        <v>507.62</v>
      </c>
      <c r="J27" s="95">
        <f t="shared" si="0"/>
        <v>0</v>
      </c>
      <c r="K27" s="95">
        <f t="shared" si="1"/>
        <v>0</v>
      </c>
      <c r="L27" s="95">
        <f t="shared" si="2"/>
        <v>0</v>
      </c>
      <c r="M27" s="95">
        <f t="shared" si="3"/>
        <v>0</v>
      </c>
      <c r="N27" s="95">
        <f t="shared" si="4"/>
        <v>20</v>
      </c>
      <c r="O27" s="95">
        <f t="shared" si="5"/>
        <v>0</v>
      </c>
      <c r="P27" s="95">
        <f t="shared" si="6"/>
        <v>20</v>
      </c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spans="1:26" x14ac:dyDescent="0.3">
      <c r="A28" s="94" t="s">
        <v>293</v>
      </c>
      <c r="B28" s="94" t="s">
        <v>263</v>
      </c>
      <c r="C28" s="94"/>
      <c r="D28" s="94"/>
      <c r="E28" s="94"/>
      <c r="F28" s="94">
        <v>402.34</v>
      </c>
      <c r="G28" s="94"/>
      <c r="H28" s="94"/>
      <c r="I28" s="95">
        <v>402.34</v>
      </c>
      <c r="J28" s="95">
        <f t="shared" si="0"/>
        <v>0</v>
      </c>
      <c r="K28" s="95">
        <f t="shared" si="1"/>
        <v>0</v>
      </c>
      <c r="L28" s="95">
        <f t="shared" si="2"/>
        <v>0</v>
      </c>
      <c r="M28" s="95">
        <f t="shared" si="3"/>
        <v>0</v>
      </c>
      <c r="N28" s="95">
        <f t="shared" si="4"/>
        <v>20</v>
      </c>
      <c r="O28" s="95">
        <f t="shared" si="5"/>
        <v>0</v>
      </c>
      <c r="P28" s="95">
        <f t="shared" si="6"/>
        <v>20</v>
      </c>
      <c r="Q28" s="94"/>
      <c r="R28" s="94"/>
      <c r="S28" s="94"/>
      <c r="T28" s="94"/>
      <c r="U28" s="94"/>
      <c r="V28" s="94"/>
      <c r="W28" s="94"/>
      <c r="X28" s="94"/>
      <c r="Y28" s="94"/>
      <c r="Z28" s="94"/>
    </row>
    <row r="29" spans="1:26" x14ac:dyDescent="0.3">
      <c r="A29" s="94" t="s">
        <v>293</v>
      </c>
      <c r="B29" s="94" t="s">
        <v>1055</v>
      </c>
      <c r="C29" s="94"/>
      <c r="D29" s="94"/>
      <c r="E29" s="94"/>
      <c r="F29" s="94"/>
      <c r="G29" s="94"/>
      <c r="H29" s="94"/>
      <c r="I29" s="95">
        <v>0</v>
      </c>
      <c r="J29" s="95">
        <f t="shared" si="0"/>
        <v>0</v>
      </c>
      <c r="K29" s="95">
        <f t="shared" si="1"/>
        <v>0</v>
      </c>
      <c r="L29" s="95">
        <f t="shared" si="2"/>
        <v>0</v>
      </c>
      <c r="M29" s="95">
        <f t="shared" si="3"/>
        <v>0</v>
      </c>
      <c r="N29" s="95">
        <f t="shared" si="4"/>
        <v>0</v>
      </c>
      <c r="O29" s="95">
        <f t="shared" si="5"/>
        <v>0</v>
      </c>
      <c r="P29" s="95">
        <f t="shared" si="6"/>
        <v>0</v>
      </c>
      <c r="Q29" s="94"/>
      <c r="R29" s="94"/>
      <c r="S29" s="94"/>
      <c r="T29" s="94"/>
      <c r="U29" s="94"/>
      <c r="V29" s="94"/>
      <c r="W29" s="94"/>
      <c r="X29" s="94"/>
      <c r="Y29" s="94"/>
      <c r="Z29" s="94"/>
    </row>
    <row r="30" spans="1:26" x14ac:dyDescent="0.3">
      <c r="A30" s="94" t="s">
        <v>293</v>
      </c>
      <c r="B30" s="94" t="s">
        <v>1108</v>
      </c>
      <c r="C30" s="94"/>
      <c r="D30" s="94"/>
      <c r="E30" s="94"/>
      <c r="F30" s="94"/>
      <c r="G30" s="94"/>
      <c r="H30" s="94"/>
      <c r="I30" s="95">
        <v>0</v>
      </c>
      <c r="J30" s="95">
        <f t="shared" si="0"/>
        <v>0</v>
      </c>
      <c r="K30" s="95">
        <f t="shared" si="1"/>
        <v>0</v>
      </c>
      <c r="L30" s="95">
        <f t="shared" si="2"/>
        <v>0</v>
      </c>
      <c r="M30" s="95">
        <f t="shared" si="3"/>
        <v>0</v>
      </c>
      <c r="N30" s="95">
        <f t="shared" si="4"/>
        <v>0</v>
      </c>
      <c r="O30" s="95">
        <f t="shared" si="5"/>
        <v>0</v>
      </c>
      <c r="P30" s="95">
        <f t="shared" si="6"/>
        <v>0</v>
      </c>
      <c r="Q30" s="94"/>
      <c r="R30" s="94"/>
      <c r="S30" s="94"/>
      <c r="T30" s="94"/>
      <c r="U30" s="94"/>
      <c r="V30" s="94"/>
      <c r="W30" s="94"/>
      <c r="X30" s="94"/>
      <c r="Y30" s="94"/>
      <c r="Z30" s="94"/>
    </row>
    <row r="31" spans="1:26" x14ac:dyDescent="0.3">
      <c r="A31" s="94" t="s">
        <v>293</v>
      </c>
      <c r="B31" s="94" t="s">
        <v>1122</v>
      </c>
      <c r="C31" s="94"/>
      <c r="D31" s="94"/>
      <c r="E31" s="94"/>
      <c r="F31" s="94"/>
      <c r="G31" s="94">
        <v>406.77</v>
      </c>
      <c r="H31" s="94"/>
      <c r="I31" s="95">
        <v>406.77</v>
      </c>
      <c r="J31" s="95">
        <f t="shared" si="0"/>
        <v>0</v>
      </c>
      <c r="K31" s="95">
        <f t="shared" si="1"/>
        <v>0</v>
      </c>
      <c r="L31" s="95">
        <f t="shared" si="2"/>
        <v>0</v>
      </c>
      <c r="M31" s="95">
        <f t="shared" si="3"/>
        <v>0</v>
      </c>
      <c r="N31" s="95">
        <f t="shared" si="4"/>
        <v>0</v>
      </c>
      <c r="O31" s="95">
        <f t="shared" si="5"/>
        <v>50</v>
      </c>
      <c r="P31" s="95">
        <f t="shared" si="6"/>
        <v>50</v>
      </c>
      <c r="Q31" s="94"/>
      <c r="R31" s="94"/>
      <c r="S31" s="94"/>
      <c r="T31" s="94"/>
      <c r="U31" s="94"/>
      <c r="V31" s="94"/>
      <c r="W31" s="94"/>
      <c r="X31" s="94"/>
      <c r="Y31" s="94"/>
      <c r="Z31" s="94"/>
    </row>
    <row r="32" spans="1:26" x14ac:dyDescent="0.3">
      <c r="A32" s="94" t="s">
        <v>293</v>
      </c>
      <c r="B32" s="94" t="s">
        <v>207</v>
      </c>
      <c r="C32" s="94"/>
      <c r="D32" s="94"/>
      <c r="E32" s="94"/>
      <c r="F32" s="94">
        <v>507.62</v>
      </c>
      <c r="G32" s="94"/>
      <c r="H32" s="94"/>
      <c r="I32" s="95">
        <v>507.62</v>
      </c>
      <c r="J32" s="95">
        <f t="shared" si="0"/>
        <v>0</v>
      </c>
      <c r="K32" s="95">
        <f t="shared" si="1"/>
        <v>0</v>
      </c>
      <c r="L32" s="95">
        <f t="shared" si="2"/>
        <v>0</v>
      </c>
      <c r="M32" s="95">
        <f t="shared" si="3"/>
        <v>0</v>
      </c>
      <c r="N32" s="95">
        <f t="shared" si="4"/>
        <v>20</v>
      </c>
      <c r="O32" s="95">
        <f t="shared" si="5"/>
        <v>0</v>
      </c>
      <c r="P32" s="95">
        <f t="shared" si="6"/>
        <v>20</v>
      </c>
      <c r="Q32" s="94"/>
      <c r="R32" s="94"/>
      <c r="S32" s="94"/>
      <c r="T32" s="94"/>
      <c r="U32" s="94"/>
      <c r="V32" s="94"/>
      <c r="W32" s="94"/>
      <c r="X32" s="94"/>
      <c r="Y32" s="94"/>
      <c r="Z32" s="94"/>
    </row>
    <row r="33" spans="1:26" x14ac:dyDescent="0.3">
      <c r="A33" s="94" t="s">
        <v>293</v>
      </c>
      <c r="B33" s="94" t="s">
        <v>117</v>
      </c>
      <c r="C33" s="94"/>
      <c r="D33" s="94"/>
      <c r="E33" s="94"/>
      <c r="F33" s="94">
        <v>507.62</v>
      </c>
      <c r="G33" s="94">
        <v>406.77</v>
      </c>
      <c r="H33" s="94"/>
      <c r="I33" s="95">
        <v>914.39</v>
      </c>
      <c r="J33" s="95">
        <f t="shared" si="0"/>
        <v>0</v>
      </c>
      <c r="K33" s="95">
        <f t="shared" si="1"/>
        <v>0</v>
      </c>
      <c r="L33" s="95">
        <f t="shared" si="2"/>
        <v>0</v>
      </c>
      <c r="M33" s="95">
        <f t="shared" si="3"/>
        <v>0</v>
      </c>
      <c r="N33" s="95">
        <f t="shared" si="4"/>
        <v>20</v>
      </c>
      <c r="O33" s="95">
        <f t="shared" si="5"/>
        <v>50</v>
      </c>
      <c r="P33" s="95">
        <f t="shared" si="6"/>
        <v>70</v>
      </c>
      <c r="Q33" s="94"/>
      <c r="R33" s="94"/>
      <c r="S33" s="94"/>
      <c r="T33" s="94"/>
      <c r="U33" s="94"/>
      <c r="V33" s="94"/>
      <c r="W33" s="94"/>
      <c r="X33" s="94"/>
      <c r="Y33" s="94"/>
      <c r="Z33" s="94"/>
    </row>
    <row r="34" spans="1:26" x14ac:dyDescent="0.3">
      <c r="A34" s="94" t="s">
        <v>293</v>
      </c>
      <c r="B34" s="94" t="s">
        <v>1163</v>
      </c>
      <c r="C34" s="94"/>
      <c r="D34" s="94"/>
      <c r="E34" s="94"/>
      <c r="F34" s="94"/>
      <c r="G34" s="94"/>
      <c r="H34" s="94"/>
      <c r="I34" s="95">
        <v>0</v>
      </c>
      <c r="J34" s="95">
        <f t="shared" si="0"/>
        <v>0</v>
      </c>
      <c r="K34" s="95">
        <f t="shared" si="1"/>
        <v>0</v>
      </c>
      <c r="L34" s="95">
        <f t="shared" si="2"/>
        <v>0</v>
      </c>
      <c r="M34" s="95">
        <f t="shared" si="3"/>
        <v>0</v>
      </c>
      <c r="N34" s="95">
        <f t="shared" si="4"/>
        <v>0</v>
      </c>
      <c r="O34" s="95">
        <f t="shared" si="5"/>
        <v>0</v>
      </c>
      <c r="P34" s="95">
        <f t="shared" si="6"/>
        <v>0</v>
      </c>
      <c r="Q34" s="94"/>
      <c r="R34" s="94"/>
      <c r="S34" s="94"/>
      <c r="T34" s="94"/>
      <c r="U34" s="94"/>
      <c r="V34" s="94"/>
      <c r="W34" s="94"/>
      <c r="X34" s="94"/>
      <c r="Y34" s="94"/>
      <c r="Z34" s="94"/>
    </row>
    <row r="35" spans="1:26" x14ac:dyDescent="0.3">
      <c r="A35" s="94" t="s">
        <v>293</v>
      </c>
      <c r="B35" s="94" t="s">
        <v>1170</v>
      </c>
      <c r="C35" s="94"/>
      <c r="D35" s="94"/>
      <c r="E35" s="94"/>
      <c r="F35" s="94">
        <v>257.81</v>
      </c>
      <c r="G35" s="94"/>
      <c r="H35" s="94"/>
      <c r="I35" s="95">
        <v>257.81</v>
      </c>
      <c r="J35" s="95">
        <f t="shared" si="0"/>
        <v>0</v>
      </c>
      <c r="K35" s="95">
        <f t="shared" si="1"/>
        <v>0</v>
      </c>
      <c r="L35" s="95">
        <f t="shared" si="2"/>
        <v>0</v>
      </c>
      <c r="M35" s="95">
        <f t="shared" si="3"/>
        <v>0</v>
      </c>
      <c r="N35" s="95">
        <f t="shared" si="4"/>
        <v>20</v>
      </c>
      <c r="O35" s="95">
        <f t="shared" si="5"/>
        <v>0</v>
      </c>
      <c r="P35" s="95">
        <f t="shared" si="6"/>
        <v>20</v>
      </c>
      <c r="Q35" s="94"/>
      <c r="R35" s="94"/>
      <c r="S35" s="94"/>
      <c r="T35" s="94"/>
      <c r="U35" s="94"/>
      <c r="V35" s="94"/>
      <c r="W35" s="94"/>
      <c r="X35" s="94"/>
      <c r="Y35" s="94"/>
      <c r="Z35" s="94"/>
    </row>
    <row r="36" spans="1:26" x14ac:dyDescent="0.3">
      <c r="A36" s="94" t="s">
        <v>293</v>
      </c>
      <c r="B36" s="94" t="s">
        <v>284</v>
      </c>
      <c r="C36" s="94"/>
      <c r="D36" s="94"/>
      <c r="E36" s="94"/>
      <c r="F36" s="94">
        <v>507.62</v>
      </c>
      <c r="G36" s="94"/>
      <c r="H36" s="94"/>
      <c r="I36" s="95">
        <v>507.62</v>
      </c>
      <c r="J36" s="95">
        <f t="shared" si="0"/>
        <v>0</v>
      </c>
      <c r="K36" s="95">
        <f t="shared" si="1"/>
        <v>0</v>
      </c>
      <c r="L36" s="95">
        <f t="shared" si="2"/>
        <v>0</v>
      </c>
      <c r="M36" s="95">
        <f t="shared" si="3"/>
        <v>0</v>
      </c>
      <c r="N36" s="95">
        <f t="shared" si="4"/>
        <v>20</v>
      </c>
      <c r="O36" s="95">
        <f t="shared" si="5"/>
        <v>0</v>
      </c>
      <c r="P36" s="95">
        <f t="shared" si="6"/>
        <v>20</v>
      </c>
      <c r="Q36" s="94"/>
      <c r="R36" s="94"/>
      <c r="S36" s="94"/>
      <c r="T36" s="94"/>
      <c r="U36" s="94"/>
      <c r="V36" s="94"/>
      <c r="W36" s="94"/>
      <c r="X36" s="94"/>
      <c r="Y36" s="94"/>
      <c r="Z36" s="94"/>
    </row>
    <row r="37" spans="1:26" x14ac:dyDescent="0.3">
      <c r="A37" s="94" t="s">
        <v>293</v>
      </c>
      <c r="B37" s="94" t="s">
        <v>94</v>
      </c>
      <c r="C37" s="94"/>
      <c r="D37" s="94"/>
      <c r="E37" s="94"/>
      <c r="F37" s="94">
        <v>572.03</v>
      </c>
      <c r="G37" s="94">
        <v>406.77</v>
      </c>
      <c r="H37" s="94"/>
      <c r="I37" s="95">
        <v>978.8</v>
      </c>
      <c r="J37" s="95">
        <f t="shared" si="0"/>
        <v>0</v>
      </c>
      <c r="K37" s="95">
        <f t="shared" si="1"/>
        <v>0</v>
      </c>
      <c r="L37" s="95">
        <f t="shared" si="2"/>
        <v>0</v>
      </c>
      <c r="M37" s="95">
        <f t="shared" si="3"/>
        <v>0</v>
      </c>
      <c r="N37" s="95">
        <f t="shared" si="4"/>
        <v>20</v>
      </c>
      <c r="O37" s="95">
        <f t="shared" si="5"/>
        <v>50</v>
      </c>
      <c r="P37" s="95">
        <f t="shared" si="6"/>
        <v>70</v>
      </c>
      <c r="Q37" s="94"/>
      <c r="R37" s="94"/>
      <c r="S37" s="94"/>
      <c r="T37" s="94"/>
      <c r="U37" s="94"/>
      <c r="V37" s="94"/>
      <c r="W37" s="94"/>
      <c r="X37" s="94"/>
      <c r="Y37" s="94"/>
      <c r="Z37" s="94"/>
    </row>
    <row r="38" spans="1:26" x14ac:dyDescent="0.3">
      <c r="A38" s="94" t="s">
        <v>293</v>
      </c>
      <c r="B38" s="94" t="s">
        <v>272</v>
      </c>
      <c r="C38" s="94"/>
      <c r="D38" s="94"/>
      <c r="E38" s="94"/>
      <c r="F38" s="94">
        <v>572.03</v>
      </c>
      <c r="G38" s="94">
        <v>406.77</v>
      </c>
      <c r="H38" s="94"/>
      <c r="I38" s="95">
        <v>978.8</v>
      </c>
      <c r="J38" s="95">
        <f t="shared" si="0"/>
        <v>0</v>
      </c>
      <c r="K38" s="95">
        <f t="shared" si="1"/>
        <v>0</v>
      </c>
      <c r="L38" s="95">
        <f t="shared" si="2"/>
        <v>0</v>
      </c>
      <c r="M38" s="95">
        <f t="shared" si="3"/>
        <v>0</v>
      </c>
      <c r="N38" s="95">
        <f t="shared" si="4"/>
        <v>20</v>
      </c>
      <c r="O38" s="95">
        <f t="shared" si="5"/>
        <v>50</v>
      </c>
      <c r="P38" s="95">
        <f t="shared" si="6"/>
        <v>70</v>
      </c>
      <c r="Q38" s="94"/>
      <c r="R38" s="94"/>
      <c r="S38" s="94"/>
      <c r="T38" s="94"/>
      <c r="U38" s="94"/>
      <c r="V38" s="94"/>
      <c r="W38" s="94"/>
      <c r="X38" s="94"/>
      <c r="Y38" s="94"/>
      <c r="Z38" s="94"/>
    </row>
    <row r="39" spans="1:26" x14ac:dyDescent="0.3">
      <c r="A39" s="94" t="s">
        <v>293</v>
      </c>
      <c r="B39" s="94" t="s">
        <v>1236</v>
      </c>
      <c r="C39" s="94"/>
      <c r="D39" s="94"/>
      <c r="E39" s="94"/>
      <c r="F39" s="94"/>
      <c r="G39" s="94"/>
      <c r="H39" s="94"/>
      <c r="I39" s="95">
        <v>0</v>
      </c>
      <c r="J39" s="95">
        <f t="shared" si="0"/>
        <v>0</v>
      </c>
      <c r="K39" s="95">
        <f t="shared" si="1"/>
        <v>0</v>
      </c>
      <c r="L39" s="95">
        <f t="shared" si="2"/>
        <v>0</v>
      </c>
      <c r="M39" s="95">
        <f t="shared" si="3"/>
        <v>0</v>
      </c>
      <c r="N39" s="95">
        <f t="shared" si="4"/>
        <v>0</v>
      </c>
      <c r="O39" s="95">
        <f t="shared" si="5"/>
        <v>0</v>
      </c>
      <c r="P39" s="95">
        <f t="shared" si="6"/>
        <v>0</v>
      </c>
      <c r="Q39" s="94"/>
      <c r="R39" s="94"/>
      <c r="S39" s="94"/>
      <c r="T39" s="94"/>
      <c r="U39" s="94"/>
      <c r="V39" s="94"/>
      <c r="W39" s="94"/>
      <c r="X39" s="94"/>
      <c r="Y39" s="94"/>
      <c r="Z39" s="94"/>
    </row>
    <row r="40" spans="1:26" x14ac:dyDescent="0.3">
      <c r="A40" s="94" t="s">
        <v>293</v>
      </c>
      <c r="B40" s="94" t="s">
        <v>126</v>
      </c>
      <c r="C40" s="94"/>
      <c r="D40" s="94"/>
      <c r="E40" s="94"/>
      <c r="F40" s="94"/>
      <c r="G40" s="94">
        <v>406.77</v>
      </c>
      <c r="H40" s="94"/>
      <c r="I40" s="95">
        <v>406.77</v>
      </c>
      <c r="J40" s="95">
        <f t="shared" si="0"/>
        <v>0</v>
      </c>
      <c r="K40" s="95">
        <f t="shared" si="1"/>
        <v>0</v>
      </c>
      <c r="L40" s="95">
        <f t="shared" si="2"/>
        <v>0</v>
      </c>
      <c r="M40" s="95">
        <f t="shared" si="3"/>
        <v>0</v>
      </c>
      <c r="N40" s="95">
        <f t="shared" si="4"/>
        <v>0</v>
      </c>
      <c r="O40" s="95">
        <f t="shared" si="5"/>
        <v>50</v>
      </c>
      <c r="P40" s="95">
        <f t="shared" si="6"/>
        <v>50</v>
      </c>
      <c r="Q40" s="94"/>
      <c r="R40" s="94"/>
      <c r="S40" s="94"/>
      <c r="T40" s="94"/>
      <c r="U40" s="94"/>
      <c r="V40" s="94"/>
      <c r="W40" s="94"/>
      <c r="X40" s="94"/>
      <c r="Y40" s="94"/>
      <c r="Z40" s="94"/>
    </row>
    <row r="41" spans="1:26" x14ac:dyDescent="0.3">
      <c r="A41" s="94" t="s">
        <v>293</v>
      </c>
      <c r="B41" s="94" t="s">
        <v>1345</v>
      </c>
      <c r="C41" s="94"/>
      <c r="D41" s="94"/>
      <c r="E41" s="94"/>
      <c r="F41" s="94"/>
      <c r="G41" s="94"/>
      <c r="H41" s="94"/>
      <c r="I41" s="95">
        <v>0</v>
      </c>
      <c r="J41" s="95">
        <f t="shared" si="0"/>
        <v>0</v>
      </c>
      <c r="K41" s="95">
        <f t="shared" si="1"/>
        <v>0</v>
      </c>
      <c r="L41" s="95">
        <f t="shared" si="2"/>
        <v>0</v>
      </c>
      <c r="M41" s="95">
        <f t="shared" si="3"/>
        <v>0</v>
      </c>
      <c r="N41" s="95">
        <f t="shared" si="4"/>
        <v>0</v>
      </c>
      <c r="O41" s="95">
        <f t="shared" si="5"/>
        <v>0</v>
      </c>
      <c r="P41" s="95">
        <f t="shared" si="6"/>
        <v>0</v>
      </c>
      <c r="Q41" s="94"/>
      <c r="R41" s="94"/>
      <c r="S41" s="94"/>
      <c r="T41" s="94"/>
      <c r="U41" s="94"/>
      <c r="V41" s="94"/>
      <c r="W41" s="94"/>
      <c r="X41" s="94"/>
      <c r="Y41" s="94"/>
      <c r="Z41" s="94"/>
    </row>
    <row r="42" spans="1:26" x14ac:dyDescent="0.3">
      <c r="A42" s="94" t="s">
        <v>293</v>
      </c>
      <c r="B42" s="94" t="s">
        <v>43</v>
      </c>
      <c r="C42" s="94"/>
      <c r="D42" s="94"/>
      <c r="E42" s="94"/>
      <c r="F42" s="94">
        <v>402.34</v>
      </c>
      <c r="G42" s="94">
        <v>406.77</v>
      </c>
      <c r="H42" s="94"/>
      <c r="I42" s="95">
        <v>809.1099999999999</v>
      </c>
      <c r="J42" s="95">
        <f t="shared" si="0"/>
        <v>0</v>
      </c>
      <c r="K42" s="95">
        <f t="shared" si="1"/>
        <v>0</v>
      </c>
      <c r="L42" s="95">
        <f t="shared" si="2"/>
        <v>0</v>
      </c>
      <c r="M42" s="95">
        <f t="shared" si="3"/>
        <v>0</v>
      </c>
      <c r="N42" s="95">
        <f t="shared" si="4"/>
        <v>20</v>
      </c>
      <c r="O42" s="95">
        <f t="shared" si="5"/>
        <v>50</v>
      </c>
      <c r="P42" s="95">
        <f t="shared" si="6"/>
        <v>70</v>
      </c>
      <c r="Q42" s="94"/>
      <c r="R42" s="94"/>
      <c r="S42" s="94"/>
      <c r="T42" s="94"/>
      <c r="U42" s="94"/>
      <c r="V42" s="94"/>
      <c r="W42" s="94"/>
      <c r="X42" s="94"/>
      <c r="Y42" s="94"/>
      <c r="Z42" s="94"/>
    </row>
    <row r="43" spans="1:26" x14ac:dyDescent="0.3">
      <c r="A43" s="94" t="s">
        <v>293</v>
      </c>
      <c r="B43" s="94" t="s">
        <v>1360</v>
      </c>
      <c r="C43" s="94"/>
      <c r="D43" s="94"/>
      <c r="E43" s="94"/>
      <c r="F43" s="94">
        <v>402.34</v>
      </c>
      <c r="G43" s="94">
        <v>406.77</v>
      </c>
      <c r="H43" s="94"/>
      <c r="I43" s="95">
        <v>809.1099999999999</v>
      </c>
      <c r="J43" s="95">
        <f t="shared" si="0"/>
        <v>0</v>
      </c>
      <c r="K43" s="95">
        <f t="shared" si="1"/>
        <v>0</v>
      </c>
      <c r="L43" s="95">
        <f t="shared" si="2"/>
        <v>0</v>
      </c>
      <c r="M43" s="95">
        <f t="shared" si="3"/>
        <v>0</v>
      </c>
      <c r="N43" s="95">
        <f t="shared" si="4"/>
        <v>20</v>
      </c>
      <c r="O43" s="95">
        <f t="shared" si="5"/>
        <v>50</v>
      </c>
      <c r="P43" s="95">
        <f t="shared" si="6"/>
        <v>70</v>
      </c>
      <c r="Q43" s="94"/>
      <c r="R43" s="94"/>
      <c r="S43" s="94"/>
      <c r="T43" s="94"/>
      <c r="U43" s="94"/>
      <c r="V43" s="94"/>
      <c r="W43" s="94"/>
      <c r="X43" s="94"/>
      <c r="Y43" s="94"/>
      <c r="Z43" s="94"/>
    </row>
    <row r="44" spans="1:26" x14ac:dyDescent="0.3">
      <c r="A44" s="94" t="s">
        <v>293</v>
      </c>
      <c r="B44" s="94" t="s">
        <v>1382</v>
      </c>
      <c r="C44" s="94"/>
      <c r="D44" s="94"/>
      <c r="E44" s="94"/>
      <c r="F44" s="94">
        <v>507.62</v>
      </c>
      <c r="G44" s="94"/>
      <c r="H44" s="94"/>
      <c r="I44" s="95">
        <v>507.62</v>
      </c>
      <c r="J44" s="95">
        <f t="shared" si="0"/>
        <v>0</v>
      </c>
      <c r="K44" s="95">
        <f t="shared" si="1"/>
        <v>0</v>
      </c>
      <c r="L44" s="95">
        <f t="shared" si="2"/>
        <v>0</v>
      </c>
      <c r="M44" s="95">
        <f t="shared" si="3"/>
        <v>0</v>
      </c>
      <c r="N44" s="95">
        <f t="shared" si="4"/>
        <v>20</v>
      </c>
      <c r="O44" s="95">
        <f t="shared" si="5"/>
        <v>0</v>
      </c>
      <c r="P44" s="95">
        <f t="shared" si="6"/>
        <v>20</v>
      </c>
      <c r="Q44" s="94"/>
      <c r="R44" s="94"/>
      <c r="S44" s="94"/>
      <c r="T44" s="94"/>
      <c r="U44" s="94"/>
      <c r="V44" s="94"/>
      <c r="W44" s="94"/>
      <c r="X44" s="94"/>
      <c r="Y44" s="94"/>
      <c r="Z44" s="94"/>
    </row>
    <row r="45" spans="1:26" x14ac:dyDescent="0.3">
      <c r="A45" s="94" t="s">
        <v>293</v>
      </c>
      <c r="B45" s="94" t="s">
        <v>89</v>
      </c>
      <c r="C45" s="94"/>
      <c r="D45" s="94"/>
      <c r="E45" s="94"/>
      <c r="F45" s="94">
        <v>507.62</v>
      </c>
      <c r="G45" s="94">
        <v>406.77</v>
      </c>
      <c r="H45" s="94"/>
      <c r="I45" s="95">
        <v>914.39</v>
      </c>
      <c r="J45" s="95">
        <f t="shared" si="0"/>
        <v>0</v>
      </c>
      <c r="K45" s="95">
        <f t="shared" si="1"/>
        <v>0</v>
      </c>
      <c r="L45" s="95">
        <f t="shared" si="2"/>
        <v>0</v>
      </c>
      <c r="M45" s="95">
        <f t="shared" si="3"/>
        <v>0</v>
      </c>
      <c r="N45" s="95">
        <f t="shared" si="4"/>
        <v>20</v>
      </c>
      <c r="O45" s="95">
        <f t="shared" si="5"/>
        <v>50</v>
      </c>
      <c r="P45" s="95">
        <f t="shared" si="6"/>
        <v>70</v>
      </c>
      <c r="Q45" s="94"/>
      <c r="R45" s="94"/>
      <c r="S45" s="94"/>
      <c r="T45" s="94"/>
      <c r="U45" s="94"/>
      <c r="V45" s="94"/>
      <c r="W45" s="94"/>
      <c r="X45" s="94"/>
      <c r="Y45" s="94"/>
      <c r="Z45" s="94"/>
    </row>
    <row r="46" spans="1:26" x14ac:dyDescent="0.3">
      <c r="A46" s="94" t="s">
        <v>293</v>
      </c>
      <c r="B46" s="94" t="s">
        <v>101</v>
      </c>
      <c r="C46" s="94"/>
      <c r="D46" s="94"/>
      <c r="E46" s="94"/>
      <c r="F46" s="94">
        <v>507.62</v>
      </c>
      <c r="G46" s="94"/>
      <c r="H46" s="94"/>
      <c r="I46" s="95">
        <v>507.62</v>
      </c>
      <c r="J46" s="95">
        <f t="shared" si="0"/>
        <v>0</v>
      </c>
      <c r="K46" s="95">
        <f t="shared" si="1"/>
        <v>0</v>
      </c>
      <c r="L46" s="95">
        <f t="shared" si="2"/>
        <v>0</v>
      </c>
      <c r="M46" s="95">
        <f t="shared" si="3"/>
        <v>0</v>
      </c>
      <c r="N46" s="95">
        <f t="shared" si="4"/>
        <v>20</v>
      </c>
      <c r="O46" s="95">
        <f t="shared" si="5"/>
        <v>0</v>
      </c>
      <c r="P46" s="95">
        <f t="shared" si="6"/>
        <v>20</v>
      </c>
      <c r="Q46" s="94"/>
      <c r="R46" s="94"/>
      <c r="S46" s="94"/>
      <c r="T46" s="94"/>
      <c r="U46" s="94"/>
      <c r="V46" s="94"/>
      <c r="W46" s="94"/>
      <c r="X46" s="94"/>
      <c r="Y46" s="94"/>
      <c r="Z46" s="94"/>
    </row>
    <row r="47" spans="1:26" x14ac:dyDescent="0.3">
      <c r="A47" s="94" t="s">
        <v>293</v>
      </c>
      <c r="B47" s="94" t="s">
        <v>1402</v>
      </c>
      <c r="C47" s="94"/>
      <c r="D47" s="94"/>
      <c r="E47" s="94"/>
      <c r="F47" s="94"/>
      <c r="G47" s="94"/>
      <c r="H47" s="94"/>
      <c r="I47" s="95">
        <v>0</v>
      </c>
      <c r="J47" s="95">
        <f t="shared" si="0"/>
        <v>0</v>
      </c>
      <c r="K47" s="95">
        <f t="shared" si="1"/>
        <v>0</v>
      </c>
      <c r="L47" s="95">
        <f t="shared" si="2"/>
        <v>0</v>
      </c>
      <c r="M47" s="95">
        <f t="shared" si="3"/>
        <v>0</v>
      </c>
      <c r="N47" s="95">
        <f t="shared" si="4"/>
        <v>0</v>
      </c>
      <c r="O47" s="95">
        <f t="shared" si="5"/>
        <v>0</v>
      </c>
      <c r="P47" s="95">
        <f t="shared" si="6"/>
        <v>0</v>
      </c>
      <c r="Q47" s="94"/>
      <c r="R47" s="94"/>
      <c r="S47" s="94"/>
      <c r="T47" s="94"/>
      <c r="U47" s="94"/>
      <c r="V47" s="94"/>
      <c r="W47" s="94"/>
      <c r="X47" s="94"/>
      <c r="Y47" s="94"/>
      <c r="Z47" s="94"/>
    </row>
    <row r="48" spans="1:26" x14ac:dyDescent="0.3">
      <c r="A48" s="94" t="s">
        <v>293</v>
      </c>
      <c r="B48" s="94" t="s">
        <v>1414</v>
      </c>
      <c r="C48" s="94"/>
      <c r="D48" s="94"/>
      <c r="E48" s="94"/>
      <c r="F48" s="94"/>
      <c r="G48" s="94"/>
      <c r="H48" s="94"/>
      <c r="I48" s="95">
        <v>0</v>
      </c>
      <c r="J48" s="95">
        <f t="shared" si="0"/>
        <v>0</v>
      </c>
      <c r="K48" s="95">
        <f t="shared" si="1"/>
        <v>0</v>
      </c>
      <c r="L48" s="95">
        <f t="shared" si="2"/>
        <v>0</v>
      </c>
      <c r="M48" s="95">
        <f t="shared" si="3"/>
        <v>0</v>
      </c>
      <c r="N48" s="95">
        <f t="shared" si="4"/>
        <v>0</v>
      </c>
      <c r="O48" s="95">
        <f t="shared" si="5"/>
        <v>0</v>
      </c>
      <c r="P48" s="95">
        <f t="shared" si="6"/>
        <v>0</v>
      </c>
      <c r="Q48" s="94"/>
      <c r="R48" s="94"/>
      <c r="S48" s="94"/>
      <c r="T48" s="94"/>
      <c r="U48" s="94"/>
      <c r="V48" s="94"/>
      <c r="W48" s="94"/>
      <c r="X48" s="94"/>
      <c r="Y48" s="94"/>
      <c r="Z48" s="94"/>
    </row>
    <row r="49" spans="1:26" x14ac:dyDescent="0.3">
      <c r="A49" s="94" t="s">
        <v>293</v>
      </c>
      <c r="B49" s="94" t="s">
        <v>1452</v>
      </c>
      <c r="C49" s="94"/>
      <c r="D49" s="94"/>
      <c r="E49" s="94"/>
      <c r="F49" s="94"/>
      <c r="G49" s="94"/>
      <c r="H49" s="94"/>
      <c r="I49" s="95">
        <v>0</v>
      </c>
      <c r="J49" s="95">
        <f t="shared" si="0"/>
        <v>0</v>
      </c>
      <c r="K49" s="95">
        <f t="shared" si="1"/>
        <v>0</v>
      </c>
      <c r="L49" s="95">
        <f t="shared" si="2"/>
        <v>0</v>
      </c>
      <c r="M49" s="95">
        <f t="shared" si="3"/>
        <v>0</v>
      </c>
      <c r="N49" s="95">
        <f t="shared" si="4"/>
        <v>0</v>
      </c>
      <c r="O49" s="95">
        <f t="shared" si="5"/>
        <v>0</v>
      </c>
      <c r="P49" s="95">
        <f t="shared" si="6"/>
        <v>0</v>
      </c>
      <c r="Q49" s="94"/>
      <c r="R49" s="94"/>
      <c r="S49" s="94"/>
      <c r="T49" s="94"/>
      <c r="U49" s="94"/>
      <c r="V49" s="94"/>
      <c r="W49" s="94"/>
      <c r="X49" s="94"/>
      <c r="Y49" s="94"/>
      <c r="Z49" s="94"/>
    </row>
    <row r="50" spans="1:26" x14ac:dyDescent="0.3">
      <c r="A50" s="94" t="s">
        <v>293</v>
      </c>
      <c r="B50" s="94" t="s">
        <v>1514</v>
      </c>
      <c r="C50" s="94"/>
      <c r="D50" s="94"/>
      <c r="E50" s="94"/>
      <c r="F50" s="94"/>
      <c r="G50" s="94"/>
      <c r="H50" s="94"/>
      <c r="I50" s="95">
        <v>0</v>
      </c>
      <c r="J50" s="95">
        <f t="shared" si="0"/>
        <v>0</v>
      </c>
      <c r="K50" s="95">
        <f t="shared" si="1"/>
        <v>0</v>
      </c>
      <c r="L50" s="95">
        <f t="shared" si="2"/>
        <v>0</v>
      </c>
      <c r="M50" s="95">
        <f t="shared" si="3"/>
        <v>0</v>
      </c>
      <c r="N50" s="95">
        <f t="shared" si="4"/>
        <v>0</v>
      </c>
      <c r="O50" s="95">
        <f t="shared" si="5"/>
        <v>0</v>
      </c>
      <c r="P50" s="95">
        <f t="shared" si="6"/>
        <v>0</v>
      </c>
      <c r="Q50" s="94"/>
      <c r="R50" s="94"/>
      <c r="S50" s="94"/>
      <c r="T50" s="94"/>
      <c r="U50" s="94"/>
      <c r="V50" s="94"/>
      <c r="W50" s="94"/>
      <c r="X50" s="94"/>
      <c r="Y50" s="94"/>
      <c r="Z50" s="94"/>
    </row>
    <row r="51" spans="1:26" x14ac:dyDescent="0.3">
      <c r="A51" s="94" t="s">
        <v>293</v>
      </c>
      <c r="B51" s="94" t="s">
        <v>1594</v>
      </c>
      <c r="C51" s="94"/>
      <c r="D51" s="94"/>
      <c r="E51" s="94"/>
      <c r="F51" s="94">
        <v>257.81</v>
      </c>
      <c r="G51" s="94">
        <v>406.77</v>
      </c>
      <c r="H51" s="94"/>
      <c r="I51" s="95">
        <v>664.57999999999993</v>
      </c>
      <c r="J51" s="95">
        <f t="shared" si="0"/>
        <v>0</v>
      </c>
      <c r="K51" s="95">
        <f t="shared" si="1"/>
        <v>0</v>
      </c>
      <c r="L51" s="95">
        <f t="shared" si="2"/>
        <v>0</v>
      </c>
      <c r="M51" s="95">
        <f t="shared" si="3"/>
        <v>0</v>
      </c>
      <c r="N51" s="95">
        <f t="shared" si="4"/>
        <v>20</v>
      </c>
      <c r="O51" s="95">
        <f t="shared" si="5"/>
        <v>50</v>
      </c>
      <c r="P51" s="95">
        <f t="shared" si="6"/>
        <v>70</v>
      </c>
      <c r="Q51" s="94"/>
      <c r="R51" s="94"/>
      <c r="S51" s="94"/>
      <c r="T51" s="94"/>
      <c r="U51" s="94"/>
      <c r="V51" s="94"/>
      <c r="W51" s="94"/>
      <c r="X51" s="94"/>
      <c r="Y51" s="94"/>
      <c r="Z51" s="94"/>
    </row>
    <row r="52" spans="1:26" x14ac:dyDescent="0.3">
      <c r="A52" s="94" t="s">
        <v>293</v>
      </c>
      <c r="B52" s="94" t="s">
        <v>1651</v>
      </c>
      <c r="C52" s="94"/>
      <c r="D52" s="94"/>
      <c r="E52" s="94"/>
      <c r="F52" s="94">
        <v>572.03</v>
      </c>
      <c r="G52" s="94"/>
      <c r="H52" s="94"/>
      <c r="I52" s="95">
        <v>572.03</v>
      </c>
      <c r="J52" s="95">
        <f t="shared" si="0"/>
        <v>0</v>
      </c>
      <c r="K52" s="95">
        <f t="shared" si="1"/>
        <v>0</v>
      </c>
      <c r="L52" s="95">
        <f t="shared" si="2"/>
        <v>0</v>
      </c>
      <c r="M52" s="95">
        <f t="shared" si="3"/>
        <v>0</v>
      </c>
      <c r="N52" s="95">
        <f t="shared" si="4"/>
        <v>20</v>
      </c>
      <c r="O52" s="95">
        <f t="shared" si="5"/>
        <v>0</v>
      </c>
      <c r="P52" s="95">
        <f t="shared" si="6"/>
        <v>20</v>
      </c>
      <c r="Q52" s="94"/>
      <c r="R52" s="94"/>
      <c r="S52" s="94"/>
      <c r="T52" s="94"/>
      <c r="U52" s="94"/>
      <c r="V52" s="94"/>
      <c r="W52" s="94"/>
      <c r="X52" s="94"/>
      <c r="Y52" s="94"/>
      <c r="Z52" s="94"/>
    </row>
    <row r="53" spans="1:26" x14ac:dyDescent="0.3">
      <c r="A53" s="94" t="s">
        <v>293</v>
      </c>
      <c r="B53" s="94" t="s">
        <v>1664</v>
      </c>
      <c r="C53" s="94"/>
      <c r="D53" s="94"/>
      <c r="E53" s="94"/>
      <c r="F53" s="94"/>
      <c r="G53" s="94"/>
      <c r="H53" s="94"/>
      <c r="I53" s="95">
        <v>0</v>
      </c>
      <c r="J53" s="95">
        <f t="shared" si="0"/>
        <v>0</v>
      </c>
      <c r="K53" s="95">
        <f t="shared" si="1"/>
        <v>0</v>
      </c>
      <c r="L53" s="95">
        <f t="shared" si="2"/>
        <v>0</v>
      </c>
      <c r="M53" s="95">
        <f t="shared" si="3"/>
        <v>0</v>
      </c>
      <c r="N53" s="95">
        <f t="shared" si="4"/>
        <v>0</v>
      </c>
      <c r="O53" s="95">
        <f t="shared" si="5"/>
        <v>0</v>
      </c>
      <c r="P53" s="95">
        <f t="shared" si="6"/>
        <v>0</v>
      </c>
      <c r="Q53" s="94"/>
      <c r="R53" s="94"/>
      <c r="S53" s="94"/>
      <c r="T53" s="94"/>
      <c r="U53" s="94"/>
      <c r="V53" s="94"/>
      <c r="W53" s="94"/>
      <c r="X53" s="94"/>
      <c r="Y53" s="94"/>
      <c r="Z53" s="94"/>
    </row>
    <row r="54" spans="1:26" x14ac:dyDescent="0.3">
      <c r="A54" s="94" t="s">
        <v>293</v>
      </c>
      <c r="B54" s="94" t="s">
        <v>1670</v>
      </c>
      <c r="C54" s="94"/>
      <c r="D54" s="94"/>
      <c r="E54" s="94"/>
      <c r="F54" s="94"/>
      <c r="G54" s="94"/>
      <c r="H54" s="94"/>
      <c r="I54" s="95">
        <v>0</v>
      </c>
      <c r="J54" s="95">
        <f t="shared" si="0"/>
        <v>0</v>
      </c>
      <c r="K54" s="95">
        <f t="shared" si="1"/>
        <v>0</v>
      </c>
      <c r="L54" s="95">
        <f t="shared" si="2"/>
        <v>0</v>
      </c>
      <c r="M54" s="95">
        <f t="shared" si="3"/>
        <v>0</v>
      </c>
      <c r="N54" s="95">
        <f t="shared" si="4"/>
        <v>0</v>
      </c>
      <c r="O54" s="95">
        <f t="shared" si="5"/>
        <v>0</v>
      </c>
      <c r="P54" s="95">
        <f t="shared" si="6"/>
        <v>0</v>
      </c>
      <c r="Q54" s="94"/>
      <c r="R54" s="94"/>
      <c r="S54" s="94"/>
      <c r="T54" s="94"/>
      <c r="U54" s="94"/>
      <c r="V54" s="94"/>
      <c r="W54" s="94"/>
      <c r="X54" s="94"/>
      <c r="Y54" s="94"/>
      <c r="Z54" s="94"/>
    </row>
    <row r="55" spans="1:26" x14ac:dyDescent="0.3">
      <c r="A55" s="94" t="s">
        <v>293</v>
      </c>
      <c r="B55" s="94" t="s">
        <v>1679</v>
      </c>
      <c r="C55" s="94"/>
      <c r="D55" s="94"/>
      <c r="E55" s="94"/>
      <c r="F55" s="94">
        <v>500</v>
      </c>
      <c r="G55" s="94"/>
      <c r="H55" s="94"/>
      <c r="I55" s="95">
        <v>500</v>
      </c>
      <c r="J55" s="95">
        <f t="shared" si="0"/>
        <v>0</v>
      </c>
      <c r="K55" s="95">
        <f t="shared" si="1"/>
        <v>0</v>
      </c>
      <c r="L55" s="95">
        <f t="shared" si="2"/>
        <v>0</v>
      </c>
      <c r="M55" s="95">
        <f t="shared" si="3"/>
        <v>0</v>
      </c>
      <c r="N55" s="95">
        <f t="shared" si="4"/>
        <v>20</v>
      </c>
      <c r="O55" s="95">
        <f t="shared" si="5"/>
        <v>0</v>
      </c>
      <c r="P55" s="95">
        <f t="shared" si="6"/>
        <v>20</v>
      </c>
      <c r="Q55" s="94"/>
      <c r="R55" s="94"/>
      <c r="S55" s="94"/>
      <c r="T55" s="94"/>
      <c r="U55" s="94"/>
      <c r="V55" s="94"/>
      <c r="W55" s="94"/>
      <c r="X55" s="94"/>
      <c r="Y55" s="94"/>
      <c r="Z55" s="94"/>
    </row>
    <row r="56" spans="1:26" x14ac:dyDescent="0.3">
      <c r="A56" s="94" t="s">
        <v>293</v>
      </c>
      <c r="B56" s="94" t="s">
        <v>67</v>
      </c>
      <c r="C56" s="94"/>
      <c r="D56" s="94"/>
      <c r="E56" s="94"/>
      <c r="F56" s="94">
        <v>572.03</v>
      </c>
      <c r="G56" s="94">
        <v>406.77</v>
      </c>
      <c r="H56" s="94"/>
      <c r="I56" s="95">
        <v>978.8</v>
      </c>
      <c r="J56" s="95">
        <f t="shared" si="0"/>
        <v>0</v>
      </c>
      <c r="K56" s="95">
        <f t="shared" si="1"/>
        <v>0</v>
      </c>
      <c r="L56" s="95">
        <f t="shared" si="2"/>
        <v>0</v>
      </c>
      <c r="M56" s="95">
        <f t="shared" si="3"/>
        <v>0</v>
      </c>
      <c r="N56" s="95">
        <f t="shared" si="4"/>
        <v>20</v>
      </c>
      <c r="O56" s="95">
        <f t="shared" si="5"/>
        <v>50</v>
      </c>
      <c r="P56" s="95">
        <f t="shared" si="6"/>
        <v>70</v>
      </c>
      <c r="Q56" s="94"/>
      <c r="R56" s="94"/>
      <c r="S56" s="94"/>
      <c r="T56" s="94"/>
      <c r="U56" s="94"/>
      <c r="V56" s="94"/>
      <c r="W56" s="94"/>
      <c r="X56" s="94"/>
      <c r="Y56" s="94"/>
      <c r="Z56" s="94"/>
    </row>
    <row r="57" spans="1:26" x14ac:dyDescent="0.3">
      <c r="A57" s="94" t="s">
        <v>293</v>
      </c>
      <c r="B57" s="94" t="s">
        <v>1721</v>
      </c>
      <c r="C57" s="94"/>
      <c r="D57" s="94"/>
      <c r="E57" s="94"/>
      <c r="F57" s="94"/>
      <c r="G57" s="94"/>
      <c r="H57" s="94"/>
      <c r="I57" s="95">
        <v>0</v>
      </c>
      <c r="J57" s="95">
        <f t="shared" si="0"/>
        <v>0</v>
      </c>
      <c r="K57" s="95">
        <f t="shared" si="1"/>
        <v>0</v>
      </c>
      <c r="L57" s="95">
        <f t="shared" si="2"/>
        <v>0</v>
      </c>
      <c r="M57" s="95">
        <f t="shared" si="3"/>
        <v>0</v>
      </c>
      <c r="N57" s="95">
        <f t="shared" si="4"/>
        <v>0</v>
      </c>
      <c r="O57" s="95">
        <f t="shared" si="5"/>
        <v>0</v>
      </c>
      <c r="P57" s="95">
        <f t="shared" si="6"/>
        <v>0</v>
      </c>
      <c r="Q57" s="94"/>
      <c r="R57" s="94"/>
      <c r="S57" s="94"/>
      <c r="T57" s="94"/>
      <c r="U57" s="94"/>
      <c r="V57" s="94"/>
      <c r="W57" s="94"/>
      <c r="X57" s="94"/>
      <c r="Y57" s="94"/>
      <c r="Z57" s="94"/>
    </row>
    <row r="58" spans="1:26" x14ac:dyDescent="0.3">
      <c r="A58" s="94" t="s">
        <v>293</v>
      </c>
      <c r="B58" s="94" t="s">
        <v>1733</v>
      </c>
      <c r="C58" s="94"/>
      <c r="D58" s="94"/>
      <c r="E58" s="94"/>
      <c r="F58" s="94"/>
      <c r="G58" s="94"/>
      <c r="H58" s="94"/>
      <c r="I58" s="95">
        <v>0</v>
      </c>
      <c r="J58" s="95">
        <f t="shared" si="0"/>
        <v>0</v>
      </c>
      <c r="K58" s="95">
        <f t="shared" si="1"/>
        <v>0</v>
      </c>
      <c r="L58" s="95">
        <f t="shared" si="2"/>
        <v>0</v>
      </c>
      <c r="M58" s="95">
        <f t="shared" si="3"/>
        <v>0</v>
      </c>
      <c r="N58" s="95">
        <f t="shared" si="4"/>
        <v>0</v>
      </c>
      <c r="O58" s="95">
        <f t="shared" si="5"/>
        <v>0</v>
      </c>
      <c r="P58" s="95">
        <f t="shared" si="6"/>
        <v>0</v>
      </c>
      <c r="Q58" s="94"/>
      <c r="R58" s="94"/>
      <c r="S58" s="94"/>
      <c r="T58" s="94"/>
      <c r="U58" s="94"/>
      <c r="V58" s="94"/>
      <c r="W58" s="94"/>
      <c r="X58" s="94"/>
      <c r="Y58" s="94"/>
      <c r="Z58" s="94"/>
    </row>
    <row r="59" spans="1:26" x14ac:dyDescent="0.3">
      <c r="A59" s="94" t="s">
        <v>293</v>
      </c>
      <c r="B59" s="94" t="s">
        <v>148</v>
      </c>
      <c r="C59" s="94"/>
      <c r="D59" s="94"/>
      <c r="E59" s="94"/>
      <c r="F59" s="94"/>
      <c r="G59" s="94">
        <v>406.77</v>
      </c>
      <c r="H59" s="94"/>
      <c r="I59" s="95">
        <v>406.77</v>
      </c>
      <c r="J59" s="95">
        <f t="shared" si="0"/>
        <v>0</v>
      </c>
      <c r="K59" s="95">
        <f t="shared" si="1"/>
        <v>0</v>
      </c>
      <c r="L59" s="95">
        <f t="shared" si="2"/>
        <v>0</v>
      </c>
      <c r="M59" s="95">
        <f t="shared" si="3"/>
        <v>0</v>
      </c>
      <c r="N59" s="95">
        <f t="shared" si="4"/>
        <v>0</v>
      </c>
      <c r="O59" s="95">
        <f t="shared" si="5"/>
        <v>50</v>
      </c>
      <c r="P59" s="95">
        <f t="shared" si="6"/>
        <v>50</v>
      </c>
      <c r="Q59" s="94"/>
      <c r="R59" s="94"/>
      <c r="S59" s="94"/>
      <c r="T59" s="94"/>
      <c r="U59" s="94"/>
      <c r="V59" s="94"/>
      <c r="W59" s="94"/>
      <c r="X59" s="94"/>
      <c r="Y59" s="94"/>
      <c r="Z59" s="94"/>
    </row>
    <row r="60" spans="1:26" x14ac:dyDescent="0.3">
      <c r="A60" s="94" t="s">
        <v>293</v>
      </c>
      <c r="B60" s="94" t="s">
        <v>1744</v>
      </c>
      <c r="C60" s="94"/>
      <c r="D60" s="94"/>
      <c r="E60" s="94"/>
      <c r="F60" s="94"/>
      <c r="G60" s="94"/>
      <c r="H60" s="94"/>
      <c r="I60" s="95">
        <v>0</v>
      </c>
      <c r="J60" s="95">
        <f t="shared" si="0"/>
        <v>0</v>
      </c>
      <c r="K60" s="95">
        <f t="shared" si="1"/>
        <v>0</v>
      </c>
      <c r="L60" s="95">
        <f t="shared" si="2"/>
        <v>0</v>
      </c>
      <c r="M60" s="95">
        <f t="shared" si="3"/>
        <v>0</v>
      </c>
      <c r="N60" s="95">
        <f t="shared" si="4"/>
        <v>0</v>
      </c>
      <c r="O60" s="95">
        <f t="shared" si="5"/>
        <v>0</v>
      </c>
      <c r="P60" s="95">
        <f t="shared" si="6"/>
        <v>0</v>
      </c>
      <c r="Q60" s="94"/>
      <c r="R60" s="94"/>
      <c r="S60" s="94"/>
      <c r="T60" s="94"/>
      <c r="U60" s="94"/>
      <c r="V60" s="94"/>
      <c r="W60" s="94"/>
      <c r="X60" s="94"/>
      <c r="Y60" s="94"/>
      <c r="Z60" s="94"/>
    </row>
    <row r="61" spans="1:26" x14ac:dyDescent="0.3">
      <c r="A61" s="94" t="s">
        <v>293</v>
      </c>
      <c r="B61" s="94" t="s">
        <v>1756</v>
      </c>
      <c r="C61" s="94"/>
      <c r="D61" s="94"/>
      <c r="E61" s="94"/>
      <c r="F61" s="94"/>
      <c r="G61" s="94"/>
      <c r="H61" s="94"/>
      <c r="I61" s="95">
        <v>0</v>
      </c>
      <c r="J61" s="95">
        <f t="shared" si="0"/>
        <v>0</v>
      </c>
      <c r="K61" s="95">
        <f t="shared" si="1"/>
        <v>0</v>
      </c>
      <c r="L61" s="95">
        <f t="shared" si="2"/>
        <v>0</v>
      </c>
      <c r="M61" s="95">
        <f t="shared" si="3"/>
        <v>0</v>
      </c>
      <c r="N61" s="95">
        <f t="shared" si="4"/>
        <v>0</v>
      </c>
      <c r="O61" s="95">
        <f t="shared" si="5"/>
        <v>0</v>
      </c>
      <c r="P61" s="95">
        <f t="shared" si="6"/>
        <v>0</v>
      </c>
      <c r="Q61" s="94"/>
      <c r="R61" s="94"/>
      <c r="S61" s="94"/>
      <c r="T61" s="94"/>
      <c r="U61" s="94"/>
      <c r="V61" s="94"/>
      <c r="W61" s="94"/>
      <c r="X61" s="94"/>
      <c r="Y61" s="94"/>
      <c r="Z61" s="94"/>
    </row>
    <row r="62" spans="1:26" x14ac:dyDescent="0.3">
      <c r="A62" s="94" t="s">
        <v>293</v>
      </c>
      <c r="B62" s="94" t="s">
        <v>1780</v>
      </c>
      <c r="C62" s="94"/>
      <c r="D62" s="94"/>
      <c r="E62" s="94"/>
      <c r="F62" s="94"/>
      <c r="G62" s="94"/>
      <c r="H62" s="94"/>
      <c r="I62" s="95">
        <v>0</v>
      </c>
      <c r="J62" s="95">
        <f t="shared" si="0"/>
        <v>0</v>
      </c>
      <c r="K62" s="95">
        <f t="shared" si="1"/>
        <v>0</v>
      </c>
      <c r="L62" s="95">
        <f t="shared" si="2"/>
        <v>0</v>
      </c>
      <c r="M62" s="95">
        <f t="shared" si="3"/>
        <v>0</v>
      </c>
      <c r="N62" s="95">
        <f t="shared" si="4"/>
        <v>0</v>
      </c>
      <c r="O62" s="95">
        <f t="shared" si="5"/>
        <v>0</v>
      </c>
      <c r="P62" s="95">
        <f t="shared" si="6"/>
        <v>0</v>
      </c>
      <c r="Q62" s="94"/>
      <c r="R62" s="94"/>
      <c r="S62" s="94"/>
      <c r="T62" s="94"/>
      <c r="U62" s="94"/>
      <c r="V62" s="94"/>
      <c r="W62" s="94"/>
      <c r="X62" s="94"/>
      <c r="Y62" s="94"/>
      <c r="Z62" s="94"/>
    </row>
    <row r="63" spans="1:26" x14ac:dyDescent="0.3">
      <c r="A63" s="94" t="s">
        <v>293</v>
      </c>
      <c r="B63" s="94" t="s">
        <v>1834</v>
      </c>
      <c r="C63" s="94"/>
      <c r="D63" s="94"/>
      <c r="E63" s="94"/>
      <c r="F63" s="94"/>
      <c r="G63" s="94"/>
      <c r="H63" s="94"/>
      <c r="I63" s="95">
        <v>0</v>
      </c>
      <c r="J63" s="95">
        <f t="shared" si="0"/>
        <v>0</v>
      </c>
      <c r="K63" s="95">
        <f t="shared" si="1"/>
        <v>0</v>
      </c>
      <c r="L63" s="95">
        <f t="shared" si="2"/>
        <v>0</v>
      </c>
      <c r="M63" s="95">
        <f t="shared" si="3"/>
        <v>0</v>
      </c>
      <c r="N63" s="95">
        <f t="shared" si="4"/>
        <v>0</v>
      </c>
      <c r="O63" s="95">
        <f t="shared" si="5"/>
        <v>0</v>
      </c>
      <c r="P63" s="95">
        <f t="shared" si="6"/>
        <v>0</v>
      </c>
      <c r="Q63" s="94"/>
      <c r="R63" s="94"/>
      <c r="S63" s="94"/>
      <c r="T63" s="94"/>
      <c r="U63" s="94"/>
      <c r="V63" s="94"/>
      <c r="W63" s="94"/>
      <c r="X63" s="94"/>
      <c r="Y63" s="94"/>
      <c r="Z63" s="94"/>
    </row>
    <row r="64" spans="1:26" x14ac:dyDescent="0.3">
      <c r="A64" s="94" t="s">
        <v>293</v>
      </c>
      <c r="B64" s="94" t="s">
        <v>1843</v>
      </c>
      <c r="C64" s="94"/>
      <c r="D64" s="94"/>
      <c r="E64" s="94"/>
      <c r="F64" s="94"/>
      <c r="G64" s="94"/>
      <c r="H64" s="94"/>
      <c r="I64" s="95">
        <v>0</v>
      </c>
      <c r="J64" s="95">
        <f t="shared" si="0"/>
        <v>0</v>
      </c>
      <c r="K64" s="95">
        <f t="shared" si="1"/>
        <v>0</v>
      </c>
      <c r="L64" s="95">
        <f t="shared" si="2"/>
        <v>0</v>
      </c>
      <c r="M64" s="95">
        <f t="shared" si="3"/>
        <v>0</v>
      </c>
      <c r="N64" s="95">
        <f t="shared" si="4"/>
        <v>0</v>
      </c>
      <c r="O64" s="95">
        <f t="shared" si="5"/>
        <v>0</v>
      </c>
      <c r="P64" s="95">
        <f t="shared" si="6"/>
        <v>0</v>
      </c>
      <c r="Q64" s="94"/>
      <c r="R64" s="94"/>
      <c r="S64" s="94"/>
      <c r="T64" s="94"/>
      <c r="U64" s="94"/>
      <c r="V64" s="94"/>
      <c r="W64" s="94"/>
      <c r="X64" s="94"/>
      <c r="Y64" s="94"/>
      <c r="Z64" s="94"/>
    </row>
    <row r="65" spans="1:26" x14ac:dyDescent="0.3">
      <c r="A65" s="94" t="s">
        <v>293</v>
      </c>
      <c r="B65" s="94" t="s">
        <v>1851</v>
      </c>
      <c r="C65" s="94"/>
      <c r="D65" s="94"/>
      <c r="E65" s="94"/>
      <c r="F65" s="94"/>
      <c r="G65" s="94"/>
      <c r="H65" s="94"/>
      <c r="I65" s="95">
        <v>0</v>
      </c>
      <c r="J65" s="95">
        <f t="shared" si="0"/>
        <v>0</v>
      </c>
      <c r="K65" s="95">
        <f t="shared" si="1"/>
        <v>0</v>
      </c>
      <c r="L65" s="95">
        <f t="shared" si="2"/>
        <v>0</v>
      </c>
      <c r="M65" s="95">
        <f t="shared" si="3"/>
        <v>0</v>
      </c>
      <c r="N65" s="95">
        <f t="shared" si="4"/>
        <v>0</v>
      </c>
      <c r="O65" s="95">
        <f t="shared" si="5"/>
        <v>0</v>
      </c>
      <c r="P65" s="95">
        <f t="shared" si="6"/>
        <v>0</v>
      </c>
      <c r="Q65" s="94"/>
      <c r="R65" s="94"/>
      <c r="S65" s="94"/>
      <c r="T65" s="94"/>
      <c r="U65" s="94"/>
      <c r="V65" s="94"/>
      <c r="W65" s="94"/>
      <c r="X65" s="94"/>
      <c r="Y65" s="94"/>
      <c r="Z65" s="94"/>
    </row>
    <row r="66" spans="1:26" x14ac:dyDescent="0.3">
      <c r="A66" s="94" t="s">
        <v>293</v>
      </c>
      <c r="B66" s="94" t="s">
        <v>1861</v>
      </c>
      <c r="C66" s="94"/>
      <c r="D66" s="94"/>
      <c r="E66" s="94"/>
      <c r="F66" s="94"/>
      <c r="G66" s="94"/>
      <c r="H66" s="94"/>
      <c r="I66" s="95">
        <v>0</v>
      </c>
      <c r="J66" s="95">
        <f t="shared" si="0"/>
        <v>0</v>
      </c>
      <c r="K66" s="95">
        <f t="shared" si="1"/>
        <v>0</v>
      </c>
      <c r="L66" s="95">
        <f t="shared" si="2"/>
        <v>0</v>
      </c>
      <c r="M66" s="95">
        <f t="shared" si="3"/>
        <v>0</v>
      </c>
      <c r="N66" s="95">
        <f t="shared" si="4"/>
        <v>0</v>
      </c>
      <c r="O66" s="95">
        <f t="shared" si="5"/>
        <v>0</v>
      </c>
      <c r="P66" s="95">
        <f t="shared" si="6"/>
        <v>0</v>
      </c>
      <c r="Q66" s="94"/>
      <c r="R66" s="94"/>
      <c r="S66" s="94"/>
      <c r="T66" s="94"/>
      <c r="U66" s="94"/>
      <c r="V66" s="94"/>
      <c r="W66" s="94"/>
      <c r="X66" s="94"/>
      <c r="Y66" s="94"/>
      <c r="Z66" s="94"/>
    </row>
    <row r="67" spans="1:26" x14ac:dyDescent="0.3">
      <c r="A67" s="94" t="s">
        <v>293</v>
      </c>
      <c r="B67" s="94" t="s">
        <v>1937</v>
      </c>
      <c r="C67" s="94"/>
      <c r="D67" s="94"/>
      <c r="E67" s="94"/>
      <c r="F67" s="94"/>
      <c r="G67" s="94"/>
      <c r="H67" s="94"/>
      <c r="I67" s="95">
        <v>0</v>
      </c>
      <c r="J67" s="95">
        <f t="shared" si="0"/>
        <v>0</v>
      </c>
      <c r="K67" s="95">
        <f t="shared" si="1"/>
        <v>0</v>
      </c>
      <c r="L67" s="95">
        <f t="shared" si="2"/>
        <v>0</v>
      </c>
      <c r="M67" s="95">
        <f t="shared" si="3"/>
        <v>0</v>
      </c>
      <c r="N67" s="95">
        <f t="shared" si="4"/>
        <v>0</v>
      </c>
      <c r="O67" s="95">
        <f t="shared" si="5"/>
        <v>0</v>
      </c>
      <c r="P67" s="95">
        <f t="shared" si="6"/>
        <v>0</v>
      </c>
      <c r="Q67" s="94"/>
      <c r="R67" s="94"/>
      <c r="S67" s="94"/>
      <c r="T67" s="94"/>
      <c r="U67" s="94"/>
      <c r="V67" s="94"/>
      <c r="W67" s="94"/>
      <c r="X67" s="94"/>
      <c r="Y67" s="94"/>
      <c r="Z67" s="94"/>
    </row>
    <row r="68" spans="1:26" x14ac:dyDescent="0.3">
      <c r="A68" s="94" t="s">
        <v>293</v>
      </c>
      <c r="B68" s="94" t="s">
        <v>1955</v>
      </c>
      <c r="C68" s="94"/>
      <c r="D68" s="94"/>
      <c r="E68" s="94"/>
      <c r="F68" s="94"/>
      <c r="G68" s="94"/>
      <c r="H68" s="94"/>
      <c r="I68" s="95">
        <v>0</v>
      </c>
      <c r="J68" s="95">
        <f t="shared" si="0"/>
        <v>0</v>
      </c>
      <c r="K68" s="95">
        <f t="shared" si="1"/>
        <v>0</v>
      </c>
      <c r="L68" s="95">
        <f t="shared" si="2"/>
        <v>0</v>
      </c>
      <c r="M68" s="95">
        <f t="shared" si="3"/>
        <v>0</v>
      </c>
      <c r="N68" s="95">
        <f t="shared" si="4"/>
        <v>0</v>
      </c>
      <c r="O68" s="95">
        <f t="shared" si="5"/>
        <v>0</v>
      </c>
      <c r="P68" s="95">
        <f t="shared" si="6"/>
        <v>0</v>
      </c>
      <c r="Q68" s="94"/>
      <c r="R68" s="94"/>
      <c r="S68" s="94"/>
      <c r="T68" s="94"/>
      <c r="U68" s="94"/>
      <c r="V68" s="94"/>
      <c r="W68" s="94"/>
      <c r="X68" s="94"/>
      <c r="Y68" s="94"/>
      <c r="Z68" s="94"/>
    </row>
    <row r="69" spans="1:26" x14ac:dyDescent="0.3">
      <c r="A69" s="94" t="s">
        <v>293</v>
      </c>
      <c r="B69" s="94" t="s">
        <v>2019</v>
      </c>
      <c r="C69" s="94"/>
      <c r="D69" s="94"/>
      <c r="E69" s="94"/>
      <c r="F69" s="94"/>
      <c r="G69" s="94"/>
      <c r="H69" s="94"/>
      <c r="I69" s="95">
        <v>0</v>
      </c>
      <c r="J69" s="95">
        <f t="shared" si="0"/>
        <v>0</v>
      </c>
      <c r="K69" s="95">
        <f t="shared" si="1"/>
        <v>0</v>
      </c>
      <c r="L69" s="95">
        <f t="shared" si="2"/>
        <v>0</v>
      </c>
      <c r="M69" s="95">
        <f t="shared" si="3"/>
        <v>0</v>
      </c>
      <c r="N69" s="95">
        <f t="shared" si="4"/>
        <v>0</v>
      </c>
      <c r="O69" s="95">
        <f t="shared" si="5"/>
        <v>0</v>
      </c>
      <c r="P69" s="95">
        <f t="shared" si="6"/>
        <v>0</v>
      </c>
      <c r="Q69" s="94"/>
      <c r="R69" s="94"/>
      <c r="S69" s="94"/>
      <c r="T69" s="94"/>
      <c r="U69" s="94"/>
      <c r="V69" s="94"/>
      <c r="W69" s="94"/>
      <c r="X69" s="94"/>
      <c r="Y69" s="94"/>
      <c r="Z69" s="94"/>
    </row>
    <row r="70" spans="1:26" x14ac:dyDescent="0.3">
      <c r="A70" s="94" t="s">
        <v>293</v>
      </c>
      <c r="B70" s="94" t="s">
        <v>2295</v>
      </c>
      <c r="C70" s="94"/>
      <c r="D70" s="94"/>
      <c r="E70" s="94"/>
      <c r="F70" s="94"/>
      <c r="G70" s="94"/>
      <c r="H70" s="94"/>
      <c r="I70" s="95">
        <v>0</v>
      </c>
      <c r="J70" s="95">
        <f t="shared" ref="J70:J133" si="7">IF(H70&gt;0,50,0)</f>
        <v>0</v>
      </c>
      <c r="K70" s="95">
        <f t="shared" ref="K70:K133" si="8">IF(C70 &gt; 500, 20 + ROUNDDOWN((C70 - 500) / 500, 0) * 15, 0)</f>
        <v>0</v>
      </c>
      <c r="L70" s="95">
        <f t="shared" ref="L70:L133" si="9">IF(D70&gt;900,50, 0)</f>
        <v>0</v>
      </c>
      <c r="M70" s="95">
        <f t="shared" ref="M70:M133" si="10">IF(E70&gt;274,20, 0)</f>
        <v>0</v>
      </c>
      <c r="N70" s="95">
        <f t="shared" ref="N70:N133" si="11">IF(F70&gt;0,20, 0)</f>
        <v>0</v>
      </c>
      <c r="O70" s="95">
        <f t="shared" ref="O70:O133" si="12">IF(G70&gt;0,50, 0)</f>
        <v>0</v>
      </c>
      <c r="P70" s="95">
        <f t="shared" ref="P70:P133" si="13">SUM(J70,K70, L70, M70, N70, O70)</f>
        <v>0</v>
      </c>
      <c r="Q70" s="94"/>
      <c r="R70" s="94"/>
      <c r="S70" s="94"/>
      <c r="T70" s="94"/>
      <c r="U70" s="94"/>
      <c r="V70" s="94"/>
      <c r="W70" s="94"/>
      <c r="X70" s="94"/>
      <c r="Y70" s="94"/>
      <c r="Z70" s="94"/>
    </row>
    <row r="71" spans="1:26" x14ac:dyDescent="0.3">
      <c r="A71" s="94" t="s">
        <v>293</v>
      </c>
      <c r="B71" s="94" t="s">
        <v>2452</v>
      </c>
      <c r="C71" s="94"/>
      <c r="D71" s="94"/>
      <c r="E71" s="94"/>
      <c r="F71" s="94"/>
      <c r="G71" s="94"/>
      <c r="H71" s="94"/>
      <c r="I71" s="95">
        <v>0</v>
      </c>
      <c r="J71" s="95">
        <f t="shared" si="7"/>
        <v>0</v>
      </c>
      <c r="K71" s="95">
        <f t="shared" si="8"/>
        <v>0</v>
      </c>
      <c r="L71" s="95">
        <f t="shared" si="9"/>
        <v>0</v>
      </c>
      <c r="M71" s="95">
        <f t="shared" si="10"/>
        <v>0</v>
      </c>
      <c r="N71" s="95">
        <f t="shared" si="11"/>
        <v>0</v>
      </c>
      <c r="O71" s="95">
        <f t="shared" si="12"/>
        <v>0</v>
      </c>
      <c r="P71" s="95">
        <f t="shared" si="13"/>
        <v>0</v>
      </c>
      <c r="Q71" s="94"/>
      <c r="R71" s="94"/>
      <c r="S71" s="94"/>
      <c r="T71" s="94"/>
      <c r="U71" s="94"/>
      <c r="V71" s="94"/>
      <c r="W71" s="94"/>
      <c r="X71" s="94"/>
      <c r="Y71" s="94"/>
      <c r="Z71" s="94"/>
    </row>
    <row r="72" spans="1:26" x14ac:dyDescent="0.3">
      <c r="A72" s="94" t="s">
        <v>293</v>
      </c>
      <c r="B72" s="94" t="s">
        <v>2468</v>
      </c>
      <c r="C72" s="94"/>
      <c r="D72" s="94"/>
      <c r="E72" s="94"/>
      <c r="F72" s="94"/>
      <c r="G72" s="94"/>
      <c r="H72" s="94"/>
      <c r="I72" s="95">
        <v>0</v>
      </c>
      <c r="J72" s="95">
        <f t="shared" si="7"/>
        <v>0</v>
      </c>
      <c r="K72" s="95">
        <f t="shared" si="8"/>
        <v>0</v>
      </c>
      <c r="L72" s="95">
        <f t="shared" si="9"/>
        <v>0</v>
      </c>
      <c r="M72" s="95">
        <f t="shared" si="10"/>
        <v>0</v>
      </c>
      <c r="N72" s="95">
        <f t="shared" si="11"/>
        <v>0</v>
      </c>
      <c r="O72" s="95">
        <f t="shared" si="12"/>
        <v>0</v>
      </c>
      <c r="P72" s="95">
        <f t="shared" si="13"/>
        <v>0</v>
      </c>
      <c r="Q72" s="94"/>
      <c r="R72" s="94"/>
      <c r="S72" s="94"/>
      <c r="T72" s="94"/>
      <c r="U72" s="94"/>
      <c r="V72" s="94"/>
      <c r="W72" s="94"/>
      <c r="X72" s="94"/>
      <c r="Y72" s="94"/>
      <c r="Z72" s="94"/>
    </row>
    <row r="73" spans="1:26" x14ac:dyDescent="0.3">
      <c r="A73" s="94" t="s">
        <v>293</v>
      </c>
      <c r="B73" s="94" t="s">
        <v>2487</v>
      </c>
      <c r="C73" s="94"/>
      <c r="D73" s="94"/>
      <c r="E73" s="94"/>
      <c r="F73" s="94"/>
      <c r="G73" s="94"/>
      <c r="H73" s="94"/>
      <c r="I73" s="95">
        <v>0</v>
      </c>
      <c r="J73" s="95">
        <f t="shared" si="7"/>
        <v>0</v>
      </c>
      <c r="K73" s="95">
        <f t="shared" si="8"/>
        <v>0</v>
      </c>
      <c r="L73" s="95">
        <f t="shared" si="9"/>
        <v>0</v>
      </c>
      <c r="M73" s="95">
        <f t="shared" si="10"/>
        <v>0</v>
      </c>
      <c r="N73" s="95">
        <f t="shared" si="11"/>
        <v>0</v>
      </c>
      <c r="O73" s="95">
        <f t="shared" si="12"/>
        <v>0</v>
      </c>
      <c r="P73" s="95">
        <f t="shared" si="13"/>
        <v>0</v>
      </c>
      <c r="Q73" s="94"/>
      <c r="R73" s="94"/>
      <c r="S73" s="94"/>
      <c r="T73" s="94"/>
      <c r="U73" s="94"/>
      <c r="V73" s="94"/>
      <c r="W73" s="94"/>
      <c r="X73" s="94"/>
      <c r="Y73" s="94"/>
      <c r="Z73" s="94"/>
    </row>
    <row r="74" spans="1:26" x14ac:dyDescent="0.3">
      <c r="A74" s="94" t="s">
        <v>293</v>
      </c>
      <c r="B74" s="94" t="s">
        <v>211</v>
      </c>
      <c r="C74" s="94"/>
      <c r="D74" s="94"/>
      <c r="E74" s="94"/>
      <c r="F74" s="94"/>
      <c r="G74" s="94"/>
      <c r="H74" s="94"/>
      <c r="I74" s="95">
        <v>0</v>
      </c>
      <c r="J74" s="95">
        <f t="shared" si="7"/>
        <v>0</v>
      </c>
      <c r="K74" s="95">
        <f t="shared" si="8"/>
        <v>0</v>
      </c>
      <c r="L74" s="95">
        <f t="shared" si="9"/>
        <v>0</v>
      </c>
      <c r="M74" s="95">
        <f t="shared" si="10"/>
        <v>0</v>
      </c>
      <c r="N74" s="95">
        <f t="shared" si="11"/>
        <v>0</v>
      </c>
      <c r="O74" s="95">
        <f t="shared" si="12"/>
        <v>0</v>
      </c>
      <c r="P74" s="95">
        <f t="shared" si="13"/>
        <v>0</v>
      </c>
      <c r="Q74" s="94"/>
      <c r="R74" s="94"/>
      <c r="S74" s="94"/>
      <c r="T74" s="94"/>
      <c r="U74" s="94"/>
      <c r="V74" s="94"/>
      <c r="W74" s="94"/>
      <c r="X74" s="94"/>
      <c r="Y74" s="94"/>
      <c r="Z74" s="94"/>
    </row>
    <row r="75" spans="1:26" x14ac:dyDescent="0.3">
      <c r="A75" s="94" t="s">
        <v>293</v>
      </c>
      <c r="B75" s="94" t="s">
        <v>2878</v>
      </c>
      <c r="C75" s="94"/>
      <c r="D75" s="94"/>
      <c r="E75" s="94"/>
      <c r="F75" s="94"/>
      <c r="G75" s="94"/>
      <c r="H75" s="94"/>
      <c r="I75" s="95">
        <v>0</v>
      </c>
      <c r="J75" s="95">
        <f t="shared" si="7"/>
        <v>0</v>
      </c>
      <c r="K75" s="95">
        <f t="shared" si="8"/>
        <v>0</v>
      </c>
      <c r="L75" s="95">
        <f t="shared" si="9"/>
        <v>0</v>
      </c>
      <c r="M75" s="95">
        <f t="shared" si="10"/>
        <v>0</v>
      </c>
      <c r="N75" s="95">
        <f t="shared" si="11"/>
        <v>0</v>
      </c>
      <c r="O75" s="95">
        <f t="shared" si="12"/>
        <v>0</v>
      </c>
      <c r="P75" s="95">
        <f t="shared" si="13"/>
        <v>0</v>
      </c>
      <c r="Q75" s="94"/>
      <c r="R75" s="94"/>
      <c r="S75" s="94"/>
      <c r="T75" s="94"/>
      <c r="U75" s="94"/>
      <c r="V75" s="94"/>
      <c r="W75" s="94"/>
      <c r="X75" s="94"/>
      <c r="Y75" s="94"/>
      <c r="Z75" s="94"/>
    </row>
    <row r="76" spans="1:26" ht="16.5" x14ac:dyDescent="0.3">
      <c r="A76" s="96" t="s">
        <v>293</v>
      </c>
      <c r="B76" s="96" t="s">
        <v>173</v>
      </c>
      <c r="C76" s="96"/>
      <c r="D76" s="96"/>
      <c r="E76" s="96"/>
      <c r="F76" s="96"/>
      <c r="G76" s="96"/>
      <c r="H76" s="96"/>
      <c r="I76" s="97">
        <v>0</v>
      </c>
      <c r="J76" s="97">
        <f t="shared" si="7"/>
        <v>0</v>
      </c>
      <c r="K76" s="97">
        <f t="shared" si="8"/>
        <v>0</v>
      </c>
      <c r="L76" s="97">
        <f t="shared" si="9"/>
        <v>0</v>
      </c>
      <c r="M76" s="97">
        <f t="shared" si="10"/>
        <v>0</v>
      </c>
      <c r="N76" s="97">
        <f t="shared" si="11"/>
        <v>0</v>
      </c>
      <c r="O76" s="97">
        <f t="shared" si="12"/>
        <v>0</v>
      </c>
      <c r="P76" s="97">
        <f t="shared" si="13"/>
        <v>0</v>
      </c>
      <c r="Q76" s="98">
        <v>1115</v>
      </c>
      <c r="R76" s="96"/>
      <c r="S76" s="96"/>
      <c r="T76" s="94"/>
      <c r="U76" s="94"/>
      <c r="V76" s="94"/>
      <c r="W76" s="94"/>
      <c r="X76" s="94"/>
      <c r="Y76" s="94"/>
      <c r="Z76" s="94"/>
    </row>
    <row r="77" spans="1:26" x14ac:dyDescent="0.3">
      <c r="A77" s="94" t="s">
        <v>292</v>
      </c>
      <c r="B77" s="94" t="s">
        <v>53</v>
      </c>
      <c r="C77" s="94"/>
      <c r="D77" s="94"/>
      <c r="E77" s="94"/>
      <c r="F77" s="94">
        <v>507.62</v>
      </c>
      <c r="G77" s="94"/>
      <c r="H77" s="94"/>
      <c r="I77" s="95">
        <v>507.62</v>
      </c>
      <c r="J77" s="95">
        <f t="shared" si="7"/>
        <v>0</v>
      </c>
      <c r="K77" s="95">
        <f t="shared" si="8"/>
        <v>0</v>
      </c>
      <c r="L77" s="95">
        <f t="shared" si="9"/>
        <v>0</v>
      </c>
      <c r="M77" s="95">
        <f t="shared" si="10"/>
        <v>0</v>
      </c>
      <c r="N77" s="95">
        <f t="shared" si="11"/>
        <v>20</v>
      </c>
      <c r="O77" s="95">
        <f t="shared" si="12"/>
        <v>0</v>
      </c>
      <c r="P77" s="95">
        <f t="shared" si="13"/>
        <v>20</v>
      </c>
      <c r="Q77" s="94"/>
      <c r="R77" s="94"/>
      <c r="S77" s="94"/>
      <c r="T77" s="94"/>
      <c r="U77" s="94"/>
      <c r="V77" s="94"/>
      <c r="W77" s="94"/>
      <c r="X77" s="94"/>
      <c r="Y77" s="94"/>
      <c r="Z77" s="94"/>
    </row>
    <row r="78" spans="1:26" x14ac:dyDescent="0.3">
      <c r="A78" s="94" t="s">
        <v>292</v>
      </c>
      <c r="B78" s="94" t="s">
        <v>135</v>
      </c>
      <c r="C78" s="94"/>
      <c r="D78" s="94"/>
      <c r="E78" s="94"/>
      <c r="F78" s="94">
        <v>289.06</v>
      </c>
      <c r="G78" s="94"/>
      <c r="H78" s="94"/>
      <c r="I78" s="95">
        <v>289.06</v>
      </c>
      <c r="J78" s="95">
        <f t="shared" si="7"/>
        <v>0</v>
      </c>
      <c r="K78" s="95">
        <f t="shared" si="8"/>
        <v>0</v>
      </c>
      <c r="L78" s="95">
        <f t="shared" si="9"/>
        <v>0</v>
      </c>
      <c r="M78" s="95">
        <f t="shared" si="10"/>
        <v>0</v>
      </c>
      <c r="N78" s="95">
        <f t="shared" si="11"/>
        <v>20</v>
      </c>
      <c r="O78" s="95">
        <f t="shared" si="12"/>
        <v>0</v>
      </c>
      <c r="P78" s="95">
        <f t="shared" si="13"/>
        <v>20</v>
      </c>
      <c r="Q78" s="94"/>
      <c r="R78" s="94"/>
      <c r="S78" s="94"/>
      <c r="T78" s="94"/>
      <c r="U78" s="94"/>
      <c r="V78" s="94"/>
      <c r="W78" s="94"/>
      <c r="X78" s="94"/>
      <c r="Y78" s="94"/>
      <c r="Z78" s="94"/>
    </row>
    <row r="79" spans="1:26" x14ac:dyDescent="0.3">
      <c r="A79" s="94" t="s">
        <v>292</v>
      </c>
      <c r="B79" s="94" t="s">
        <v>613</v>
      </c>
      <c r="C79" s="94">
        <v>195.31</v>
      </c>
      <c r="D79" s="94"/>
      <c r="E79" s="94"/>
      <c r="F79" s="94"/>
      <c r="G79" s="94"/>
      <c r="H79" s="94"/>
      <c r="I79" s="95">
        <v>195.31</v>
      </c>
      <c r="J79" s="95">
        <f t="shared" si="7"/>
        <v>0</v>
      </c>
      <c r="K79" s="95">
        <f t="shared" si="8"/>
        <v>0</v>
      </c>
      <c r="L79" s="95">
        <f t="shared" si="9"/>
        <v>0</v>
      </c>
      <c r="M79" s="95">
        <f t="shared" si="10"/>
        <v>0</v>
      </c>
      <c r="N79" s="95">
        <f t="shared" si="11"/>
        <v>0</v>
      </c>
      <c r="O79" s="95">
        <f t="shared" si="12"/>
        <v>0</v>
      </c>
      <c r="P79" s="95">
        <f t="shared" si="13"/>
        <v>0</v>
      </c>
      <c r="Q79" s="94"/>
      <c r="R79" s="94"/>
      <c r="S79" s="94"/>
      <c r="T79" s="94"/>
      <c r="U79" s="94"/>
      <c r="V79" s="94"/>
      <c r="W79" s="94"/>
      <c r="X79" s="94"/>
      <c r="Y79" s="94"/>
      <c r="Z79" s="94"/>
    </row>
    <row r="80" spans="1:26" x14ac:dyDescent="0.3">
      <c r="A80" s="94" t="s">
        <v>292</v>
      </c>
      <c r="B80" s="94" t="s">
        <v>22</v>
      </c>
      <c r="C80" s="94"/>
      <c r="D80" s="94"/>
      <c r="E80" s="94"/>
      <c r="F80" s="94"/>
      <c r="G80" s="94"/>
      <c r="H80" s="94"/>
      <c r="I80" s="95">
        <v>0</v>
      </c>
      <c r="J80" s="95">
        <f t="shared" si="7"/>
        <v>0</v>
      </c>
      <c r="K80" s="95">
        <f t="shared" si="8"/>
        <v>0</v>
      </c>
      <c r="L80" s="95">
        <f t="shared" si="9"/>
        <v>0</v>
      </c>
      <c r="M80" s="95">
        <f t="shared" si="10"/>
        <v>0</v>
      </c>
      <c r="N80" s="95">
        <f t="shared" si="11"/>
        <v>0</v>
      </c>
      <c r="O80" s="95">
        <f t="shared" si="12"/>
        <v>0</v>
      </c>
      <c r="P80" s="95">
        <f t="shared" si="13"/>
        <v>0</v>
      </c>
      <c r="Q80" s="94"/>
      <c r="R80" s="94"/>
      <c r="S80" s="94"/>
      <c r="T80" s="94"/>
      <c r="U80" s="94"/>
      <c r="V80" s="94"/>
      <c r="W80" s="94"/>
      <c r="X80" s="94"/>
      <c r="Y80" s="94"/>
      <c r="Z80" s="94"/>
    </row>
    <row r="81" spans="1:26" x14ac:dyDescent="0.3">
      <c r="A81" s="94" t="s">
        <v>292</v>
      </c>
      <c r="B81" s="94" t="s">
        <v>650</v>
      </c>
      <c r="C81" s="94">
        <v>347.65</v>
      </c>
      <c r="D81" s="94"/>
      <c r="E81" s="94"/>
      <c r="F81" s="94"/>
      <c r="G81" s="94"/>
      <c r="H81" s="94"/>
      <c r="I81" s="95">
        <v>347.65</v>
      </c>
      <c r="J81" s="95">
        <f t="shared" si="7"/>
        <v>0</v>
      </c>
      <c r="K81" s="95">
        <f t="shared" si="8"/>
        <v>0</v>
      </c>
      <c r="L81" s="95">
        <f t="shared" si="9"/>
        <v>0</v>
      </c>
      <c r="M81" s="95">
        <f t="shared" si="10"/>
        <v>0</v>
      </c>
      <c r="N81" s="95">
        <f t="shared" si="11"/>
        <v>0</v>
      </c>
      <c r="O81" s="95">
        <f t="shared" si="12"/>
        <v>0</v>
      </c>
      <c r="P81" s="95">
        <f t="shared" si="13"/>
        <v>0</v>
      </c>
      <c r="Q81" s="94"/>
      <c r="R81" s="94"/>
      <c r="S81" s="94"/>
      <c r="T81" s="94"/>
      <c r="U81" s="94"/>
      <c r="V81" s="94"/>
      <c r="W81" s="94"/>
      <c r="X81" s="94"/>
      <c r="Y81" s="94"/>
      <c r="Z81" s="94"/>
    </row>
    <row r="82" spans="1:26" x14ac:dyDescent="0.3">
      <c r="A82" s="94" t="s">
        <v>292</v>
      </c>
      <c r="B82" s="94" t="s">
        <v>152</v>
      </c>
      <c r="C82" s="94"/>
      <c r="D82" s="94"/>
      <c r="E82" s="94"/>
      <c r="F82" s="94"/>
      <c r="G82" s="94"/>
      <c r="H82" s="94"/>
      <c r="I82" s="95">
        <v>0</v>
      </c>
      <c r="J82" s="95">
        <f t="shared" si="7"/>
        <v>0</v>
      </c>
      <c r="K82" s="95">
        <f t="shared" si="8"/>
        <v>0</v>
      </c>
      <c r="L82" s="95">
        <f t="shared" si="9"/>
        <v>0</v>
      </c>
      <c r="M82" s="95">
        <f t="shared" si="10"/>
        <v>0</v>
      </c>
      <c r="N82" s="95">
        <f t="shared" si="11"/>
        <v>0</v>
      </c>
      <c r="O82" s="95">
        <f t="shared" si="12"/>
        <v>0</v>
      </c>
      <c r="P82" s="95">
        <f t="shared" si="13"/>
        <v>0</v>
      </c>
      <c r="Q82" s="94"/>
      <c r="R82" s="94"/>
      <c r="S82" s="94"/>
      <c r="T82" s="94"/>
      <c r="U82" s="94"/>
      <c r="V82" s="94"/>
      <c r="W82" s="94"/>
      <c r="X82" s="94"/>
      <c r="Y82" s="94"/>
      <c r="Z82" s="94"/>
    </row>
    <row r="83" spans="1:26" x14ac:dyDescent="0.3">
      <c r="A83" s="94" t="s">
        <v>292</v>
      </c>
      <c r="B83" s="94" t="s">
        <v>696</v>
      </c>
      <c r="C83" s="94"/>
      <c r="D83" s="94"/>
      <c r="E83" s="94"/>
      <c r="F83" s="94"/>
      <c r="G83" s="94">
        <v>406.77</v>
      </c>
      <c r="H83" s="94"/>
      <c r="I83" s="95">
        <v>406.77</v>
      </c>
      <c r="J83" s="95">
        <f t="shared" si="7"/>
        <v>0</v>
      </c>
      <c r="K83" s="95">
        <f t="shared" si="8"/>
        <v>0</v>
      </c>
      <c r="L83" s="95">
        <f t="shared" si="9"/>
        <v>0</v>
      </c>
      <c r="M83" s="95">
        <f t="shared" si="10"/>
        <v>0</v>
      </c>
      <c r="N83" s="95">
        <f t="shared" si="11"/>
        <v>0</v>
      </c>
      <c r="O83" s="95">
        <f t="shared" si="12"/>
        <v>50</v>
      </c>
      <c r="P83" s="95">
        <f t="shared" si="13"/>
        <v>50</v>
      </c>
      <c r="Q83" s="94"/>
      <c r="R83" s="94"/>
      <c r="S83" s="94"/>
      <c r="T83" s="94"/>
      <c r="U83" s="94"/>
      <c r="V83" s="94"/>
      <c r="W83" s="94"/>
      <c r="X83" s="94"/>
      <c r="Y83" s="94"/>
      <c r="Z83" s="94"/>
    </row>
    <row r="84" spans="1:26" x14ac:dyDescent="0.3">
      <c r="A84" s="94" t="s">
        <v>292</v>
      </c>
      <c r="B84" s="94" t="s">
        <v>728</v>
      </c>
      <c r="C84" s="94"/>
      <c r="D84" s="94"/>
      <c r="E84" s="94"/>
      <c r="F84" s="94"/>
      <c r="G84" s="94"/>
      <c r="H84" s="94"/>
      <c r="I84" s="95">
        <v>0</v>
      </c>
      <c r="J84" s="95">
        <f t="shared" si="7"/>
        <v>0</v>
      </c>
      <c r="K84" s="95">
        <f t="shared" si="8"/>
        <v>0</v>
      </c>
      <c r="L84" s="95">
        <f t="shared" si="9"/>
        <v>0</v>
      </c>
      <c r="M84" s="95">
        <f t="shared" si="10"/>
        <v>0</v>
      </c>
      <c r="N84" s="95">
        <f t="shared" si="11"/>
        <v>0</v>
      </c>
      <c r="O84" s="95">
        <f t="shared" si="12"/>
        <v>0</v>
      </c>
      <c r="P84" s="95">
        <f t="shared" si="13"/>
        <v>0</v>
      </c>
      <c r="Q84" s="94"/>
      <c r="R84" s="94"/>
      <c r="S84" s="94"/>
      <c r="T84" s="94"/>
      <c r="U84" s="94"/>
      <c r="V84" s="94"/>
      <c r="W84" s="94"/>
      <c r="X84" s="94"/>
      <c r="Y84" s="94"/>
      <c r="Z84" s="94"/>
    </row>
    <row r="85" spans="1:26" x14ac:dyDescent="0.3">
      <c r="A85" s="94" t="s">
        <v>292</v>
      </c>
      <c r="B85" s="94" t="s">
        <v>757</v>
      </c>
      <c r="C85" s="94"/>
      <c r="D85" s="94"/>
      <c r="E85" s="94"/>
      <c r="F85" s="94"/>
      <c r="G85" s="94"/>
      <c r="H85" s="94"/>
      <c r="I85" s="95">
        <v>0</v>
      </c>
      <c r="J85" s="95">
        <f t="shared" si="7"/>
        <v>0</v>
      </c>
      <c r="K85" s="95">
        <f t="shared" si="8"/>
        <v>0</v>
      </c>
      <c r="L85" s="95">
        <f t="shared" si="9"/>
        <v>0</v>
      </c>
      <c r="M85" s="95">
        <f t="shared" si="10"/>
        <v>0</v>
      </c>
      <c r="N85" s="95">
        <f t="shared" si="11"/>
        <v>0</v>
      </c>
      <c r="O85" s="95">
        <f t="shared" si="12"/>
        <v>0</v>
      </c>
      <c r="P85" s="95">
        <f t="shared" si="13"/>
        <v>0</v>
      </c>
      <c r="Q85" s="94"/>
      <c r="R85" s="94"/>
      <c r="S85" s="94"/>
      <c r="T85" s="94"/>
      <c r="U85" s="94"/>
      <c r="V85" s="94"/>
      <c r="W85" s="94"/>
      <c r="X85" s="94"/>
      <c r="Y85" s="94"/>
      <c r="Z85" s="94"/>
    </row>
    <row r="86" spans="1:26" x14ac:dyDescent="0.3">
      <c r="A86" s="94" t="s">
        <v>292</v>
      </c>
      <c r="B86" s="94" t="s">
        <v>761</v>
      </c>
      <c r="C86" s="94"/>
      <c r="D86" s="94"/>
      <c r="E86" s="94"/>
      <c r="F86" s="94">
        <v>507.62</v>
      </c>
      <c r="G86" s="94"/>
      <c r="H86" s="94"/>
      <c r="I86" s="95">
        <v>507.62</v>
      </c>
      <c r="J86" s="95">
        <f t="shared" si="7"/>
        <v>0</v>
      </c>
      <c r="K86" s="95">
        <f t="shared" si="8"/>
        <v>0</v>
      </c>
      <c r="L86" s="95">
        <f t="shared" si="9"/>
        <v>0</v>
      </c>
      <c r="M86" s="95">
        <f t="shared" si="10"/>
        <v>0</v>
      </c>
      <c r="N86" s="95">
        <f t="shared" si="11"/>
        <v>20</v>
      </c>
      <c r="O86" s="95">
        <f t="shared" si="12"/>
        <v>0</v>
      </c>
      <c r="P86" s="95">
        <f t="shared" si="13"/>
        <v>20</v>
      </c>
      <c r="Q86" s="94"/>
      <c r="R86" s="94"/>
      <c r="S86" s="94"/>
      <c r="T86" s="94"/>
      <c r="U86" s="94"/>
      <c r="V86" s="94"/>
      <c r="W86" s="94"/>
      <c r="X86" s="94"/>
      <c r="Y86" s="94"/>
      <c r="Z86" s="94"/>
    </row>
    <row r="87" spans="1:26" x14ac:dyDescent="0.3">
      <c r="A87" s="94" t="s">
        <v>292</v>
      </c>
      <c r="B87" s="94" t="s">
        <v>846</v>
      </c>
      <c r="C87" s="94"/>
      <c r="D87" s="94"/>
      <c r="E87" s="94"/>
      <c r="F87" s="94"/>
      <c r="G87" s="94"/>
      <c r="H87" s="94"/>
      <c r="I87" s="95">
        <v>0</v>
      </c>
      <c r="J87" s="95">
        <f t="shared" si="7"/>
        <v>0</v>
      </c>
      <c r="K87" s="95">
        <f t="shared" si="8"/>
        <v>0</v>
      </c>
      <c r="L87" s="95">
        <f t="shared" si="9"/>
        <v>0</v>
      </c>
      <c r="M87" s="95">
        <f t="shared" si="10"/>
        <v>0</v>
      </c>
      <c r="N87" s="95">
        <f t="shared" si="11"/>
        <v>0</v>
      </c>
      <c r="O87" s="95">
        <f t="shared" si="12"/>
        <v>0</v>
      </c>
      <c r="P87" s="95">
        <f t="shared" si="13"/>
        <v>0</v>
      </c>
      <c r="Q87" s="94"/>
      <c r="R87" s="94"/>
      <c r="S87" s="94"/>
      <c r="T87" s="94"/>
      <c r="U87" s="94"/>
      <c r="V87" s="94"/>
      <c r="W87" s="94"/>
      <c r="X87" s="94"/>
      <c r="Y87" s="94"/>
      <c r="Z87" s="94"/>
    </row>
    <row r="88" spans="1:26" x14ac:dyDescent="0.3">
      <c r="A88" s="94" t="s">
        <v>292</v>
      </c>
      <c r="B88" s="94" t="s">
        <v>855</v>
      </c>
      <c r="C88" s="94"/>
      <c r="D88" s="94"/>
      <c r="E88" s="94"/>
      <c r="F88" s="94"/>
      <c r="G88" s="94"/>
      <c r="H88" s="94"/>
      <c r="I88" s="95">
        <v>0</v>
      </c>
      <c r="J88" s="95">
        <f t="shared" si="7"/>
        <v>0</v>
      </c>
      <c r="K88" s="95">
        <f t="shared" si="8"/>
        <v>0</v>
      </c>
      <c r="L88" s="95">
        <f t="shared" si="9"/>
        <v>0</v>
      </c>
      <c r="M88" s="95">
        <f t="shared" si="10"/>
        <v>0</v>
      </c>
      <c r="N88" s="95">
        <f t="shared" si="11"/>
        <v>0</v>
      </c>
      <c r="O88" s="95">
        <f t="shared" si="12"/>
        <v>0</v>
      </c>
      <c r="P88" s="95">
        <f t="shared" si="13"/>
        <v>0</v>
      </c>
      <c r="Q88" s="94"/>
      <c r="R88" s="94"/>
      <c r="S88" s="94"/>
      <c r="T88" s="94"/>
      <c r="U88" s="94"/>
      <c r="V88" s="94"/>
      <c r="W88" s="94"/>
      <c r="X88" s="94"/>
      <c r="Y88" s="94"/>
      <c r="Z88" s="94"/>
    </row>
    <row r="89" spans="1:26" x14ac:dyDescent="0.3">
      <c r="A89" s="94" t="s">
        <v>292</v>
      </c>
      <c r="B89" s="94" t="s">
        <v>860</v>
      </c>
      <c r="C89" s="94"/>
      <c r="D89" s="94"/>
      <c r="E89" s="94"/>
      <c r="F89" s="94"/>
      <c r="G89" s="94"/>
      <c r="H89" s="94"/>
      <c r="I89" s="95">
        <v>0</v>
      </c>
      <c r="J89" s="95">
        <f t="shared" si="7"/>
        <v>0</v>
      </c>
      <c r="K89" s="95">
        <f t="shared" si="8"/>
        <v>0</v>
      </c>
      <c r="L89" s="95">
        <f t="shared" si="9"/>
        <v>0</v>
      </c>
      <c r="M89" s="95">
        <f t="shared" si="10"/>
        <v>0</v>
      </c>
      <c r="N89" s="95">
        <f t="shared" si="11"/>
        <v>0</v>
      </c>
      <c r="O89" s="95">
        <f t="shared" si="12"/>
        <v>0</v>
      </c>
      <c r="P89" s="95">
        <f t="shared" si="13"/>
        <v>0</v>
      </c>
      <c r="Q89" s="94"/>
      <c r="R89" s="94"/>
      <c r="S89" s="94"/>
      <c r="T89" s="94"/>
      <c r="U89" s="94"/>
      <c r="V89" s="94"/>
      <c r="W89" s="94"/>
      <c r="X89" s="94"/>
      <c r="Y89" s="94"/>
      <c r="Z89" s="94"/>
    </row>
    <row r="90" spans="1:26" x14ac:dyDescent="0.3">
      <c r="A90" s="94" t="s">
        <v>292</v>
      </c>
      <c r="B90" s="94" t="s">
        <v>57</v>
      </c>
      <c r="C90" s="94">
        <v>347.45</v>
      </c>
      <c r="D90" s="94"/>
      <c r="E90" s="94"/>
      <c r="F90" s="94"/>
      <c r="G90" s="94"/>
      <c r="H90" s="94"/>
      <c r="I90" s="95">
        <v>347.45</v>
      </c>
      <c r="J90" s="95">
        <f t="shared" si="7"/>
        <v>0</v>
      </c>
      <c r="K90" s="95">
        <f t="shared" si="8"/>
        <v>0</v>
      </c>
      <c r="L90" s="95">
        <f t="shared" si="9"/>
        <v>0</v>
      </c>
      <c r="M90" s="95">
        <f t="shared" si="10"/>
        <v>0</v>
      </c>
      <c r="N90" s="95">
        <f t="shared" si="11"/>
        <v>0</v>
      </c>
      <c r="O90" s="95">
        <f t="shared" si="12"/>
        <v>0</v>
      </c>
      <c r="P90" s="95">
        <f t="shared" si="13"/>
        <v>0</v>
      </c>
      <c r="Q90" s="94"/>
      <c r="R90" s="94"/>
      <c r="S90" s="94"/>
      <c r="T90" s="94"/>
      <c r="U90" s="94"/>
      <c r="V90" s="94"/>
      <c r="W90" s="94"/>
      <c r="X90" s="94"/>
      <c r="Y90" s="94"/>
      <c r="Z90" s="94"/>
    </row>
    <row r="91" spans="1:26" x14ac:dyDescent="0.3">
      <c r="A91" s="94" t="s">
        <v>292</v>
      </c>
      <c r="B91" s="94" t="s">
        <v>196</v>
      </c>
      <c r="C91" s="94">
        <v>347.45</v>
      </c>
      <c r="D91" s="94"/>
      <c r="E91" s="94"/>
      <c r="F91" s="94"/>
      <c r="G91" s="94"/>
      <c r="H91" s="94"/>
      <c r="I91" s="95">
        <v>347.45</v>
      </c>
      <c r="J91" s="95">
        <f t="shared" si="7"/>
        <v>0</v>
      </c>
      <c r="K91" s="95">
        <f t="shared" si="8"/>
        <v>0</v>
      </c>
      <c r="L91" s="95">
        <f t="shared" si="9"/>
        <v>0</v>
      </c>
      <c r="M91" s="95">
        <f t="shared" si="10"/>
        <v>0</v>
      </c>
      <c r="N91" s="95">
        <f t="shared" si="11"/>
        <v>0</v>
      </c>
      <c r="O91" s="95">
        <f t="shared" si="12"/>
        <v>0</v>
      </c>
      <c r="P91" s="95">
        <f t="shared" si="13"/>
        <v>0</v>
      </c>
      <c r="Q91" s="94"/>
      <c r="R91" s="94"/>
      <c r="S91" s="94"/>
      <c r="T91" s="94"/>
      <c r="U91" s="94"/>
      <c r="V91" s="94"/>
      <c r="W91" s="94"/>
      <c r="X91" s="94"/>
      <c r="Y91" s="94"/>
      <c r="Z91" s="94"/>
    </row>
    <row r="92" spans="1:26" x14ac:dyDescent="0.3">
      <c r="A92" s="94" t="s">
        <v>292</v>
      </c>
      <c r="B92" s="94" t="s">
        <v>200</v>
      </c>
      <c r="C92" s="94">
        <v>347.45</v>
      </c>
      <c r="D92" s="94"/>
      <c r="E92" s="94"/>
      <c r="F92" s="94"/>
      <c r="G92" s="94"/>
      <c r="H92" s="94"/>
      <c r="I92" s="95">
        <v>347.45</v>
      </c>
      <c r="J92" s="95">
        <f t="shared" si="7"/>
        <v>0</v>
      </c>
      <c r="K92" s="95">
        <f t="shared" si="8"/>
        <v>0</v>
      </c>
      <c r="L92" s="95">
        <f t="shared" si="9"/>
        <v>0</v>
      </c>
      <c r="M92" s="95">
        <f t="shared" si="10"/>
        <v>0</v>
      </c>
      <c r="N92" s="95">
        <f t="shared" si="11"/>
        <v>0</v>
      </c>
      <c r="O92" s="95">
        <f t="shared" si="12"/>
        <v>0</v>
      </c>
      <c r="P92" s="95">
        <f t="shared" si="13"/>
        <v>0</v>
      </c>
      <c r="Q92" s="94"/>
      <c r="R92" s="94"/>
      <c r="S92" s="94"/>
      <c r="T92" s="94"/>
      <c r="U92" s="94"/>
      <c r="V92" s="94"/>
      <c r="W92" s="94"/>
      <c r="X92" s="94"/>
      <c r="Y92" s="94"/>
      <c r="Z92" s="94"/>
    </row>
    <row r="93" spans="1:26" x14ac:dyDescent="0.3">
      <c r="A93" s="94" t="s">
        <v>292</v>
      </c>
      <c r="B93" s="94" t="s">
        <v>71</v>
      </c>
      <c r="C93" s="94">
        <v>347.45</v>
      </c>
      <c r="D93" s="94"/>
      <c r="E93" s="94"/>
      <c r="F93" s="94"/>
      <c r="G93" s="94"/>
      <c r="H93" s="94"/>
      <c r="I93" s="95">
        <v>347.45</v>
      </c>
      <c r="J93" s="95">
        <f t="shared" si="7"/>
        <v>0</v>
      </c>
      <c r="K93" s="95">
        <f t="shared" si="8"/>
        <v>0</v>
      </c>
      <c r="L93" s="95">
        <f t="shared" si="9"/>
        <v>0</v>
      </c>
      <c r="M93" s="95">
        <f t="shared" si="10"/>
        <v>0</v>
      </c>
      <c r="N93" s="95">
        <f t="shared" si="11"/>
        <v>0</v>
      </c>
      <c r="O93" s="95">
        <f t="shared" si="12"/>
        <v>0</v>
      </c>
      <c r="P93" s="95">
        <f t="shared" si="13"/>
        <v>0</v>
      </c>
      <c r="Q93" s="94"/>
      <c r="R93" s="94"/>
      <c r="S93" s="94"/>
      <c r="T93" s="94"/>
      <c r="U93" s="94"/>
      <c r="V93" s="94"/>
      <c r="W93" s="94"/>
      <c r="X93" s="94"/>
      <c r="Y93" s="94"/>
      <c r="Z93" s="94"/>
    </row>
    <row r="94" spans="1:26" x14ac:dyDescent="0.3">
      <c r="A94" s="94" t="s">
        <v>292</v>
      </c>
      <c r="B94" s="94" t="s">
        <v>75</v>
      </c>
      <c r="C94" s="94">
        <v>347.45</v>
      </c>
      <c r="D94" s="94"/>
      <c r="E94" s="94"/>
      <c r="F94" s="94">
        <v>507.62</v>
      </c>
      <c r="G94" s="94"/>
      <c r="H94" s="94"/>
      <c r="I94" s="95">
        <v>855.06999999999994</v>
      </c>
      <c r="J94" s="95">
        <f t="shared" si="7"/>
        <v>0</v>
      </c>
      <c r="K94" s="95">
        <f t="shared" si="8"/>
        <v>0</v>
      </c>
      <c r="L94" s="95">
        <f t="shared" si="9"/>
        <v>0</v>
      </c>
      <c r="M94" s="95">
        <f t="shared" si="10"/>
        <v>0</v>
      </c>
      <c r="N94" s="95">
        <f t="shared" si="11"/>
        <v>20</v>
      </c>
      <c r="O94" s="95">
        <f t="shared" si="12"/>
        <v>0</v>
      </c>
      <c r="P94" s="95">
        <f t="shared" si="13"/>
        <v>20</v>
      </c>
      <c r="Q94" s="94"/>
      <c r="R94" s="94"/>
      <c r="S94" s="94"/>
      <c r="T94" s="94"/>
      <c r="U94" s="94"/>
      <c r="V94" s="94"/>
      <c r="W94" s="94"/>
      <c r="X94" s="94"/>
      <c r="Y94" s="94"/>
      <c r="Z94" s="94"/>
    </row>
    <row r="95" spans="1:26" x14ac:dyDescent="0.3">
      <c r="A95" s="94" t="s">
        <v>292</v>
      </c>
      <c r="B95" s="94" t="s">
        <v>139</v>
      </c>
      <c r="C95" s="94"/>
      <c r="D95" s="94"/>
      <c r="E95" s="94"/>
      <c r="F95" s="94">
        <v>572.03</v>
      </c>
      <c r="G95" s="94"/>
      <c r="H95" s="94"/>
      <c r="I95" s="95">
        <v>572.03</v>
      </c>
      <c r="J95" s="95">
        <f t="shared" si="7"/>
        <v>0</v>
      </c>
      <c r="K95" s="95">
        <f t="shared" si="8"/>
        <v>0</v>
      </c>
      <c r="L95" s="95">
        <f t="shared" si="9"/>
        <v>0</v>
      </c>
      <c r="M95" s="95">
        <f t="shared" si="10"/>
        <v>0</v>
      </c>
      <c r="N95" s="95">
        <f t="shared" si="11"/>
        <v>20</v>
      </c>
      <c r="O95" s="95">
        <f t="shared" si="12"/>
        <v>0</v>
      </c>
      <c r="P95" s="95">
        <f t="shared" si="13"/>
        <v>20</v>
      </c>
      <c r="Q95" s="94"/>
      <c r="R95" s="94"/>
      <c r="S95" s="94"/>
      <c r="T95" s="94"/>
      <c r="U95" s="94"/>
      <c r="V95" s="94"/>
      <c r="W95" s="94"/>
      <c r="X95" s="94"/>
      <c r="Y95" s="94"/>
      <c r="Z95" s="94"/>
    </row>
    <row r="96" spans="1:26" x14ac:dyDescent="0.3">
      <c r="A96" s="94" t="s">
        <v>292</v>
      </c>
      <c r="B96" s="94" t="s">
        <v>911</v>
      </c>
      <c r="C96" s="94"/>
      <c r="D96" s="94"/>
      <c r="E96" s="94"/>
      <c r="F96" s="94"/>
      <c r="G96" s="94"/>
      <c r="H96" s="94"/>
      <c r="I96" s="95">
        <v>0</v>
      </c>
      <c r="J96" s="95">
        <f t="shared" si="7"/>
        <v>0</v>
      </c>
      <c r="K96" s="95">
        <f t="shared" si="8"/>
        <v>0</v>
      </c>
      <c r="L96" s="95">
        <f t="shared" si="9"/>
        <v>0</v>
      </c>
      <c r="M96" s="95">
        <f t="shared" si="10"/>
        <v>0</v>
      </c>
      <c r="N96" s="95">
        <f t="shared" si="11"/>
        <v>0</v>
      </c>
      <c r="O96" s="95">
        <f t="shared" si="12"/>
        <v>0</v>
      </c>
      <c r="P96" s="95">
        <f t="shared" si="13"/>
        <v>0</v>
      </c>
      <c r="Q96" s="94"/>
      <c r="R96" s="94"/>
      <c r="S96" s="94"/>
      <c r="T96" s="94"/>
      <c r="U96" s="94"/>
      <c r="V96" s="94"/>
      <c r="W96" s="94"/>
      <c r="X96" s="94"/>
      <c r="Y96" s="94"/>
      <c r="Z96" s="94"/>
    </row>
    <row r="97" spans="1:26" x14ac:dyDescent="0.3">
      <c r="A97" s="94" t="s">
        <v>292</v>
      </c>
      <c r="B97" s="94" t="s">
        <v>918</v>
      </c>
      <c r="C97" s="94"/>
      <c r="D97" s="94"/>
      <c r="E97" s="94"/>
      <c r="F97" s="94"/>
      <c r="G97" s="94"/>
      <c r="H97" s="94"/>
      <c r="I97" s="95">
        <v>0</v>
      </c>
      <c r="J97" s="95">
        <f t="shared" si="7"/>
        <v>0</v>
      </c>
      <c r="K97" s="95">
        <f t="shared" si="8"/>
        <v>0</v>
      </c>
      <c r="L97" s="95">
        <f t="shared" si="9"/>
        <v>0</v>
      </c>
      <c r="M97" s="95">
        <f t="shared" si="10"/>
        <v>0</v>
      </c>
      <c r="N97" s="95">
        <f t="shared" si="11"/>
        <v>0</v>
      </c>
      <c r="O97" s="95">
        <f t="shared" si="12"/>
        <v>0</v>
      </c>
      <c r="P97" s="95">
        <f t="shared" si="13"/>
        <v>0</v>
      </c>
      <c r="Q97" s="94"/>
      <c r="R97" s="94"/>
      <c r="S97" s="94"/>
      <c r="T97" s="94"/>
      <c r="U97" s="94"/>
      <c r="V97" s="94"/>
      <c r="W97" s="94"/>
      <c r="X97" s="94"/>
      <c r="Y97" s="94"/>
      <c r="Z97" s="94"/>
    </row>
    <row r="98" spans="1:26" x14ac:dyDescent="0.3">
      <c r="A98" s="94" t="s">
        <v>292</v>
      </c>
      <c r="B98" s="94" t="s">
        <v>161</v>
      </c>
      <c r="C98" s="94"/>
      <c r="D98" s="94"/>
      <c r="E98" s="94"/>
      <c r="F98" s="94"/>
      <c r="G98" s="94"/>
      <c r="H98" s="94"/>
      <c r="I98" s="95">
        <v>0</v>
      </c>
      <c r="J98" s="95">
        <f t="shared" si="7"/>
        <v>0</v>
      </c>
      <c r="K98" s="95">
        <f t="shared" si="8"/>
        <v>0</v>
      </c>
      <c r="L98" s="95">
        <f t="shared" si="9"/>
        <v>0</v>
      </c>
      <c r="M98" s="95">
        <f t="shared" si="10"/>
        <v>0</v>
      </c>
      <c r="N98" s="95">
        <f t="shared" si="11"/>
        <v>0</v>
      </c>
      <c r="O98" s="95">
        <f t="shared" si="12"/>
        <v>0</v>
      </c>
      <c r="P98" s="95">
        <f t="shared" si="13"/>
        <v>0</v>
      </c>
      <c r="Q98" s="94"/>
      <c r="R98" s="94"/>
      <c r="S98" s="94"/>
      <c r="T98" s="94"/>
      <c r="U98" s="94"/>
      <c r="V98" s="94"/>
      <c r="W98" s="94"/>
      <c r="X98" s="94"/>
      <c r="Y98" s="94"/>
      <c r="Z98" s="94"/>
    </row>
    <row r="99" spans="1:26" x14ac:dyDescent="0.3">
      <c r="A99" s="94" t="s">
        <v>292</v>
      </c>
      <c r="B99" s="94" t="s">
        <v>131</v>
      </c>
      <c r="C99" s="94"/>
      <c r="D99" s="94"/>
      <c r="E99" s="94"/>
      <c r="F99" s="94"/>
      <c r="G99" s="94"/>
      <c r="H99" s="94"/>
      <c r="I99" s="95">
        <v>0</v>
      </c>
      <c r="J99" s="95">
        <f t="shared" si="7"/>
        <v>0</v>
      </c>
      <c r="K99" s="95">
        <f t="shared" si="8"/>
        <v>0</v>
      </c>
      <c r="L99" s="95">
        <f t="shared" si="9"/>
        <v>0</v>
      </c>
      <c r="M99" s="95">
        <f t="shared" si="10"/>
        <v>0</v>
      </c>
      <c r="N99" s="95">
        <f t="shared" si="11"/>
        <v>0</v>
      </c>
      <c r="O99" s="95">
        <f t="shared" si="12"/>
        <v>0</v>
      </c>
      <c r="P99" s="95">
        <f t="shared" si="13"/>
        <v>0</v>
      </c>
      <c r="Q99" s="94"/>
      <c r="R99" s="94"/>
      <c r="S99" s="94"/>
      <c r="T99" s="94"/>
      <c r="U99" s="94"/>
      <c r="V99" s="94"/>
      <c r="W99" s="94"/>
      <c r="X99" s="94"/>
      <c r="Y99" s="94"/>
      <c r="Z99" s="94"/>
    </row>
    <row r="100" spans="1:26" x14ac:dyDescent="0.3">
      <c r="A100" s="94" t="s">
        <v>292</v>
      </c>
      <c r="B100" s="94" t="s">
        <v>971</v>
      </c>
      <c r="C100" s="94"/>
      <c r="D100" s="94"/>
      <c r="E100" s="94"/>
      <c r="F100" s="94"/>
      <c r="G100" s="94"/>
      <c r="H100" s="94"/>
      <c r="I100" s="95">
        <v>0</v>
      </c>
      <c r="J100" s="95">
        <f t="shared" si="7"/>
        <v>0</v>
      </c>
      <c r="K100" s="95">
        <f t="shared" si="8"/>
        <v>0</v>
      </c>
      <c r="L100" s="95">
        <f t="shared" si="9"/>
        <v>0</v>
      </c>
      <c r="M100" s="95">
        <f t="shared" si="10"/>
        <v>0</v>
      </c>
      <c r="N100" s="95">
        <f t="shared" si="11"/>
        <v>0</v>
      </c>
      <c r="O100" s="95">
        <f t="shared" si="12"/>
        <v>0</v>
      </c>
      <c r="P100" s="95">
        <f t="shared" si="13"/>
        <v>0</v>
      </c>
      <c r="Q100" s="94"/>
      <c r="R100" s="94"/>
      <c r="S100" s="94"/>
      <c r="T100" s="94"/>
      <c r="U100" s="94"/>
      <c r="V100" s="94"/>
      <c r="W100" s="94"/>
      <c r="X100" s="94"/>
      <c r="Y100" s="94"/>
      <c r="Z100" s="94"/>
    </row>
    <row r="101" spans="1:26" x14ac:dyDescent="0.3">
      <c r="A101" s="94" t="s">
        <v>292</v>
      </c>
      <c r="B101" s="94" t="s">
        <v>252</v>
      </c>
      <c r="C101" s="94"/>
      <c r="D101" s="94"/>
      <c r="E101" s="94"/>
      <c r="F101" s="94">
        <v>257.81</v>
      </c>
      <c r="G101" s="94"/>
      <c r="H101" s="94"/>
      <c r="I101" s="95">
        <v>257.81</v>
      </c>
      <c r="J101" s="95">
        <f t="shared" si="7"/>
        <v>0</v>
      </c>
      <c r="K101" s="95">
        <f t="shared" si="8"/>
        <v>0</v>
      </c>
      <c r="L101" s="95">
        <f t="shared" si="9"/>
        <v>0</v>
      </c>
      <c r="M101" s="95">
        <f t="shared" si="10"/>
        <v>0</v>
      </c>
      <c r="N101" s="95">
        <f t="shared" si="11"/>
        <v>20</v>
      </c>
      <c r="O101" s="95">
        <f t="shared" si="12"/>
        <v>0</v>
      </c>
      <c r="P101" s="95">
        <f t="shared" si="13"/>
        <v>20</v>
      </c>
      <c r="Q101" s="94"/>
      <c r="R101" s="94"/>
      <c r="S101" s="94"/>
      <c r="T101" s="94"/>
      <c r="U101" s="94"/>
      <c r="V101" s="94"/>
      <c r="W101" s="94"/>
      <c r="X101" s="94"/>
      <c r="Y101" s="94"/>
      <c r="Z101" s="94"/>
    </row>
    <row r="102" spans="1:26" x14ac:dyDescent="0.3">
      <c r="A102" s="94" t="s">
        <v>292</v>
      </c>
      <c r="B102" s="94" t="s">
        <v>1012</v>
      </c>
      <c r="C102" s="94"/>
      <c r="D102" s="94"/>
      <c r="E102" s="94"/>
      <c r="F102" s="94"/>
      <c r="G102" s="94"/>
      <c r="H102" s="94"/>
      <c r="I102" s="95">
        <v>0</v>
      </c>
      <c r="J102" s="95">
        <f t="shared" si="7"/>
        <v>0</v>
      </c>
      <c r="K102" s="95">
        <f t="shared" si="8"/>
        <v>0</v>
      </c>
      <c r="L102" s="95">
        <f t="shared" si="9"/>
        <v>0</v>
      </c>
      <c r="M102" s="95">
        <f t="shared" si="10"/>
        <v>0</v>
      </c>
      <c r="N102" s="95">
        <f t="shared" si="11"/>
        <v>0</v>
      </c>
      <c r="O102" s="95">
        <f t="shared" si="12"/>
        <v>0</v>
      </c>
      <c r="P102" s="95">
        <f t="shared" si="13"/>
        <v>0</v>
      </c>
      <c r="Q102" s="94"/>
      <c r="R102" s="94"/>
      <c r="S102" s="94"/>
      <c r="T102" s="94"/>
      <c r="U102" s="94"/>
      <c r="V102" s="94"/>
      <c r="W102" s="94"/>
      <c r="X102" s="94"/>
      <c r="Y102" s="94"/>
      <c r="Z102" s="94"/>
    </row>
    <row r="103" spans="1:26" x14ac:dyDescent="0.3">
      <c r="A103" s="94" t="s">
        <v>292</v>
      </c>
      <c r="B103" s="94" t="s">
        <v>1026</v>
      </c>
      <c r="C103" s="94"/>
      <c r="D103" s="94"/>
      <c r="E103" s="94"/>
      <c r="F103" s="94"/>
      <c r="G103" s="94"/>
      <c r="H103" s="94"/>
      <c r="I103" s="95">
        <v>0</v>
      </c>
      <c r="J103" s="95">
        <f t="shared" si="7"/>
        <v>0</v>
      </c>
      <c r="K103" s="95">
        <f t="shared" si="8"/>
        <v>0</v>
      </c>
      <c r="L103" s="95">
        <f t="shared" si="9"/>
        <v>0</v>
      </c>
      <c r="M103" s="95">
        <f t="shared" si="10"/>
        <v>0</v>
      </c>
      <c r="N103" s="95">
        <f t="shared" si="11"/>
        <v>0</v>
      </c>
      <c r="O103" s="95">
        <f t="shared" si="12"/>
        <v>0</v>
      </c>
      <c r="P103" s="95">
        <f t="shared" si="13"/>
        <v>0</v>
      </c>
      <c r="Q103" s="94"/>
      <c r="R103" s="94"/>
      <c r="S103" s="94"/>
      <c r="T103" s="94"/>
      <c r="U103" s="94"/>
      <c r="V103" s="94"/>
      <c r="W103" s="94"/>
      <c r="X103" s="94"/>
      <c r="Y103" s="94"/>
      <c r="Z103" s="94"/>
    </row>
    <row r="104" spans="1:26" x14ac:dyDescent="0.3">
      <c r="A104" s="94" t="s">
        <v>292</v>
      </c>
      <c r="B104" s="94" t="s">
        <v>248</v>
      </c>
      <c r="C104" s="94"/>
      <c r="D104" s="94"/>
      <c r="E104" s="94"/>
      <c r="F104" s="94"/>
      <c r="G104" s="94"/>
      <c r="H104" s="94"/>
      <c r="I104" s="95">
        <v>0</v>
      </c>
      <c r="J104" s="95">
        <f t="shared" si="7"/>
        <v>0</v>
      </c>
      <c r="K104" s="95">
        <f t="shared" si="8"/>
        <v>0</v>
      </c>
      <c r="L104" s="95">
        <f t="shared" si="9"/>
        <v>0</v>
      </c>
      <c r="M104" s="95">
        <f t="shared" si="10"/>
        <v>0</v>
      </c>
      <c r="N104" s="95">
        <f t="shared" si="11"/>
        <v>0</v>
      </c>
      <c r="O104" s="95">
        <f t="shared" si="12"/>
        <v>0</v>
      </c>
      <c r="P104" s="95">
        <f t="shared" si="13"/>
        <v>0</v>
      </c>
      <c r="Q104" s="94"/>
      <c r="R104" s="94"/>
      <c r="S104" s="94"/>
      <c r="T104" s="94"/>
      <c r="U104" s="94"/>
      <c r="V104" s="94"/>
      <c r="W104" s="94"/>
      <c r="X104" s="94"/>
      <c r="Y104" s="94"/>
      <c r="Z104" s="94"/>
    </row>
    <row r="105" spans="1:26" x14ac:dyDescent="0.3">
      <c r="A105" s="94" t="s">
        <v>292</v>
      </c>
      <c r="B105" s="94" t="s">
        <v>239</v>
      </c>
      <c r="C105" s="94"/>
      <c r="D105" s="94"/>
      <c r="E105" s="94"/>
      <c r="F105" s="94">
        <v>507.62</v>
      </c>
      <c r="G105" s="94"/>
      <c r="H105" s="94"/>
      <c r="I105" s="95">
        <v>507.62</v>
      </c>
      <c r="J105" s="95">
        <f t="shared" si="7"/>
        <v>0</v>
      </c>
      <c r="K105" s="95">
        <f t="shared" si="8"/>
        <v>0</v>
      </c>
      <c r="L105" s="95">
        <f t="shared" si="9"/>
        <v>0</v>
      </c>
      <c r="M105" s="95">
        <f t="shared" si="10"/>
        <v>0</v>
      </c>
      <c r="N105" s="95">
        <f t="shared" si="11"/>
        <v>20</v>
      </c>
      <c r="O105" s="95">
        <f t="shared" si="12"/>
        <v>0</v>
      </c>
      <c r="P105" s="95">
        <f t="shared" si="13"/>
        <v>20</v>
      </c>
      <c r="Q105" s="94"/>
      <c r="R105" s="94"/>
      <c r="S105" s="94"/>
      <c r="T105" s="94"/>
      <c r="U105" s="94"/>
      <c r="V105" s="94"/>
      <c r="W105" s="94"/>
      <c r="X105" s="94"/>
      <c r="Y105" s="94"/>
      <c r="Z105" s="94"/>
    </row>
    <row r="106" spans="1:26" x14ac:dyDescent="0.3">
      <c r="A106" s="94" t="s">
        <v>292</v>
      </c>
      <c r="B106" s="94" t="s">
        <v>121</v>
      </c>
      <c r="C106" s="94"/>
      <c r="D106" s="94"/>
      <c r="E106" s="94"/>
      <c r="F106" s="94"/>
      <c r="G106" s="94"/>
      <c r="H106" s="94"/>
      <c r="I106" s="95">
        <v>0</v>
      </c>
      <c r="J106" s="95">
        <f t="shared" si="7"/>
        <v>0</v>
      </c>
      <c r="K106" s="95">
        <f t="shared" si="8"/>
        <v>0</v>
      </c>
      <c r="L106" s="95">
        <f t="shared" si="9"/>
        <v>0</v>
      </c>
      <c r="M106" s="95">
        <f t="shared" si="10"/>
        <v>0</v>
      </c>
      <c r="N106" s="95">
        <f t="shared" si="11"/>
        <v>0</v>
      </c>
      <c r="O106" s="95">
        <f t="shared" si="12"/>
        <v>0</v>
      </c>
      <c r="P106" s="95">
        <f t="shared" si="13"/>
        <v>0</v>
      </c>
      <c r="Q106" s="94"/>
      <c r="R106" s="94"/>
      <c r="S106" s="94"/>
      <c r="T106" s="94"/>
      <c r="U106" s="94"/>
      <c r="V106" s="94"/>
      <c r="W106" s="94"/>
      <c r="X106" s="94"/>
      <c r="Y106" s="94"/>
      <c r="Z106" s="94"/>
    </row>
    <row r="107" spans="1:26" x14ac:dyDescent="0.3">
      <c r="A107" s="94" t="s">
        <v>292</v>
      </c>
      <c r="B107" s="94" t="s">
        <v>156</v>
      </c>
      <c r="C107" s="94"/>
      <c r="D107" s="94"/>
      <c r="E107" s="94"/>
      <c r="F107" s="94"/>
      <c r="G107" s="94"/>
      <c r="H107" s="94"/>
      <c r="I107" s="95">
        <v>0</v>
      </c>
      <c r="J107" s="95">
        <f t="shared" si="7"/>
        <v>0</v>
      </c>
      <c r="K107" s="95">
        <f t="shared" si="8"/>
        <v>0</v>
      </c>
      <c r="L107" s="95">
        <f t="shared" si="9"/>
        <v>0</v>
      </c>
      <c r="M107" s="95">
        <f t="shared" si="10"/>
        <v>0</v>
      </c>
      <c r="N107" s="95">
        <f t="shared" si="11"/>
        <v>0</v>
      </c>
      <c r="O107" s="95">
        <f t="shared" si="12"/>
        <v>0</v>
      </c>
      <c r="P107" s="95">
        <f t="shared" si="13"/>
        <v>0</v>
      </c>
      <c r="Q107" s="94"/>
      <c r="R107" s="94"/>
      <c r="S107" s="94"/>
      <c r="T107" s="94"/>
      <c r="U107" s="94"/>
      <c r="V107" s="94"/>
      <c r="W107" s="94"/>
      <c r="X107" s="94"/>
      <c r="Y107" s="94"/>
      <c r="Z107" s="94"/>
    </row>
    <row r="108" spans="1:26" x14ac:dyDescent="0.3">
      <c r="A108" s="94" t="s">
        <v>292</v>
      </c>
      <c r="B108" s="94" t="s">
        <v>1202</v>
      </c>
      <c r="C108" s="94"/>
      <c r="D108" s="94"/>
      <c r="E108" s="94"/>
      <c r="F108" s="94"/>
      <c r="G108" s="94"/>
      <c r="H108" s="94"/>
      <c r="I108" s="95">
        <v>0</v>
      </c>
      <c r="J108" s="95">
        <f t="shared" si="7"/>
        <v>0</v>
      </c>
      <c r="K108" s="95">
        <f t="shared" si="8"/>
        <v>0</v>
      </c>
      <c r="L108" s="95">
        <f t="shared" si="9"/>
        <v>0</v>
      </c>
      <c r="M108" s="95">
        <f t="shared" si="10"/>
        <v>0</v>
      </c>
      <c r="N108" s="95">
        <f t="shared" si="11"/>
        <v>0</v>
      </c>
      <c r="O108" s="95">
        <f t="shared" si="12"/>
        <v>0</v>
      </c>
      <c r="P108" s="95">
        <f t="shared" si="13"/>
        <v>0</v>
      </c>
      <c r="Q108" s="94"/>
      <c r="R108" s="94"/>
      <c r="S108" s="94"/>
      <c r="T108" s="94"/>
      <c r="U108" s="94"/>
      <c r="V108" s="94"/>
      <c r="W108" s="94"/>
      <c r="X108" s="94"/>
      <c r="Y108" s="94"/>
      <c r="Z108" s="94"/>
    </row>
    <row r="109" spans="1:26" x14ac:dyDescent="0.3">
      <c r="A109" s="94" t="s">
        <v>292</v>
      </c>
      <c r="B109" s="94" t="s">
        <v>244</v>
      </c>
      <c r="C109" s="94"/>
      <c r="D109" s="94"/>
      <c r="E109" s="94"/>
      <c r="F109" s="94"/>
      <c r="G109" s="94"/>
      <c r="H109" s="94"/>
      <c r="I109" s="95">
        <v>0</v>
      </c>
      <c r="J109" s="95">
        <f t="shared" si="7"/>
        <v>0</v>
      </c>
      <c r="K109" s="95">
        <f t="shared" si="8"/>
        <v>0</v>
      </c>
      <c r="L109" s="95">
        <f t="shared" si="9"/>
        <v>0</v>
      </c>
      <c r="M109" s="95">
        <f t="shared" si="10"/>
        <v>0</v>
      </c>
      <c r="N109" s="95">
        <f t="shared" si="11"/>
        <v>0</v>
      </c>
      <c r="O109" s="95">
        <f t="shared" si="12"/>
        <v>0</v>
      </c>
      <c r="P109" s="95">
        <f t="shared" si="13"/>
        <v>0</v>
      </c>
      <c r="Q109" s="94"/>
      <c r="R109" s="94"/>
      <c r="S109" s="94"/>
      <c r="T109" s="94"/>
      <c r="U109" s="94"/>
      <c r="V109" s="94"/>
      <c r="W109" s="94"/>
      <c r="X109" s="94"/>
      <c r="Y109" s="94"/>
      <c r="Z109" s="94"/>
    </row>
    <row r="110" spans="1:26" x14ac:dyDescent="0.3">
      <c r="A110" s="94" t="s">
        <v>292</v>
      </c>
      <c r="B110" s="94" t="s">
        <v>1222</v>
      </c>
      <c r="C110" s="94"/>
      <c r="D110" s="94"/>
      <c r="E110" s="94"/>
      <c r="F110" s="94"/>
      <c r="G110" s="94"/>
      <c r="H110" s="94"/>
      <c r="I110" s="95">
        <v>0</v>
      </c>
      <c r="J110" s="95">
        <f t="shared" si="7"/>
        <v>0</v>
      </c>
      <c r="K110" s="95">
        <f t="shared" si="8"/>
        <v>0</v>
      </c>
      <c r="L110" s="95">
        <f t="shared" si="9"/>
        <v>0</v>
      </c>
      <c r="M110" s="95">
        <f t="shared" si="10"/>
        <v>0</v>
      </c>
      <c r="N110" s="95">
        <f t="shared" si="11"/>
        <v>0</v>
      </c>
      <c r="O110" s="95">
        <f t="shared" si="12"/>
        <v>0</v>
      </c>
      <c r="P110" s="95">
        <f t="shared" si="13"/>
        <v>0</v>
      </c>
      <c r="Q110" s="94"/>
      <c r="R110" s="94"/>
      <c r="S110" s="94"/>
      <c r="T110" s="94"/>
      <c r="U110" s="94"/>
      <c r="V110" s="94"/>
      <c r="W110" s="94"/>
      <c r="X110" s="94"/>
      <c r="Y110" s="94"/>
      <c r="Z110" s="94"/>
    </row>
    <row r="111" spans="1:26" x14ac:dyDescent="0.3">
      <c r="A111" s="94" t="s">
        <v>292</v>
      </c>
      <c r="B111" s="94" t="s">
        <v>1258</v>
      </c>
      <c r="C111" s="94"/>
      <c r="D111" s="94"/>
      <c r="E111" s="94"/>
      <c r="F111" s="94"/>
      <c r="G111" s="94"/>
      <c r="H111" s="94"/>
      <c r="I111" s="95">
        <v>0</v>
      </c>
      <c r="J111" s="95">
        <f t="shared" si="7"/>
        <v>0</v>
      </c>
      <c r="K111" s="95">
        <f t="shared" si="8"/>
        <v>0</v>
      </c>
      <c r="L111" s="95">
        <f t="shared" si="9"/>
        <v>0</v>
      </c>
      <c r="M111" s="95">
        <f t="shared" si="10"/>
        <v>0</v>
      </c>
      <c r="N111" s="95">
        <f t="shared" si="11"/>
        <v>0</v>
      </c>
      <c r="O111" s="95">
        <f t="shared" si="12"/>
        <v>0</v>
      </c>
      <c r="P111" s="95">
        <f t="shared" si="13"/>
        <v>0</v>
      </c>
      <c r="Q111" s="94"/>
      <c r="R111" s="94"/>
      <c r="S111" s="94"/>
      <c r="T111" s="94"/>
      <c r="U111" s="94"/>
      <c r="V111" s="94"/>
      <c r="W111" s="94"/>
      <c r="X111" s="94"/>
      <c r="Y111" s="94"/>
      <c r="Z111" s="94"/>
    </row>
    <row r="112" spans="1:26" x14ac:dyDescent="0.3">
      <c r="A112" s="94" t="s">
        <v>292</v>
      </c>
      <c r="B112" s="94" t="s">
        <v>231</v>
      </c>
      <c r="C112" s="94"/>
      <c r="D112" s="94"/>
      <c r="E112" s="94"/>
      <c r="F112" s="94">
        <v>507.62</v>
      </c>
      <c r="G112" s="94"/>
      <c r="H112" s="94"/>
      <c r="I112" s="95">
        <v>507.62</v>
      </c>
      <c r="J112" s="95">
        <f t="shared" si="7"/>
        <v>0</v>
      </c>
      <c r="K112" s="95">
        <f t="shared" si="8"/>
        <v>0</v>
      </c>
      <c r="L112" s="95">
        <f t="shared" si="9"/>
        <v>0</v>
      </c>
      <c r="M112" s="95">
        <f t="shared" si="10"/>
        <v>0</v>
      </c>
      <c r="N112" s="95">
        <f t="shared" si="11"/>
        <v>20</v>
      </c>
      <c r="O112" s="95">
        <f t="shared" si="12"/>
        <v>0</v>
      </c>
      <c r="P112" s="95">
        <f t="shared" si="13"/>
        <v>20</v>
      </c>
      <c r="Q112" s="94"/>
      <c r="R112" s="94"/>
      <c r="S112" s="94"/>
      <c r="T112" s="94"/>
      <c r="U112" s="94"/>
      <c r="V112" s="94"/>
      <c r="W112" s="94"/>
      <c r="X112" s="94"/>
      <c r="Y112" s="94"/>
      <c r="Z112" s="94"/>
    </row>
    <row r="113" spans="1:26" x14ac:dyDescent="0.3">
      <c r="A113" s="94" t="s">
        <v>292</v>
      </c>
      <c r="B113" s="94" t="s">
        <v>1434</v>
      </c>
      <c r="C113" s="94"/>
      <c r="D113" s="94"/>
      <c r="E113" s="94"/>
      <c r="F113" s="94"/>
      <c r="G113" s="94"/>
      <c r="H113" s="94"/>
      <c r="I113" s="95">
        <v>0</v>
      </c>
      <c r="J113" s="95">
        <f t="shared" si="7"/>
        <v>0</v>
      </c>
      <c r="K113" s="95">
        <f t="shared" si="8"/>
        <v>0</v>
      </c>
      <c r="L113" s="95">
        <f t="shared" si="9"/>
        <v>0</v>
      </c>
      <c r="M113" s="95">
        <f t="shared" si="10"/>
        <v>0</v>
      </c>
      <c r="N113" s="95">
        <f t="shared" si="11"/>
        <v>0</v>
      </c>
      <c r="O113" s="95">
        <f t="shared" si="12"/>
        <v>0</v>
      </c>
      <c r="P113" s="95">
        <f t="shared" si="13"/>
        <v>0</v>
      </c>
      <c r="Q113" s="94"/>
      <c r="R113" s="94"/>
      <c r="S113" s="94"/>
      <c r="T113" s="94"/>
      <c r="U113" s="94"/>
      <c r="V113" s="94"/>
      <c r="W113" s="94"/>
      <c r="X113" s="94"/>
      <c r="Y113" s="94"/>
      <c r="Z113" s="94"/>
    </row>
    <row r="114" spans="1:26" x14ac:dyDescent="0.3">
      <c r="A114" s="94" t="s">
        <v>292</v>
      </c>
      <c r="B114" s="94" t="s">
        <v>1460</v>
      </c>
      <c r="C114" s="94"/>
      <c r="D114" s="94"/>
      <c r="E114" s="94"/>
      <c r="F114" s="94"/>
      <c r="G114" s="94"/>
      <c r="H114" s="94"/>
      <c r="I114" s="95">
        <v>0</v>
      </c>
      <c r="J114" s="95">
        <f t="shared" si="7"/>
        <v>0</v>
      </c>
      <c r="K114" s="95">
        <f t="shared" si="8"/>
        <v>0</v>
      </c>
      <c r="L114" s="95">
        <f t="shared" si="9"/>
        <v>0</v>
      </c>
      <c r="M114" s="95">
        <f t="shared" si="10"/>
        <v>0</v>
      </c>
      <c r="N114" s="95">
        <f t="shared" si="11"/>
        <v>0</v>
      </c>
      <c r="O114" s="95">
        <f t="shared" si="12"/>
        <v>0</v>
      </c>
      <c r="P114" s="95">
        <f t="shared" si="13"/>
        <v>0</v>
      </c>
      <c r="Q114" s="94"/>
      <c r="R114" s="94"/>
      <c r="S114" s="94"/>
      <c r="T114" s="94"/>
      <c r="U114" s="94"/>
      <c r="V114" s="94"/>
      <c r="W114" s="94"/>
      <c r="X114" s="94"/>
      <c r="Y114" s="94"/>
      <c r="Z114" s="94"/>
    </row>
    <row r="115" spans="1:26" x14ac:dyDescent="0.3">
      <c r="A115" s="94" t="s">
        <v>292</v>
      </c>
      <c r="B115" s="94" t="s">
        <v>1482</v>
      </c>
      <c r="C115" s="94"/>
      <c r="D115" s="94"/>
      <c r="E115" s="94"/>
      <c r="F115" s="94"/>
      <c r="G115" s="94"/>
      <c r="H115" s="94"/>
      <c r="I115" s="95">
        <v>0</v>
      </c>
      <c r="J115" s="95">
        <f t="shared" si="7"/>
        <v>0</v>
      </c>
      <c r="K115" s="95">
        <f t="shared" si="8"/>
        <v>0</v>
      </c>
      <c r="L115" s="95">
        <f t="shared" si="9"/>
        <v>0</v>
      </c>
      <c r="M115" s="95">
        <f t="shared" si="10"/>
        <v>0</v>
      </c>
      <c r="N115" s="95">
        <f t="shared" si="11"/>
        <v>0</v>
      </c>
      <c r="O115" s="95">
        <f t="shared" si="12"/>
        <v>0</v>
      </c>
      <c r="P115" s="95">
        <f t="shared" si="13"/>
        <v>0</v>
      </c>
      <c r="Q115" s="94"/>
      <c r="R115" s="94"/>
      <c r="S115" s="94"/>
      <c r="T115" s="94"/>
      <c r="U115" s="94"/>
      <c r="V115" s="94"/>
      <c r="W115" s="94"/>
      <c r="X115" s="94"/>
      <c r="Y115" s="94"/>
      <c r="Z115" s="94"/>
    </row>
    <row r="116" spans="1:26" x14ac:dyDescent="0.3">
      <c r="A116" s="94" t="s">
        <v>292</v>
      </c>
      <c r="B116" s="94" t="s">
        <v>1564</v>
      </c>
      <c r="C116" s="94"/>
      <c r="D116" s="94"/>
      <c r="E116" s="94"/>
      <c r="F116" s="94"/>
      <c r="G116" s="94"/>
      <c r="H116" s="94"/>
      <c r="I116" s="95">
        <v>0</v>
      </c>
      <c r="J116" s="95">
        <f t="shared" si="7"/>
        <v>0</v>
      </c>
      <c r="K116" s="95">
        <f t="shared" si="8"/>
        <v>0</v>
      </c>
      <c r="L116" s="95">
        <f t="shared" si="9"/>
        <v>0</v>
      </c>
      <c r="M116" s="95">
        <f t="shared" si="10"/>
        <v>0</v>
      </c>
      <c r="N116" s="95">
        <f t="shared" si="11"/>
        <v>0</v>
      </c>
      <c r="O116" s="95">
        <f t="shared" si="12"/>
        <v>0</v>
      </c>
      <c r="P116" s="95">
        <f t="shared" si="13"/>
        <v>0</v>
      </c>
      <c r="Q116" s="94"/>
      <c r="R116" s="94"/>
      <c r="S116" s="94"/>
      <c r="T116" s="94"/>
      <c r="U116" s="94"/>
      <c r="V116" s="94"/>
      <c r="W116" s="94"/>
      <c r="X116" s="94"/>
      <c r="Y116" s="94"/>
      <c r="Z116" s="94"/>
    </row>
    <row r="117" spans="1:26" x14ac:dyDescent="0.3">
      <c r="A117" s="94" t="s">
        <v>292</v>
      </c>
      <c r="B117" s="94" t="s">
        <v>1629</v>
      </c>
      <c r="C117" s="94"/>
      <c r="D117" s="94"/>
      <c r="E117" s="94"/>
      <c r="F117" s="94"/>
      <c r="G117" s="94"/>
      <c r="H117" s="94"/>
      <c r="I117" s="95">
        <v>0</v>
      </c>
      <c r="J117" s="95">
        <f t="shared" si="7"/>
        <v>0</v>
      </c>
      <c r="K117" s="95">
        <f t="shared" si="8"/>
        <v>0</v>
      </c>
      <c r="L117" s="95">
        <f t="shared" si="9"/>
        <v>0</v>
      </c>
      <c r="M117" s="95">
        <f t="shared" si="10"/>
        <v>0</v>
      </c>
      <c r="N117" s="95">
        <f t="shared" si="11"/>
        <v>0</v>
      </c>
      <c r="O117" s="95">
        <f t="shared" si="12"/>
        <v>0</v>
      </c>
      <c r="P117" s="95">
        <f t="shared" si="13"/>
        <v>0</v>
      </c>
      <c r="Q117" s="94"/>
      <c r="R117" s="94"/>
      <c r="S117" s="94"/>
      <c r="T117" s="94"/>
      <c r="U117" s="94"/>
      <c r="V117" s="94"/>
      <c r="W117" s="94"/>
      <c r="X117" s="94"/>
      <c r="Y117" s="94"/>
      <c r="Z117" s="94"/>
    </row>
    <row r="118" spans="1:26" x14ac:dyDescent="0.3">
      <c r="A118" s="94" t="s">
        <v>292</v>
      </c>
      <c r="B118" s="94" t="s">
        <v>1634</v>
      </c>
      <c r="C118" s="94"/>
      <c r="D118" s="94"/>
      <c r="E118" s="94"/>
      <c r="F118" s="94"/>
      <c r="G118" s="94"/>
      <c r="H118" s="94"/>
      <c r="I118" s="95">
        <v>0</v>
      </c>
      <c r="J118" s="95">
        <f t="shared" si="7"/>
        <v>0</v>
      </c>
      <c r="K118" s="95">
        <f t="shared" si="8"/>
        <v>0</v>
      </c>
      <c r="L118" s="95">
        <f t="shared" si="9"/>
        <v>0</v>
      </c>
      <c r="M118" s="95">
        <f t="shared" si="10"/>
        <v>0</v>
      </c>
      <c r="N118" s="95">
        <f t="shared" si="11"/>
        <v>0</v>
      </c>
      <c r="O118" s="95">
        <f t="shared" si="12"/>
        <v>0</v>
      </c>
      <c r="P118" s="95">
        <f t="shared" si="13"/>
        <v>0</v>
      </c>
      <c r="Q118" s="94"/>
      <c r="R118" s="94"/>
      <c r="S118" s="94"/>
      <c r="T118" s="94"/>
      <c r="U118" s="94"/>
      <c r="V118" s="94"/>
      <c r="W118" s="94"/>
      <c r="X118" s="94"/>
      <c r="Y118" s="94"/>
      <c r="Z118" s="94"/>
    </row>
    <row r="119" spans="1:26" x14ac:dyDescent="0.3">
      <c r="A119" s="94" t="s">
        <v>292</v>
      </c>
      <c r="B119" s="94" t="s">
        <v>1641</v>
      </c>
      <c r="C119" s="94"/>
      <c r="D119" s="94"/>
      <c r="E119" s="94"/>
      <c r="F119" s="94"/>
      <c r="G119" s="94"/>
      <c r="H119" s="94"/>
      <c r="I119" s="95">
        <v>0</v>
      </c>
      <c r="J119" s="95">
        <f t="shared" si="7"/>
        <v>0</v>
      </c>
      <c r="K119" s="95">
        <f t="shared" si="8"/>
        <v>0</v>
      </c>
      <c r="L119" s="95">
        <f t="shared" si="9"/>
        <v>0</v>
      </c>
      <c r="M119" s="95">
        <f t="shared" si="10"/>
        <v>0</v>
      </c>
      <c r="N119" s="95">
        <f t="shared" si="11"/>
        <v>0</v>
      </c>
      <c r="O119" s="95">
        <f t="shared" si="12"/>
        <v>0</v>
      </c>
      <c r="P119" s="95">
        <f t="shared" si="13"/>
        <v>0</v>
      </c>
      <c r="Q119" s="94"/>
      <c r="R119" s="94"/>
      <c r="S119" s="94"/>
      <c r="T119" s="94"/>
      <c r="U119" s="94"/>
      <c r="V119" s="94"/>
      <c r="W119" s="94"/>
      <c r="X119" s="94"/>
      <c r="Y119" s="94"/>
      <c r="Z119" s="94"/>
    </row>
    <row r="120" spans="1:26" x14ac:dyDescent="0.3">
      <c r="A120" s="94" t="s">
        <v>292</v>
      </c>
      <c r="B120" s="94" t="s">
        <v>1646</v>
      </c>
      <c r="C120" s="94"/>
      <c r="D120" s="94"/>
      <c r="E120" s="94"/>
      <c r="F120" s="94"/>
      <c r="G120" s="94"/>
      <c r="H120" s="94"/>
      <c r="I120" s="95">
        <v>0</v>
      </c>
      <c r="J120" s="95">
        <f t="shared" si="7"/>
        <v>0</v>
      </c>
      <c r="K120" s="95">
        <f t="shared" si="8"/>
        <v>0</v>
      </c>
      <c r="L120" s="95">
        <f t="shared" si="9"/>
        <v>0</v>
      </c>
      <c r="M120" s="95">
        <f t="shared" si="10"/>
        <v>0</v>
      </c>
      <c r="N120" s="95">
        <f t="shared" si="11"/>
        <v>0</v>
      </c>
      <c r="O120" s="95">
        <f t="shared" si="12"/>
        <v>0</v>
      </c>
      <c r="P120" s="95">
        <f t="shared" si="13"/>
        <v>0</v>
      </c>
      <c r="Q120" s="94"/>
      <c r="R120" s="94"/>
      <c r="S120" s="94"/>
      <c r="T120" s="94"/>
      <c r="U120" s="94"/>
      <c r="V120" s="94"/>
      <c r="W120" s="94"/>
      <c r="X120" s="94"/>
      <c r="Y120" s="94"/>
      <c r="Z120" s="94"/>
    </row>
    <row r="121" spans="1:26" x14ac:dyDescent="0.3">
      <c r="A121" s="94" t="s">
        <v>292</v>
      </c>
      <c r="B121" s="94" t="s">
        <v>1657</v>
      </c>
      <c r="C121" s="94"/>
      <c r="D121" s="94"/>
      <c r="E121" s="94"/>
      <c r="F121" s="94"/>
      <c r="G121" s="94"/>
      <c r="H121" s="94"/>
      <c r="I121" s="95">
        <v>0</v>
      </c>
      <c r="J121" s="95">
        <f t="shared" si="7"/>
        <v>0</v>
      </c>
      <c r="K121" s="95">
        <f t="shared" si="8"/>
        <v>0</v>
      </c>
      <c r="L121" s="95">
        <f t="shared" si="9"/>
        <v>0</v>
      </c>
      <c r="M121" s="95">
        <f t="shared" si="10"/>
        <v>0</v>
      </c>
      <c r="N121" s="95">
        <f t="shared" si="11"/>
        <v>0</v>
      </c>
      <c r="O121" s="95">
        <f t="shared" si="12"/>
        <v>0</v>
      </c>
      <c r="P121" s="95">
        <f t="shared" si="13"/>
        <v>0</v>
      </c>
      <c r="Q121" s="94"/>
      <c r="R121" s="94"/>
      <c r="S121" s="94"/>
      <c r="T121" s="94"/>
      <c r="U121" s="94"/>
      <c r="V121" s="94"/>
      <c r="W121" s="94"/>
      <c r="X121" s="94"/>
      <c r="Y121" s="94"/>
      <c r="Z121" s="94"/>
    </row>
    <row r="122" spans="1:26" x14ac:dyDescent="0.3">
      <c r="A122" s="94" t="s">
        <v>292</v>
      </c>
      <c r="B122" s="94" t="s">
        <v>1661</v>
      </c>
      <c r="C122" s="94"/>
      <c r="D122" s="94"/>
      <c r="E122" s="94"/>
      <c r="F122" s="94"/>
      <c r="G122" s="94"/>
      <c r="H122" s="94"/>
      <c r="I122" s="95">
        <v>0</v>
      </c>
      <c r="J122" s="95">
        <f t="shared" si="7"/>
        <v>0</v>
      </c>
      <c r="K122" s="95">
        <f t="shared" si="8"/>
        <v>0</v>
      </c>
      <c r="L122" s="95">
        <f t="shared" si="9"/>
        <v>0</v>
      </c>
      <c r="M122" s="95">
        <f t="shared" si="10"/>
        <v>0</v>
      </c>
      <c r="N122" s="95">
        <f t="shared" si="11"/>
        <v>0</v>
      </c>
      <c r="O122" s="95">
        <f t="shared" si="12"/>
        <v>0</v>
      </c>
      <c r="P122" s="95">
        <f t="shared" si="13"/>
        <v>0</v>
      </c>
      <c r="Q122" s="94"/>
      <c r="R122" s="94"/>
      <c r="S122" s="94"/>
      <c r="T122" s="94"/>
      <c r="U122" s="94"/>
      <c r="V122" s="94"/>
      <c r="W122" s="94"/>
      <c r="X122" s="94"/>
      <c r="Y122" s="94"/>
      <c r="Z122" s="94"/>
    </row>
    <row r="123" spans="1:26" x14ac:dyDescent="0.3">
      <c r="A123" s="94" t="s">
        <v>292</v>
      </c>
      <c r="B123" s="94" t="s">
        <v>1685</v>
      </c>
      <c r="C123" s="94"/>
      <c r="D123" s="94"/>
      <c r="E123" s="94"/>
      <c r="F123" s="94"/>
      <c r="G123" s="94"/>
      <c r="H123" s="94"/>
      <c r="I123" s="95">
        <v>0</v>
      </c>
      <c r="J123" s="95">
        <f t="shared" si="7"/>
        <v>0</v>
      </c>
      <c r="K123" s="95">
        <f t="shared" si="8"/>
        <v>0</v>
      </c>
      <c r="L123" s="95">
        <f t="shared" si="9"/>
        <v>0</v>
      </c>
      <c r="M123" s="95">
        <f t="shared" si="10"/>
        <v>0</v>
      </c>
      <c r="N123" s="95">
        <f t="shared" si="11"/>
        <v>0</v>
      </c>
      <c r="O123" s="95">
        <f t="shared" si="12"/>
        <v>0</v>
      </c>
      <c r="P123" s="95">
        <f t="shared" si="13"/>
        <v>0</v>
      </c>
      <c r="Q123" s="94"/>
      <c r="R123" s="94"/>
      <c r="S123" s="94"/>
      <c r="T123" s="94"/>
      <c r="U123" s="94"/>
      <c r="V123" s="94"/>
      <c r="W123" s="94"/>
      <c r="X123" s="94"/>
      <c r="Y123" s="94"/>
      <c r="Z123" s="94"/>
    </row>
    <row r="124" spans="1:26" x14ac:dyDescent="0.3">
      <c r="A124" s="94" t="s">
        <v>292</v>
      </c>
      <c r="B124" s="94" t="s">
        <v>1699</v>
      </c>
      <c r="C124" s="94"/>
      <c r="D124" s="94"/>
      <c r="E124" s="94"/>
      <c r="F124" s="94"/>
      <c r="G124" s="94"/>
      <c r="H124" s="94"/>
      <c r="I124" s="95">
        <v>0</v>
      </c>
      <c r="J124" s="95">
        <f t="shared" si="7"/>
        <v>0</v>
      </c>
      <c r="K124" s="95">
        <f t="shared" si="8"/>
        <v>0</v>
      </c>
      <c r="L124" s="95">
        <f t="shared" si="9"/>
        <v>0</v>
      </c>
      <c r="M124" s="95">
        <f t="shared" si="10"/>
        <v>0</v>
      </c>
      <c r="N124" s="95">
        <f t="shared" si="11"/>
        <v>0</v>
      </c>
      <c r="O124" s="95">
        <f t="shared" si="12"/>
        <v>0</v>
      </c>
      <c r="P124" s="95">
        <f t="shared" si="13"/>
        <v>0</v>
      </c>
      <c r="Q124" s="94"/>
      <c r="R124" s="94"/>
      <c r="S124" s="94"/>
      <c r="T124" s="94"/>
      <c r="U124" s="94"/>
      <c r="V124" s="94"/>
      <c r="W124" s="94"/>
      <c r="X124" s="94"/>
      <c r="Y124" s="94"/>
      <c r="Z124" s="94"/>
    </row>
    <row r="125" spans="1:26" x14ac:dyDescent="0.3">
      <c r="A125" s="94" t="s">
        <v>292</v>
      </c>
      <c r="B125" s="94" t="s">
        <v>1713</v>
      </c>
      <c r="C125" s="94"/>
      <c r="D125" s="94"/>
      <c r="E125" s="94"/>
      <c r="F125" s="94"/>
      <c r="G125" s="94"/>
      <c r="H125" s="94"/>
      <c r="I125" s="95">
        <v>0</v>
      </c>
      <c r="J125" s="95">
        <f t="shared" si="7"/>
        <v>0</v>
      </c>
      <c r="K125" s="95">
        <f t="shared" si="8"/>
        <v>0</v>
      </c>
      <c r="L125" s="95">
        <f t="shared" si="9"/>
        <v>0</v>
      </c>
      <c r="M125" s="95">
        <f t="shared" si="10"/>
        <v>0</v>
      </c>
      <c r="N125" s="95">
        <f t="shared" si="11"/>
        <v>0</v>
      </c>
      <c r="O125" s="95">
        <f t="shared" si="12"/>
        <v>0</v>
      </c>
      <c r="P125" s="95">
        <f t="shared" si="13"/>
        <v>0</v>
      </c>
      <c r="Q125" s="94"/>
      <c r="R125" s="94"/>
      <c r="S125" s="94"/>
      <c r="T125" s="94"/>
      <c r="U125" s="94"/>
      <c r="V125" s="94"/>
      <c r="W125" s="94"/>
      <c r="X125" s="94"/>
      <c r="Y125" s="94"/>
      <c r="Z125" s="94"/>
    </row>
    <row r="126" spans="1:26" x14ac:dyDescent="0.3">
      <c r="A126" s="94" t="s">
        <v>292</v>
      </c>
      <c r="B126" s="94" t="s">
        <v>144</v>
      </c>
      <c r="C126" s="94"/>
      <c r="D126" s="94"/>
      <c r="E126" s="94"/>
      <c r="F126" s="94"/>
      <c r="G126" s="94"/>
      <c r="H126" s="94"/>
      <c r="I126" s="95">
        <v>0</v>
      </c>
      <c r="J126" s="95">
        <f t="shared" si="7"/>
        <v>0</v>
      </c>
      <c r="K126" s="95">
        <f t="shared" si="8"/>
        <v>0</v>
      </c>
      <c r="L126" s="95">
        <f t="shared" si="9"/>
        <v>0</v>
      </c>
      <c r="M126" s="95">
        <f t="shared" si="10"/>
        <v>0</v>
      </c>
      <c r="N126" s="95">
        <f t="shared" si="11"/>
        <v>0</v>
      </c>
      <c r="O126" s="95">
        <f t="shared" si="12"/>
        <v>0</v>
      </c>
      <c r="P126" s="95">
        <f t="shared" si="13"/>
        <v>0</v>
      </c>
      <c r="Q126" s="94"/>
      <c r="R126" s="94"/>
      <c r="S126" s="94"/>
      <c r="T126" s="94"/>
      <c r="U126" s="94"/>
      <c r="V126" s="94"/>
      <c r="W126" s="94"/>
      <c r="X126" s="94"/>
      <c r="Y126" s="94"/>
      <c r="Z126" s="94"/>
    </row>
    <row r="127" spans="1:26" x14ac:dyDescent="0.3">
      <c r="A127" s="94" t="s">
        <v>292</v>
      </c>
      <c r="B127" s="94" t="s">
        <v>1773</v>
      </c>
      <c r="C127" s="94"/>
      <c r="D127" s="94"/>
      <c r="E127" s="94"/>
      <c r="F127" s="94"/>
      <c r="G127" s="94"/>
      <c r="H127" s="94"/>
      <c r="I127" s="95">
        <v>0</v>
      </c>
      <c r="J127" s="95">
        <f t="shared" si="7"/>
        <v>0</v>
      </c>
      <c r="K127" s="95">
        <f t="shared" si="8"/>
        <v>0</v>
      </c>
      <c r="L127" s="95">
        <f t="shared" si="9"/>
        <v>0</v>
      </c>
      <c r="M127" s="95">
        <f t="shared" si="10"/>
        <v>0</v>
      </c>
      <c r="N127" s="95">
        <f t="shared" si="11"/>
        <v>0</v>
      </c>
      <c r="O127" s="95">
        <f t="shared" si="12"/>
        <v>0</v>
      </c>
      <c r="P127" s="95">
        <f t="shared" si="13"/>
        <v>0</v>
      </c>
      <c r="Q127" s="94"/>
      <c r="R127" s="94"/>
      <c r="S127" s="94"/>
      <c r="T127" s="94"/>
      <c r="U127" s="94"/>
      <c r="V127" s="94"/>
      <c r="W127" s="94"/>
      <c r="X127" s="94"/>
      <c r="Y127" s="94"/>
      <c r="Z127" s="94"/>
    </row>
    <row r="128" spans="1:26" x14ac:dyDescent="0.3">
      <c r="A128" s="94" t="s">
        <v>292</v>
      </c>
      <c r="B128" s="94" t="s">
        <v>235</v>
      </c>
      <c r="C128" s="94"/>
      <c r="D128" s="94"/>
      <c r="E128" s="94"/>
      <c r="F128" s="94"/>
      <c r="G128" s="94"/>
      <c r="H128" s="94"/>
      <c r="I128" s="95">
        <v>0</v>
      </c>
      <c r="J128" s="95">
        <f t="shared" si="7"/>
        <v>0</v>
      </c>
      <c r="K128" s="95">
        <f t="shared" si="8"/>
        <v>0</v>
      </c>
      <c r="L128" s="95">
        <f t="shared" si="9"/>
        <v>0</v>
      </c>
      <c r="M128" s="95">
        <f t="shared" si="10"/>
        <v>0</v>
      </c>
      <c r="N128" s="95">
        <f t="shared" si="11"/>
        <v>0</v>
      </c>
      <c r="O128" s="95">
        <f t="shared" si="12"/>
        <v>0</v>
      </c>
      <c r="P128" s="95">
        <f t="shared" si="13"/>
        <v>0</v>
      </c>
      <c r="Q128" s="94"/>
      <c r="R128" s="94"/>
      <c r="S128" s="94"/>
      <c r="T128" s="94"/>
      <c r="U128" s="94"/>
      <c r="V128" s="94"/>
      <c r="W128" s="94"/>
      <c r="X128" s="94"/>
      <c r="Y128" s="94"/>
      <c r="Z128" s="94"/>
    </row>
    <row r="129" spans="1:26" x14ac:dyDescent="0.3">
      <c r="A129" s="94" t="s">
        <v>292</v>
      </c>
      <c r="B129" s="94" t="s">
        <v>1827</v>
      </c>
      <c r="C129" s="94"/>
      <c r="D129" s="94"/>
      <c r="E129" s="94"/>
      <c r="F129" s="94"/>
      <c r="G129" s="94"/>
      <c r="H129" s="94"/>
      <c r="I129" s="95">
        <v>0</v>
      </c>
      <c r="J129" s="95">
        <f t="shared" si="7"/>
        <v>0</v>
      </c>
      <c r="K129" s="95">
        <f t="shared" si="8"/>
        <v>0</v>
      </c>
      <c r="L129" s="95">
        <f t="shared" si="9"/>
        <v>0</v>
      </c>
      <c r="M129" s="95">
        <f t="shared" si="10"/>
        <v>0</v>
      </c>
      <c r="N129" s="95">
        <f t="shared" si="11"/>
        <v>0</v>
      </c>
      <c r="O129" s="95">
        <f t="shared" si="12"/>
        <v>0</v>
      </c>
      <c r="P129" s="95">
        <f t="shared" si="13"/>
        <v>0</v>
      </c>
      <c r="Q129" s="94"/>
      <c r="R129" s="94"/>
      <c r="S129" s="94"/>
      <c r="T129" s="94"/>
      <c r="U129" s="94"/>
      <c r="V129" s="94"/>
      <c r="W129" s="94"/>
      <c r="X129" s="94"/>
      <c r="Y129" s="94"/>
      <c r="Z129" s="94"/>
    </row>
    <row r="130" spans="1:26" x14ac:dyDescent="0.3">
      <c r="A130" s="94" t="s">
        <v>292</v>
      </c>
      <c r="B130" s="94" t="s">
        <v>215</v>
      </c>
      <c r="C130" s="94"/>
      <c r="D130" s="94"/>
      <c r="E130" s="94"/>
      <c r="F130" s="94"/>
      <c r="G130" s="94"/>
      <c r="H130" s="94"/>
      <c r="I130" s="95">
        <v>0</v>
      </c>
      <c r="J130" s="95">
        <f t="shared" si="7"/>
        <v>0</v>
      </c>
      <c r="K130" s="95">
        <f t="shared" si="8"/>
        <v>0</v>
      </c>
      <c r="L130" s="95">
        <f t="shared" si="9"/>
        <v>0</v>
      </c>
      <c r="M130" s="95">
        <f t="shared" si="10"/>
        <v>0</v>
      </c>
      <c r="N130" s="95">
        <f t="shared" si="11"/>
        <v>0</v>
      </c>
      <c r="O130" s="95">
        <f t="shared" si="12"/>
        <v>0</v>
      </c>
      <c r="P130" s="95">
        <f t="shared" si="13"/>
        <v>0</v>
      </c>
      <c r="Q130" s="94"/>
      <c r="R130" s="94"/>
      <c r="S130" s="94"/>
      <c r="T130" s="94"/>
      <c r="U130" s="94"/>
      <c r="V130" s="94"/>
      <c r="W130" s="94"/>
      <c r="X130" s="94"/>
      <c r="Y130" s="94"/>
      <c r="Z130" s="94"/>
    </row>
    <row r="131" spans="1:26" x14ac:dyDescent="0.3">
      <c r="A131" s="94" t="s">
        <v>292</v>
      </c>
      <c r="B131" s="94" t="s">
        <v>1942</v>
      </c>
      <c r="C131" s="94"/>
      <c r="D131" s="94"/>
      <c r="E131" s="94"/>
      <c r="F131" s="94"/>
      <c r="G131" s="94"/>
      <c r="H131" s="94"/>
      <c r="I131" s="95">
        <v>0</v>
      </c>
      <c r="J131" s="95">
        <f t="shared" si="7"/>
        <v>0</v>
      </c>
      <c r="K131" s="95">
        <f t="shared" si="8"/>
        <v>0</v>
      </c>
      <c r="L131" s="95">
        <f t="shared" si="9"/>
        <v>0</v>
      </c>
      <c r="M131" s="95">
        <f t="shared" si="10"/>
        <v>0</v>
      </c>
      <c r="N131" s="95">
        <f t="shared" si="11"/>
        <v>0</v>
      </c>
      <c r="O131" s="95">
        <f t="shared" si="12"/>
        <v>0</v>
      </c>
      <c r="P131" s="95">
        <f t="shared" si="13"/>
        <v>0</v>
      </c>
      <c r="Q131" s="94"/>
      <c r="R131" s="94"/>
      <c r="S131" s="94"/>
      <c r="T131" s="94"/>
      <c r="U131" s="94"/>
      <c r="V131" s="94"/>
      <c r="W131" s="94"/>
      <c r="X131" s="94"/>
      <c r="Y131" s="94"/>
      <c r="Z131" s="94"/>
    </row>
    <row r="132" spans="1:26" x14ac:dyDescent="0.3">
      <c r="A132" s="94" t="s">
        <v>292</v>
      </c>
      <c r="B132" s="94" t="s">
        <v>1998</v>
      </c>
      <c r="C132" s="94"/>
      <c r="D132" s="94"/>
      <c r="E132" s="94"/>
      <c r="F132" s="94"/>
      <c r="G132" s="94"/>
      <c r="H132" s="94"/>
      <c r="I132" s="95">
        <v>0</v>
      </c>
      <c r="J132" s="95">
        <f t="shared" si="7"/>
        <v>0</v>
      </c>
      <c r="K132" s="95">
        <f t="shared" si="8"/>
        <v>0</v>
      </c>
      <c r="L132" s="95">
        <f t="shared" si="9"/>
        <v>0</v>
      </c>
      <c r="M132" s="95">
        <f t="shared" si="10"/>
        <v>0</v>
      </c>
      <c r="N132" s="95">
        <f t="shared" si="11"/>
        <v>0</v>
      </c>
      <c r="O132" s="95">
        <f t="shared" si="12"/>
        <v>0</v>
      </c>
      <c r="P132" s="95">
        <f t="shared" si="13"/>
        <v>0</v>
      </c>
      <c r="Q132" s="94"/>
      <c r="R132" s="94"/>
      <c r="S132" s="94"/>
      <c r="T132" s="94"/>
      <c r="U132" s="94"/>
      <c r="V132" s="94"/>
      <c r="W132" s="94"/>
      <c r="X132" s="94"/>
      <c r="Y132" s="94"/>
      <c r="Z132" s="94"/>
    </row>
    <row r="133" spans="1:26" x14ac:dyDescent="0.3">
      <c r="A133" s="94" t="s">
        <v>292</v>
      </c>
      <c r="B133" s="94" t="s">
        <v>2024</v>
      </c>
      <c r="C133" s="94"/>
      <c r="D133" s="94"/>
      <c r="E133" s="94"/>
      <c r="F133" s="94"/>
      <c r="G133" s="94"/>
      <c r="H133" s="94"/>
      <c r="I133" s="95">
        <v>0</v>
      </c>
      <c r="J133" s="95">
        <f t="shared" si="7"/>
        <v>0</v>
      </c>
      <c r="K133" s="95">
        <f t="shared" si="8"/>
        <v>0</v>
      </c>
      <c r="L133" s="95">
        <f t="shared" si="9"/>
        <v>0</v>
      </c>
      <c r="M133" s="95">
        <f t="shared" si="10"/>
        <v>0</v>
      </c>
      <c r="N133" s="95">
        <f t="shared" si="11"/>
        <v>0</v>
      </c>
      <c r="O133" s="95">
        <f t="shared" si="12"/>
        <v>0</v>
      </c>
      <c r="P133" s="95">
        <f t="shared" si="13"/>
        <v>0</v>
      </c>
      <c r="Q133" s="94"/>
      <c r="R133" s="94"/>
      <c r="S133" s="94"/>
      <c r="T133" s="94"/>
      <c r="U133" s="94"/>
      <c r="V133" s="94"/>
      <c r="W133" s="94"/>
      <c r="X133" s="94"/>
      <c r="Y133" s="94"/>
      <c r="Z133" s="94"/>
    </row>
    <row r="134" spans="1:26" x14ac:dyDescent="0.3">
      <c r="A134" s="94" t="s">
        <v>292</v>
      </c>
      <c r="B134" s="94" t="s">
        <v>2174</v>
      </c>
      <c r="C134" s="94"/>
      <c r="D134" s="94"/>
      <c r="E134" s="94"/>
      <c r="F134" s="94"/>
      <c r="G134" s="94"/>
      <c r="H134" s="94"/>
      <c r="I134" s="95">
        <v>0</v>
      </c>
      <c r="J134" s="95">
        <f t="shared" ref="J134:J177" si="14">IF(H134&gt;0,50,0)</f>
        <v>0</v>
      </c>
      <c r="K134" s="95">
        <f t="shared" ref="K134:K177" si="15">IF(C134 &gt; 500, 20 + ROUNDDOWN((C134 - 500) / 500, 0) * 15, 0)</f>
        <v>0</v>
      </c>
      <c r="L134" s="95">
        <f t="shared" ref="L134:L177" si="16">IF(D134&gt;900,50, 0)</f>
        <v>0</v>
      </c>
      <c r="M134" s="95">
        <f t="shared" ref="M134:M177" si="17">IF(E134&gt;274,20, 0)</f>
        <v>0</v>
      </c>
      <c r="N134" s="95">
        <f t="shared" ref="N134:N177" si="18">IF(F134&gt;0,20, 0)</f>
        <v>0</v>
      </c>
      <c r="O134" s="95">
        <f t="shared" ref="O134:O177" si="19">IF(G134&gt;0,50, 0)</f>
        <v>0</v>
      </c>
      <c r="P134" s="95">
        <f t="shared" ref="P134:P177" si="20">SUM(J134,K134, L134, M134, N134, O134)</f>
        <v>0</v>
      </c>
      <c r="Q134" s="94"/>
      <c r="R134" s="94"/>
      <c r="S134" s="94"/>
      <c r="T134" s="94"/>
      <c r="U134" s="94"/>
      <c r="V134" s="94"/>
      <c r="W134" s="94"/>
      <c r="X134" s="94"/>
      <c r="Y134" s="94"/>
      <c r="Z134" s="94"/>
    </row>
    <row r="135" spans="1:26" x14ac:dyDescent="0.3">
      <c r="A135" s="94" t="s">
        <v>292</v>
      </c>
      <c r="B135" s="94" t="s">
        <v>2429</v>
      </c>
      <c r="C135" s="94"/>
      <c r="D135" s="94"/>
      <c r="E135" s="94"/>
      <c r="F135" s="94"/>
      <c r="G135" s="94"/>
      <c r="H135" s="94"/>
      <c r="I135" s="95">
        <v>0</v>
      </c>
      <c r="J135" s="95">
        <f t="shared" si="14"/>
        <v>0</v>
      </c>
      <c r="K135" s="95">
        <f t="shared" si="15"/>
        <v>0</v>
      </c>
      <c r="L135" s="95">
        <f t="shared" si="16"/>
        <v>0</v>
      </c>
      <c r="M135" s="95">
        <f t="shared" si="17"/>
        <v>0</v>
      </c>
      <c r="N135" s="95">
        <f t="shared" si="18"/>
        <v>0</v>
      </c>
      <c r="O135" s="95">
        <f t="shared" si="19"/>
        <v>0</v>
      </c>
      <c r="P135" s="95">
        <f t="shared" si="20"/>
        <v>0</v>
      </c>
      <c r="Q135" s="94"/>
      <c r="R135" s="94"/>
      <c r="S135" s="94"/>
      <c r="T135" s="94"/>
      <c r="U135" s="94"/>
      <c r="V135" s="94"/>
      <c r="W135" s="94"/>
      <c r="X135" s="94"/>
      <c r="Y135" s="94"/>
      <c r="Z135" s="94"/>
    </row>
    <row r="136" spans="1:26" x14ac:dyDescent="0.3">
      <c r="A136" s="94" t="s">
        <v>292</v>
      </c>
      <c r="B136" s="94" t="s">
        <v>2435</v>
      </c>
      <c r="C136" s="94"/>
      <c r="D136" s="94"/>
      <c r="E136" s="94"/>
      <c r="F136" s="94"/>
      <c r="G136" s="94"/>
      <c r="H136" s="94"/>
      <c r="I136" s="95">
        <v>0</v>
      </c>
      <c r="J136" s="95">
        <f t="shared" si="14"/>
        <v>0</v>
      </c>
      <c r="K136" s="95">
        <f t="shared" si="15"/>
        <v>0</v>
      </c>
      <c r="L136" s="95">
        <f t="shared" si="16"/>
        <v>0</v>
      </c>
      <c r="M136" s="95">
        <f t="shared" si="17"/>
        <v>0</v>
      </c>
      <c r="N136" s="95">
        <f t="shared" si="18"/>
        <v>0</v>
      </c>
      <c r="O136" s="95">
        <f t="shared" si="19"/>
        <v>0</v>
      </c>
      <c r="P136" s="95">
        <f t="shared" si="20"/>
        <v>0</v>
      </c>
      <c r="Q136" s="94"/>
      <c r="R136" s="94"/>
      <c r="S136" s="94"/>
      <c r="T136" s="94"/>
      <c r="U136" s="94"/>
      <c r="V136" s="94"/>
      <c r="W136" s="94"/>
      <c r="X136" s="94"/>
      <c r="Y136" s="94"/>
      <c r="Z136" s="94"/>
    </row>
    <row r="137" spans="1:26" x14ac:dyDescent="0.3">
      <c r="A137" s="94" t="s">
        <v>292</v>
      </c>
      <c r="B137" s="94" t="s">
        <v>2481</v>
      </c>
      <c r="C137" s="94"/>
      <c r="D137" s="94"/>
      <c r="E137" s="94"/>
      <c r="F137" s="94"/>
      <c r="G137" s="94"/>
      <c r="H137" s="94"/>
      <c r="I137" s="95">
        <v>0</v>
      </c>
      <c r="J137" s="95">
        <f t="shared" si="14"/>
        <v>0</v>
      </c>
      <c r="K137" s="95">
        <f t="shared" si="15"/>
        <v>0</v>
      </c>
      <c r="L137" s="95">
        <f t="shared" si="16"/>
        <v>0</v>
      </c>
      <c r="M137" s="95">
        <f t="shared" si="17"/>
        <v>0</v>
      </c>
      <c r="N137" s="95">
        <f t="shared" si="18"/>
        <v>0</v>
      </c>
      <c r="O137" s="95">
        <f t="shared" si="19"/>
        <v>0</v>
      </c>
      <c r="P137" s="95">
        <f t="shared" si="20"/>
        <v>0</v>
      </c>
      <c r="Q137" s="94"/>
      <c r="R137" s="94"/>
      <c r="S137" s="94"/>
      <c r="T137" s="94"/>
      <c r="U137" s="94"/>
      <c r="V137" s="94"/>
      <c r="W137" s="94"/>
      <c r="X137" s="94"/>
      <c r="Y137" s="94"/>
      <c r="Z137" s="94"/>
    </row>
    <row r="138" spans="1:26" x14ac:dyDescent="0.3">
      <c r="A138" s="94" t="s">
        <v>292</v>
      </c>
      <c r="B138" s="94" t="s">
        <v>190</v>
      </c>
      <c r="C138" s="94"/>
      <c r="D138" s="94"/>
      <c r="E138" s="94"/>
      <c r="F138" s="94"/>
      <c r="G138" s="94"/>
      <c r="H138" s="94"/>
      <c r="I138" s="95">
        <v>0</v>
      </c>
      <c r="J138" s="95">
        <f t="shared" si="14"/>
        <v>0</v>
      </c>
      <c r="K138" s="95">
        <f t="shared" si="15"/>
        <v>0</v>
      </c>
      <c r="L138" s="95">
        <f t="shared" si="16"/>
        <v>0</v>
      </c>
      <c r="M138" s="95">
        <f t="shared" si="17"/>
        <v>0</v>
      </c>
      <c r="N138" s="95">
        <f t="shared" si="18"/>
        <v>0</v>
      </c>
      <c r="O138" s="95">
        <f t="shared" si="19"/>
        <v>0</v>
      </c>
      <c r="P138" s="95">
        <f t="shared" si="20"/>
        <v>0</v>
      </c>
      <c r="Q138" s="94"/>
      <c r="R138" s="94"/>
      <c r="S138" s="94"/>
      <c r="T138" s="94"/>
      <c r="U138" s="94"/>
      <c r="V138" s="94"/>
      <c r="W138" s="94"/>
      <c r="X138" s="94"/>
      <c r="Y138" s="94"/>
      <c r="Z138" s="94"/>
    </row>
    <row r="139" spans="1:26" ht="16.5" x14ac:dyDescent="0.3">
      <c r="A139" s="96" t="s">
        <v>292</v>
      </c>
      <c r="B139" s="96" t="s">
        <v>3182</v>
      </c>
      <c r="C139" s="96"/>
      <c r="D139" s="96"/>
      <c r="E139" s="96"/>
      <c r="F139" s="96"/>
      <c r="G139" s="96"/>
      <c r="H139" s="96"/>
      <c r="I139" s="97">
        <v>0</v>
      </c>
      <c r="J139" s="97">
        <f t="shared" si="14"/>
        <v>0</v>
      </c>
      <c r="K139" s="97">
        <f t="shared" si="15"/>
        <v>0</v>
      </c>
      <c r="L139" s="97">
        <f t="shared" si="16"/>
        <v>0</v>
      </c>
      <c r="M139" s="97">
        <f t="shared" si="17"/>
        <v>0</v>
      </c>
      <c r="N139" s="97">
        <f t="shared" si="18"/>
        <v>0</v>
      </c>
      <c r="O139" s="97">
        <f t="shared" si="19"/>
        <v>0</v>
      </c>
      <c r="P139" s="97">
        <f t="shared" si="20"/>
        <v>0</v>
      </c>
      <c r="Q139" s="98">
        <v>210</v>
      </c>
      <c r="R139" s="96"/>
      <c r="S139" s="96"/>
      <c r="T139" s="94"/>
      <c r="U139" s="94"/>
      <c r="V139" s="94"/>
      <c r="W139" s="94"/>
      <c r="X139" s="94"/>
      <c r="Y139" s="94"/>
      <c r="Z139" s="94"/>
    </row>
    <row r="140" spans="1:26" x14ac:dyDescent="0.3">
      <c r="A140" s="94" t="s">
        <v>294</v>
      </c>
      <c r="B140" s="94" t="s">
        <v>592</v>
      </c>
      <c r="C140" s="94">
        <v>135.59</v>
      </c>
      <c r="D140" s="94"/>
      <c r="E140" s="94"/>
      <c r="F140" s="94"/>
      <c r="G140" s="94"/>
      <c r="H140" s="94"/>
      <c r="I140" s="95">
        <v>135.59</v>
      </c>
      <c r="J140" s="95">
        <f t="shared" si="14"/>
        <v>0</v>
      </c>
      <c r="K140" s="95">
        <f t="shared" si="15"/>
        <v>0</v>
      </c>
      <c r="L140" s="95">
        <f t="shared" si="16"/>
        <v>0</v>
      </c>
      <c r="M140" s="95">
        <f t="shared" si="17"/>
        <v>0</v>
      </c>
      <c r="N140" s="95">
        <f t="shared" si="18"/>
        <v>0</v>
      </c>
      <c r="O140" s="95">
        <f t="shared" si="19"/>
        <v>0</v>
      </c>
      <c r="P140" s="95">
        <f t="shared" si="20"/>
        <v>0</v>
      </c>
      <c r="Q140" s="94"/>
      <c r="R140" s="94"/>
      <c r="S140" s="94"/>
      <c r="T140" s="94"/>
      <c r="U140" s="94"/>
      <c r="V140" s="94"/>
      <c r="W140" s="94"/>
      <c r="X140" s="94"/>
      <c r="Y140" s="94"/>
      <c r="Z140" s="94"/>
    </row>
    <row r="141" spans="1:26" x14ac:dyDescent="0.3">
      <c r="A141" s="94" t="s">
        <v>294</v>
      </c>
      <c r="B141" s="94" t="s">
        <v>598</v>
      </c>
      <c r="C141" s="94">
        <v>306.37</v>
      </c>
      <c r="D141" s="94"/>
      <c r="E141" s="94"/>
      <c r="F141" s="94"/>
      <c r="G141" s="94"/>
      <c r="H141" s="94"/>
      <c r="I141" s="95">
        <v>306.37</v>
      </c>
      <c r="J141" s="95">
        <f t="shared" si="14"/>
        <v>0</v>
      </c>
      <c r="K141" s="95">
        <f t="shared" si="15"/>
        <v>0</v>
      </c>
      <c r="L141" s="95">
        <f t="shared" si="16"/>
        <v>0</v>
      </c>
      <c r="M141" s="95">
        <f t="shared" si="17"/>
        <v>0</v>
      </c>
      <c r="N141" s="95">
        <f t="shared" si="18"/>
        <v>0</v>
      </c>
      <c r="O141" s="95">
        <f t="shared" si="19"/>
        <v>0</v>
      </c>
      <c r="P141" s="95">
        <f t="shared" si="20"/>
        <v>0</v>
      </c>
      <c r="Q141" s="94"/>
      <c r="R141" s="94"/>
      <c r="S141" s="94"/>
      <c r="T141" s="94"/>
      <c r="U141" s="94"/>
      <c r="V141" s="94"/>
      <c r="W141" s="94"/>
      <c r="X141" s="94"/>
      <c r="Y141" s="94"/>
      <c r="Z141" s="94"/>
    </row>
    <row r="142" spans="1:26" x14ac:dyDescent="0.3">
      <c r="A142" s="94" t="s">
        <v>294</v>
      </c>
      <c r="B142" s="94" t="s">
        <v>628</v>
      </c>
      <c r="C142" s="94">
        <v>135.59</v>
      </c>
      <c r="D142" s="94"/>
      <c r="E142" s="94"/>
      <c r="F142" s="94"/>
      <c r="G142" s="94"/>
      <c r="H142" s="94"/>
      <c r="I142" s="95">
        <v>135.59</v>
      </c>
      <c r="J142" s="95">
        <f t="shared" si="14"/>
        <v>0</v>
      </c>
      <c r="K142" s="95">
        <f t="shared" si="15"/>
        <v>0</v>
      </c>
      <c r="L142" s="95">
        <f t="shared" si="16"/>
        <v>0</v>
      </c>
      <c r="M142" s="95">
        <f t="shared" si="17"/>
        <v>0</v>
      </c>
      <c r="N142" s="95">
        <f t="shared" si="18"/>
        <v>0</v>
      </c>
      <c r="O142" s="95">
        <f t="shared" si="19"/>
        <v>0</v>
      </c>
      <c r="P142" s="95">
        <f t="shared" si="20"/>
        <v>0</v>
      </c>
      <c r="Q142" s="94"/>
      <c r="R142" s="94"/>
      <c r="S142" s="94"/>
      <c r="T142" s="94"/>
      <c r="U142" s="94"/>
      <c r="V142" s="94"/>
      <c r="W142" s="94"/>
      <c r="X142" s="94"/>
      <c r="Y142" s="94"/>
      <c r="Z142" s="94"/>
    </row>
    <row r="143" spans="1:26" x14ac:dyDescent="0.3">
      <c r="A143" s="94" t="s">
        <v>294</v>
      </c>
      <c r="B143" s="94" t="s">
        <v>681</v>
      </c>
      <c r="C143" s="94"/>
      <c r="D143" s="94"/>
      <c r="E143" s="94"/>
      <c r="F143" s="94"/>
      <c r="G143" s="94"/>
      <c r="H143" s="94"/>
      <c r="I143" s="95">
        <v>0</v>
      </c>
      <c r="J143" s="95">
        <f t="shared" si="14"/>
        <v>0</v>
      </c>
      <c r="K143" s="95">
        <f t="shared" si="15"/>
        <v>0</v>
      </c>
      <c r="L143" s="95">
        <f t="shared" si="16"/>
        <v>0</v>
      </c>
      <c r="M143" s="95">
        <f t="shared" si="17"/>
        <v>0</v>
      </c>
      <c r="N143" s="95">
        <f t="shared" si="18"/>
        <v>0</v>
      </c>
      <c r="O143" s="95">
        <f t="shared" si="19"/>
        <v>0</v>
      </c>
      <c r="P143" s="95">
        <f t="shared" si="20"/>
        <v>0</v>
      </c>
      <c r="Q143" s="94"/>
      <c r="R143" s="94"/>
      <c r="S143" s="94"/>
      <c r="T143" s="94"/>
      <c r="U143" s="94"/>
      <c r="V143" s="94"/>
      <c r="W143" s="94"/>
      <c r="X143" s="94"/>
      <c r="Y143" s="94"/>
      <c r="Z143" s="94"/>
    </row>
    <row r="144" spans="1:26" x14ac:dyDescent="0.3">
      <c r="A144" s="94" t="s">
        <v>294</v>
      </c>
      <c r="B144" s="94" t="s">
        <v>706</v>
      </c>
      <c r="C144" s="94">
        <v>32.76</v>
      </c>
      <c r="D144" s="94"/>
      <c r="E144" s="94"/>
      <c r="F144" s="94"/>
      <c r="G144" s="94"/>
      <c r="H144" s="94"/>
      <c r="I144" s="95">
        <v>32.76</v>
      </c>
      <c r="J144" s="95">
        <f t="shared" si="14"/>
        <v>0</v>
      </c>
      <c r="K144" s="95">
        <f t="shared" si="15"/>
        <v>0</v>
      </c>
      <c r="L144" s="95">
        <f t="shared" si="16"/>
        <v>0</v>
      </c>
      <c r="M144" s="95">
        <f t="shared" si="17"/>
        <v>0</v>
      </c>
      <c r="N144" s="95">
        <f t="shared" si="18"/>
        <v>0</v>
      </c>
      <c r="O144" s="95">
        <f t="shared" si="19"/>
        <v>0</v>
      </c>
      <c r="P144" s="95">
        <f t="shared" si="20"/>
        <v>0</v>
      </c>
      <c r="Q144" s="94"/>
      <c r="R144" s="94"/>
      <c r="S144" s="94"/>
      <c r="T144" s="94"/>
      <c r="U144" s="94"/>
      <c r="V144" s="94"/>
      <c r="W144" s="94"/>
      <c r="X144" s="94"/>
      <c r="Y144" s="94"/>
      <c r="Z144" s="94"/>
    </row>
    <row r="145" spans="1:26" x14ac:dyDescent="0.3">
      <c r="A145" s="94" t="s">
        <v>294</v>
      </c>
      <c r="B145" s="94" t="s">
        <v>278</v>
      </c>
      <c r="C145" s="94">
        <v>43.68</v>
      </c>
      <c r="D145" s="94"/>
      <c r="E145" s="94"/>
      <c r="F145" s="94"/>
      <c r="G145" s="94"/>
      <c r="H145" s="94"/>
      <c r="I145" s="95">
        <v>43.68</v>
      </c>
      <c r="J145" s="95">
        <f t="shared" si="14"/>
        <v>0</v>
      </c>
      <c r="K145" s="95">
        <f t="shared" si="15"/>
        <v>0</v>
      </c>
      <c r="L145" s="95">
        <f t="shared" si="16"/>
        <v>0</v>
      </c>
      <c r="M145" s="95">
        <f t="shared" si="17"/>
        <v>0</v>
      </c>
      <c r="N145" s="95">
        <f t="shared" si="18"/>
        <v>0</v>
      </c>
      <c r="O145" s="95">
        <f t="shared" si="19"/>
        <v>0</v>
      </c>
      <c r="P145" s="95">
        <f t="shared" si="20"/>
        <v>0</v>
      </c>
      <c r="Q145" s="94"/>
      <c r="R145" s="94"/>
      <c r="S145" s="94"/>
      <c r="T145" s="94"/>
      <c r="U145" s="94"/>
      <c r="V145" s="94"/>
      <c r="W145" s="94"/>
      <c r="X145" s="94"/>
      <c r="Y145" s="94"/>
      <c r="Z145" s="94"/>
    </row>
    <row r="146" spans="1:26" x14ac:dyDescent="0.3">
      <c r="A146" s="94" t="s">
        <v>294</v>
      </c>
      <c r="B146" s="94" t="s">
        <v>714</v>
      </c>
      <c r="C146" s="94">
        <v>43.68</v>
      </c>
      <c r="D146" s="94"/>
      <c r="E146" s="94"/>
      <c r="F146" s="94"/>
      <c r="G146" s="94"/>
      <c r="H146" s="94"/>
      <c r="I146" s="95">
        <v>43.68</v>
      </c>
      <c r="J146" s="95">
        <f t="shared" si="14"/>
        <v>0</v>
      </c>
      <c r="K146" s="95">
        <f t="shared" si="15"/>
        <v>0</v>
      </c>
      <c r="L146" s="95">
        <f t="shared" si="16"/>
        <v>0</v>
      </c>
      <c r="M146" s="95">
        <f t="shared" si="17"/>
        <v>0</v>
      </c>
      <c r="N146" s="95">
        <f t="shared" si="18"/>
        <v>0</v>
      </c>
      <c r="O146" s="95">
        <f t="shared" si="19"/>
        <v>0</v>
      </c>
      <c r="P146" s="95">
        <f t="shared" si="20"/>
        <v>0</v>
      </c>
      <c r="Q146" s="94"/>
      <c r="R146" s="94"/>
      <c r="S146" s="94"/>
      <c r="T146" s="94"/>
      <c r="U146" s="94"/>
      <c r="V146" s="94"/>
      <c r="W146" s="94"/>
      <c r="X146" s="94"/>
      <c r="Y146" s="94"/>
      <c r="Z146" s="94"/>
    </row>
    <row r="147" spans="1:26" x14ac:dyDescent="0.3">
      <c r="A147" s="94" t="s">
        <v>294</v>
      </c>
      <c r="B147" s="94" t="s">
        <v>718</v>
      </c>
      <c r="C147" s="94"/>
      <c r="D147" s="94"/>
      <c r="E147" s="94"/>
      <c r="F147" s="94"/>
      <c r="G147" s="94"/>
      <c r="H147" s="94"/>
      <c r="I147" s="95">
        <v>0</v>
      </c>
      <c r="J147" s="95">
        <f t="shared" si="14"/>
        <v>0</v>
      </c>
      <c r="K147" s="95">
        <f t="shared" si="15"/>
        <v>0</v>
      </c>
      <c r="L147" s="95">
        <f t="shared" si="16"/>
        <v>0</v>
      </c>
      <c r="M147" s="95">
        <f t="shared" si="17"/>
        <v>0</v>
      </c>
      <c r="N147" s="95">
        <f t="shared" si="18"/>
        <v>0</v>
      </c>
      <c r="O147" s="95">
        <f t="shared" si="19"/>
        <v>0</v>
      </c>
      <c r="P147" s="95">
        <f t="shared" si="20"/>
        <v>0</v>
      </c>
      <c r="Q147" s="94"/>
      <c r="R147" s="94"/>
      <c r="S147" s="94"/>
      <c r="T147" s="94"/>
      <c r="U147" s="94"/>
      <c r="V147" s="94"/>
      <c r="W147" s="94"/>
      <c r="X147" s="94"/>
      <c r="Y147" s="94"/>
      <c r="Z147" s="94"/>
    </row>
    <row r="148" spans="1:26" x14ac:dyDescent="0.3">
      <c r="A148" s="94" t="s">
        <v>294</v>
      </c>
      <c r="B148" s="94" t="s">
        <v>733</v>
      </c>
      <c r="C148" s="94"/>
      <c r="D148" s="94"/>
      <c r="E148" s="94"/>
      <c r="F148" s="94"/>
      <c r="G148" s="94"/>
      <c r="H148" s="94"/>
      <c r="I148" s="95">
        <v>0</v>
      </c>
      <c r="J148" s="95">
        <f t="shared" si="14"/>
        <v>0</v>
      </c>
      <c r="K148" s="95">
        <f t="shared" si="15"/>
        <v>0</v>
      </c>
      <c r="L148" s="95">
        <f t="shared" si="16"/>
        <v>0</v>
      </c>
      <c r="M148" s="95">
        <f t="shared" si="17"/>
        <v>0</v>
      </c>
      <c r="N148" s="95">
        <f t="shared" si="18"/>
        <v>0</v>
      </c>
      <c r="O148" s="95">
        <f t="shared" si="19"/>
        <v>0</v>
      </c>
      <c r="P148" s="95">
        <f t="shared" si="20"/>
        <v>0</v>
      </c>
      <c r="Q148" s="94"/>
      <c r="R148" s="94"/>
      <c r="S148" s="94"/>
      <c r="T148" s="94"/>
      <c r="U148" s="94"/>
      <c r="V148" s="94"/>
      <c r="W148" s="94"/>
      <c r="X148" s="94"/>
      <c r="Y148" s="94"/>
      <c r="Z148" s="94"/>
    </row>
    <row r="149" spans="1:26" x14ac:dyDescent="0.3">
      <c r="A149" s="94" t="s">
        <v>294</v>
      </c>
      <c r="B149" s="94" t="s">
        <v>738</v>
      </c>
      <c r="C149" s="94"/>
      <c r="D149" s="94"/>
      <c r="E149" s="94"/>
      <c r="F149" s="94"/>
      <c r="G149" s="94"/>
      <c r="H149" s="94"/>
      <c r="I149" s="95">
        <v>0</v>
      </c>
      <c r="J149" s="95">
        <f t="shared" si="14"/>
        <v>0</v>
      </c>
      <c r="K149" s="95">
        <f t="shared" si="15"/>
        <v>0</v>
      </c>
      <c r="L149" s="95">
        <f t="shared" si="16"/>
        <v>0</v>
      </c>
      <c r="M149" s="95">
        <f t="shared" si="17"/>
        <v>0</v>
      </c>
      <c r="N149" s="95">
        <f t="shared" si="18"/>
        <v>0</v>
      </c>
      <c r="O149" s="95">
        <f t="shared" si="19"/>
        <v>0</v>
      </c>
      <c r="P149" s="95">
        <f t="shared" si="20"/>
        <v>0</v>
      </c>
      <c r="Q149" s="94"/>
      <c r="R149" s="94"/>
      <c r="S149" s="94"/>
      <c r="T149" s="94"/>
      <c r="U149" s="94"/>
      <c r="V149" s="94"/>
      <c r="W149" s="94"/>
      <c r="X149" s="94"/>
      <c r="Y149" s="94"/>
      <c r="Z149" s="94"/>
    </row>
    <row r="150" spans="1:26" x14ac:dyDescent="0.3">
      <c r="A150" s="94" t="s">
        <v>294</v>
      </c>
      <c r="B150" s="94" t="s">
        <v>743</v>
      </c>
      <c r="C150" s="94">
        <v>27.3</v>
      </c>
      <c r="D150" s="94"/>
      <c r="E150" s="94"/>
      <c r="F150" s="94"/>
      <c r="G150" s="94"/>
      <c r="H150" s="94"/>
      <c r="I150" s="95">
        <v>27.3</v>
      </c>
      <c r="J150" s="95">
        <f t="shared" si="14"/>
        <v>0</v>
      </c>
      <c r="K150" s="95">
        <f t="shared" si="15"/>
        <v>0</v>
      </c>
      <c r="L150" s="95">
        <f t="shared" si="16"/>
        <v>0</v>
      </c>
      <c r="M150" s="95">
        <f t="shared" si="17"/>
        <v>0</v>
      </c>
      <c r="N150" s="95">
        <f t="shared" si="18"/>
        <v>0</v>
      </c>
      <c r="O150" s="95">
        <f t="shared" si="19"/>
        <v>0</v>
      </c>
      <c r="P150" s="95">
        <f t="shared" si="20"/>
        <v>0</v>
      </c>
      <c r="Q150" s="94"/>
      <c r="R150" s="94"/>
      <c r="S150" s="94"/>
      <c r="T150" s="94"/>
      <c r="U150" s="94"/>
      <c r="V150" s="94"/>
      <c r="W150" s="94"/>
      <c r="X150" s="94"/>
      <c r="Y150" s="94"/>
      <c r="Z150" s="94"/>
    </row>
    <row r="151" spans="1:26" x14ac:dyDescent="0.3">
      <c r="A151" s="94" t="s">
        <v>294</v>
      </c>
      <c r="B151" s="94" t="s">
        <v>748</v>
      </c>
      <c r="C151" s="94"/>
      <c r="D151" s="94"/>
      <c r="E151" s="94"/>
      <c r="F151" s="94"/>
      <c r="G151" s="94"/>
      <c r="H151" s="94"/>
      <c r="I151" s="95">
        <v>0</v>
      </c>
      <c r="J151" s="95">
        <f t="shared" si="14"/>
        <v>0</v>
      </c>
      <c r="K151" s="95">
        <f t="shared" si="15"/>
        <v>0</v>
      </c>
      <c r="L151" s="95">
        <f t="shared" si="16"/>
        <v>0</v>
      </c>
      <c r="M151" s="95">
        <f t="shared" si="17"/>
        <v>0</v>
      </c>
      <c r="N151" s="95">
        <f t="shared" si="18"/>
        <v>0</v>
      </c>
      <c r="O151" s="95">
        <f t="shared" si="19"/>
        <v>0</v>
      </c>
      <c r="P151" s="95">
        <f t="shared" si="20"/>
        <v>0</v>
      </c>
      <c r="Q151" s="94"/>
      <c r="R151" s="94"/>
      <c r="S151" s="94"/>
      <c r="T151" s="94"/>
      <c r="U151" s="94"/>
      <c r="V151" s="94"/>
      <c r="W151" s="94"/>
      <c r="X151" s="94"/>
      <c r="Y151" s="94"/>
      <c r="Z151" s="94"/>
    </row>
    <row r="152" spans="1:26" x14ac:dyDescent="0.3">
      <c r="A152" s="94" t="s">
        <v>294</v>
      </c>
      <c r="B152" s="94" t="s">
        <v>753</v>
      </c>
      <c r="C152" s="94"/>
      <c r="D152" s="94"/>
      <c r="E152" s="94"/>
      <c r="F152" s="94"/>
      <c r="G152" s="94"/>
      <c r="H152" s="94"/>
      <c r="I152" s="95">
        <v>0</v>
      </c>
      <c r="J152" s="95">
        <f t="shared" si="14"/>
        <v>0</v>
      </c>
      <c r="K152" s="95">
        <f t="shared" si="15"/>
        <v>0</v>
      </c>
      <c r="L152" s="95">
        <f t="shared" si="16"/>
        <v>0</v>
      </c>
      <c r="M152" s="95">
        <f t="shared" si="17"/>
        <v>0</v>
      </c>
      <c r="N152" s="95">
        <f t="shared" si="18"/>
        <v>0</v>
      </c>
      <c r="O152" s="95">
        <f t="shared" si="19"/>
        <v>0</v>
      </c>
      <c r="P152" s="95">
        <f t="shared" si="20"/>
        <v>0</v>
      </c>
      <c r="Q152" s="94"/>
      <c r="R152" s="94"/>
      <c r="S152" s="94"/>
      <c r="T152" s="94"/>
      <c r="U152" s="94"/>
      <c r="V152" s="94"/>
      <c r="W152" s="94"/>
      <c r="X152" s="94"/>
      <c r="Y152" s="94"/>
      <c r="Z152" s="94"/>
    </row>
    <row r="153" spans="1:26" x14ac:dyDescent="0.3">
      <c r="A153" s="94" t="s">
        <v>294</v>
      </c>
      <c r="B153" s="94" t="s">
        <v>783</v>
      </c>
      <c r="C153" s="94"/>
      <c r="D153" s="94"/>
      <c r="E153" s="94"/>
      <c r="F153" s="94"/>
      <c r="G153" s="94"/>
      <c r="H153" s="94"/>
      <c r="I153" s="95">
        <v>0</v>
      </c>
      <c r="J153" s="95">
        <f t="shared" si="14"/>
        <v>0</v>
      </c>
      <c r="K153" s="95">
        <f t="shared" si="15"/>
        <v>0</v>
      </c>
      <c r="L153" s="95">
        <f t="shared" si="16"/>
        <v>0</v>
      </c>
      <c r="M153" s="95">
        <f t="shared" si="17"/>
        <v>0</v>
      </c>
      <c r="N153" s="95">
        <f t="shared" si="18"/>
        <v>0</v>
      </c>
      <c r="O153" s="95">
        <f t="shared" si="19"/>
        <v>0</v>
      </c>
      <c r="P153" s="95">
        <f t="shared" si="20"/>
        <v>0</v>
      </c>
      <c r="Q153" s="94"/>
      <c r="R153" s="94"/>
      <c r="S153" s="94"/>
      <c r="T153" s="94"/>
      <c r="U153" s="94"/>
      <c r="V153" s="94"/>
      <c r="W153" s="94"/>
      <c r="X153" s="94"/>
      <c r="Y153" s="94"/>
      <c r="Z153" s="94"/>
    </row>
    <row r="154" spans="1:26" x14ac:dyDescent="0.3">
      <c r="A154" s="94" t="s">
        <v>294</v>
      </c>
      <c r="B154" s="94" t="s">
        <v>792</v>
      </c>
      <c r="C154" s="94">
        <v>978.9</v>
      </c>
      <c r="D154" s="94"/>
      <c r="E154" s="94"/>
      <c r="F154" s="94"/>
      <c r="G154" s="94"/>
      <c r="H154" s="94"/>
      <c r="I154" s="95">
        <v>978.9</v>
      </c>
      <c r="J154" s="95">
        <f t="shared" si="14"/>
        <v>0</v>
      </c>
      <c r="K154" s="95">
        <f t="shared" si="15"/>
        <v>20</v>
      </c>
      <c r="L154" s="95">
        <f t="shared" si="16"/>
        <v>0</v>
      </c>
      <c r="M154" s="95">
        <f t="shared" si="17"/>
        <v>0</v>
      </c>
      <c r="N154" s="95">
        <f t="shared" si="18"/>
        <v>0</v>
      </c>
      <c r="O154" s="95">
        <f t="shared" si="19"/>
        <v>0</v>
      </c>
      <c r="P154" s="95">
        <f t="shared" si="20"/>
        <v>20</v>
      </c>
      <c r="Q154" s="94"/>
      <c r="R154" s="94"/>
      <c r="S154" s="94"/>
      <c r="T154" s="94"/>
      <c r="U154" s="94"/>
      <c r="V154" s="94"/>
      <c r="W154" s="94"/>
      <c r="X154" s="94"/>
      <c r="Y154" s="94"/>
      <c r="Z154" s="94"/>
    </row>
    <row r="155" spans="1:26" x14ac:dyDescent="0.3">
      <c r="A155" s="94" t="s">
        <v>294</v>
      </c>
      <c r="B155" s="94" t="s">
        <v>797</v>
      </c>
      <c r="C155" s="94"/>
      <c r="D155" s="94"/>
      <c r="E155" s="94"/>
      <c r="F155" s="94"/>
      <c r="G155" s="94"/>
      <c r="H155" s="94"/>
      <c r="I155" s="95">
        <v>0</v>
      </c>
      <c r="J155" s="95">
        <f t="shared" si="14"/>
        <v>0</v>
      </c>
      <c r="K155" s="95">
        <f t="shared" si="15"/>
        <v>0</v>
      </c>
      <c r="L155" s="95">
        <f t="shared" si="16"/>
        <v>0</v>
      </c>
      <c r="M155" s="95">
        <f t="shared" si="17"/>
        <v>0</v>
      </c>
      <c r="N155" s="95">
        <f t="shared" si="18"/>
        <v>0</v>
      </c>
      <c r="O155" s="95">
        <f t="shared" si="19"/>
        <v>0</v>
      </c>
      <c r="P155" s="95">
        <f t="shared" si="20"/>
        <v>0</v>
      </c>
      <c r="Q155" s="94"/>
      <c r="R155" s="94"/>
      <c r="S155" s="94"/>
      <c r="T155" s="94"/>
      <c r="U155" s="94"/>
      <c r="V155" s="94"/>
      <c r="W155" s="94"/>
      <c r="X155" s="94"/>
      <c r="Y155" s="94"/>
      <c r="Z155" s="94"/>
    </row>
    <row r="156" spans="1:26" x14ac:dyDescent="0.3">
      <c r="A156" s="94" t="s">
        <v>294</v>
      </c>
      <c r="B156" s="94" t="s">
        <v>805</v>
      </c>
      <c r="C156" s="94">
        <v>0</v>
      </c>
      <c r="D156" s="94"/>
      <c r="E156" s="94"/>
      <c r="F156" s="94"/>
      <c r="G156" s="94"/>
      <c r="H156" s="94"/>
      <c r="I156" s="95">
        <v>0</v>
      </c>
      <c r="J156" s="95">
        <f t="shared" si="14"/>
        <v>0</v>
      </c>
      <c r="K156" s="95">
        <f t="shared" si="15"/>
        <v>0</v>
      </c>
      <c r="L156" s="95">
        <f t="shared" si="16"/>
        <v>0</v>
      </c>
      <c r="M156" s="95">
        <f t="shared" si="17"/>
        <v>0</v>
      </c>
      <c r="N156" s="95">
        <f t="shared" si="18"/>
        <v>0</v>
      </c>
      <c r="O156" s="95">
        <f t="shared" si="19"/>
        <v>0</v>
      </c>
      <c r="P156" s="95">
        <f t="shared" si="20"/>
        <v>0</v>
      </c>
      <c r="Q156" s="94"/>
      <c r="R156" s="94"/>
      <c r="S156" s="94"/>
      <c r="T156" s="94"/>
      <c r="U156" s="94"/>
      <c r="V156" s="94"/>
      <c r="W156" s="94"/>
      <c r="X156" s="94"/>
      <c r="Y156" s="94"/>
      <c r="Z156" s="94"/>
    </row>
    <row r="157" spans="1:26" x14ac:dyDescent="0.3">
      <c r="A157" s="94" t="s">
        <v>294</v>
      </c>
      <c r="B157" s="94" t="s">
        <v>811</v>
      </c>
      <c r="C157" s="94">
        <v>262.69</v>
      </c>
      <c r="D157" s="94"/>
      <c r="E157" s="94"/>
      <c r="F157" s="94"/>
      <c r="G157" s="94"/>
      <c r="H157" s="94"/>
      <c r="I157" s="95">
        <v>262.69</v>
      </c>
      <c r="J157" s="95">
        <f t="shared" si="14"/>
        <v>0</v>
      </c>
      <c r="K157" s="95">
        <f t="shared" si="15"/>
        <v>0</v>
      </c>
      <c r="L157" s="95">
        <f t="shared" si="16"/>
        <v>0</v>
      </c>
      <c r="M157" s="95">
        <f t="shared" si="17"/>
        <v>0</v>
      </c>
      <c r="N157" s="95">
        <f t="shared" si="18"/>
        <v>0</v>
      </c>
      <c r="O157" s="95">
        <f t="shared" si="19"/>
        <v>0</v>
      </c>
      <c r="P157" s="95">
        <f t="shared" si="20"/>
        <v>0</v>
      </c>
      <c r="Q157" s="94"/>
      <c r="R157" s="94"/>
      <c r="S157" s="94"/>
      <c r="T157" s="94"/>
      <c r="U157" s="94"/>
      <c r="V157" s="94"/>
      <c r="W157" s="94"/>
      <c r="X157" s="94"/>
      <c r="Y157" s="94"/>
      <c r="Z157" s="94"/>
    </row>
    <row r="158" spans="1:26" x14ac:dyDescent="0.3">
      <c r="A158" s="94" t="s">
        <v>294</v>
      </c>
      <c r="B158" s="94" t="s">
        <v>185</v>
      </c>
      <c r="C158" s="94">
        <v>244.79000000000002</v>
      </c>
      <c r="D158" s="94"/>
      <c r="E158" s="94"/>
      <c r="F158" s="94"/>
      <c r="G158" s="94"/>
      <c r="H158" s="94"/>
      <c r="I158" s="95">
        <v>244.79000000000002</v>
      </c>
      <c r="J158" s="95">
        <f t="shared" si="14"/>
        <v>0</v>
      </c>
      <c r="K158" s="95">
        <f t="shared" si="15"/>
        <v>0</v>
      </c>
      <c r="L158" s="95">
        <f t="shared" si="16"/>
        <v>0</v>
      </c>
      <c r="M158" s="95">
        <f t="shared" si="17"/>
        <v>0</v>
      </c>
      <c r="N158" s="95">
        <f t="shared" si="18"/>
        <v>0</v>
      </c>
      <c r="O158" s="95">
        <f t="shared" si="19"/>
        <v>0</v>
      </c>
      <c r="P158" s="95">
        <f t="shared" si="20"/>
        <v>0</v>
      </c>
      <c r="Q158" s="94"/>
      <c r="R158" s="94"/>
      <c r="S158" s="94"/>
      <c r="T158" s="94"/>
      <c r="U158" s="94"/>
      <c r="V158" s="94"/>
      <c r="W158" s="94"/>
      <c r="X158" s="94"/>
      <c r="Y158" s="94"/>
      <c r="Z158" s="94"/>
    </row>
    <row r="159" spans="1:26" x14ac:dyDescent="0.3">
      <c r="A159" s="94" t="s">
        <v>294</v>
      </c>
      <c r="B159" s="94" t="s">
        <v>839</v>
      </c>
      <c r="C159" s="94">
        <v>8591.7300000000014</v>
      </c>
      <c r="D159" s="94"/>
      <c r="E159" s="94"/>
      <c r="F159" s="94"/>
      <c r="G159" s="94"/>
      <c r="H159" s="94"/>
      <c r="I159" s="95">
        <v>8591.7300000000014</v>
      </c>
      <c r="J159" s="95">
        <f t="shared" si="14"/>
        <v>0</v>
      </c>
      <c r="K159" s="95">
        <f t="shared" si="15"/>
        <v>260</v>
      </c>
      <c r="L159" s="95">
        <f t="shared" si="16"/>
        <v>0</v>
      </c>
      <c r="M159" s="95">
        <f t="shared" si="17"/>
        <v>0</v>
      </c>
      <c r="N159" s="95">
        <f t="shared" si="18"/>
        <v>0</v>
      </c>
      <c r="O159" s="95">
        <f t="shared" si="19"/>
        <v>0</v>
      </c>
      <c r="P159" s="95">
        <f t="shared" si="20"/>
        <v>260</v>
      </c>
      <c r="Q159" s="94"/>
      <c r="R159" s="94"/>
      <c r="S159" s="94"/>
      <c r="T159" s="94"/>
      <c r="U159" s="94"/>
      <c r="V159" s="94"/>
      <c r="W159" s="94"/>
      <c r="X159" s="94"/>
      <c r="Y159" s="94"/>
      <c r="Z159" s="94"/>
    </row>
    <row r="160" spans="1:26" x14ac:dyDescent="0.3">
      <c r="A160" s="94" t="s">
        <v>294</v>
      </c>
      <c r="B160" s="94" t="s">
        <v>28</v>
      </c>
      <c r="C160" s="94">
        <v>347.45</v>
      </c>
      <c r="D160" s="94"/>
      <c r="E160" s="94"/>
      <c r="F160" s="94"/>
      <c r="G160" s="94"/>
      <c r="H160" s="94"/>
      <c r="I160" s="95">
        <v>347.45</v>
      </c>
      <c r="J160" s="95">
        <f t="shared" si="14"/>
        <v>0</v>
      </c>
      <c r="K160" s="95">
        <f t="shared" si="15"/>
        <v>0</v>
      </c>
      <c r="L160" s="95">
        <f t="shared" si="16"/>
        <v>0</v>
      </c>
      <c r="M160" s="95">
        <f t="shared" si="17"/>
        <v>0</v>
      </c>
      <c r="N160" s="95">
        <f t="shared" si="18"/>
        <v>0</v>
      </c>
      <c r="O160" s="95">
        <f t="shared" si="19"/>
        <v>0</v>
      </c>
      <c r="P160" s="95">
        <f t="shared" si="20"/>
        <v>0</v>
      </c>
      <c r="Q160" s="94"/>
      <c r="R160" s="94"/>
      <c r="S160" s="94"/>
      <c r="T160" s="94"/>
      <c r="U160" s="94"/>
      <c r="V160" s="94"/>
      <c r="W160" s="94"/>
      <c r="X160" s="94"/>
      <c r="Y160" s="94"/>
      <c r="Z160" s="94"/>
    </row>
    <row r="161" spans="1:26" x14ac:dyDescent="0.3">
      <c r="A161" s="94" t="s">
        <v>294</v>
      </c>
      <c r="B161" s="94" t="s">
        <v>1068</v>
      </c>
      <c r="C161" s="94">
        <v>54.6</v>
      </c>
      <c r="D161" s="94"/>
      <c r="E161" s="94"/>
      <c r="F161" s="94"/>
      <c r="G161" s="94"/>
      <c r="H161" s="94"/>
      <c r="I161" s="95">
        <v>54.6</v>
      </c>
      <c r="J161" s="95">
        <f t="shared" si="14"/>
        <v>0</v>
      </c>
      <c r="K161" s="95">
        <f t="shared" si="15"/>
        <v>0</v>
      </c>
      <c r="L161" s="95">
        <f t="shared" si="16"/>
        <v>0</v>
      </c>
      <c r="M161" s="95">
        <f t="shared" si="17"/>
        <v>0</v>
      </c>
      <c r="N161" s="95">
        <f t="shared" si="18"/>
        <v>0</v>
      </c>
      <c r="O161" s="95">
        <f t="shared" si="19"/>
        <v>0</v>
      </c>
      <c r="P161" s="95">
        <f t="shared" si="20"/>
        <v>0</v>
      </c>
      <c r="Q161" s="94"/>
      <c r="R161" s="94"/>
      <c r="S161" s="94"/>
      <c r="T161" s="94"/>
      <c r="U161" s="94"/>
      <c r="V161" s="94"/>
      <c r="W161" s="94"/>
      <c r="X161" s="94"/>
      <c r="Y161" s="94"/>
      <c r="Z161" s="94"/>
    </row>
    <row r="162" spans="1:26" x14ac:dyDescent="0.3">
      <c r="A162" s="94" t="s">
        <v>294</v>
      </c>
      <c r="B162" s="94" t="s">
        <v>1083</v>
      </c>
      <c r="C162" s="94">
        <v>54.6</v>
      </c>
      <c r="D162" s="94"/>
      <c r="E162" s="94"/>
      <c r="F162" s="94"/>
      <c r="G162" s="94"/>
      <c r="H162" s="94"/>
      <c r="I162" s="95">
        <v>54.6</v>
      </c>
      <c r="J162" s="95">
        <f t="shared" si="14"/>
        <v>0</v>
      </c>
      <c r="K162" s="95">
        <f t="shared" si="15"/>
        <v>0</v>
      </c>
      <c r="L162" s="95">
        <f t="shared" si="16"/>
        <v>0</v>
      </c>
      <c r="M162" s="95">
        <f t="shared" si="17"/>
        <v>0</v>
      </c>
      <c r="N162" s="95">
        <f t="shared" si="18"/>
        <v>0</v>
      </c>
      <c r="O162" s="95">
        <f t="shared" si="19"/>
        <v>0</v>
      </c>
      <c r="P162" s="95">
        <f t="shared" si="20"/>
        <v>0</v>
      </c>
      <c r="Q162" s="94"/>
      <c r="R162" s="94"/>
      <c r="S162" s="94"/>
      <c r="T162" s="94"/>
      <c r="U162" s="94"/>
      <c r="V162" s="94"/>
      <c r="W162" s="94"/>
      <c r="X162" s="94"/>
      <c r="Y162" s="94"/>
      <c r="Z162" s="94"/>
    </row>
    <row r="163" spans="1:26" x14ac:dyDescent="0.3">
      <c r="A163" s="94" t="s">
        <v>294</v>
      </c>
      <c r="B163" s="94" t="s">
        <v>1095</v>
      </c>
      <c r="C163" s="94">
        <v>27.3</v>
      </c>
      <c r="D163" s="94"/>
      <c r="E163" s="94"/>
      <c r="F163" s="94"/>
      <c r="G163" s="94"/>
      <c r="H163" s="94"/>
      <c r="I163" s="95">
        <v>27.3</v>
      </c>
      <c r="J163" s="95">
        <f t="shared" si="14"/>
        <v>0</v>
      </c>
      <c r="K163" s="95">
        <f t="shared" si="15"/>
        <v>0</v>
      </c>
      <c r="L163" s="95">
        <f t="shared" si="16"/>
        <v>0</v>
      </c>
      <c r="M163" s="95">
        <f t="shared" si="17"/>
        <v>0</v>
      </c>
      <c r="N163" s="95">
        <f t="shared" si="18"/>
        <v>0</v>
      </c>
      <c r="O163" s="95">
        <f t="shared" si="19"/>
        <v>0</v>
      </c>
      <c r="P163" s="95">
        <f t="shared" si="20"/>
        <v>0</v>
      </c>
      <c r="Q163" s="94"/>
      <c r="R163" s="94"/>
      <c r="S163" s="94"/>
      <c r="T163" s="94"/>
      <c r="U163" s="94"/>
      <c r="V163" s="94"/>
      <c r="W163" s="94"/>
      <c r="X163" s="94"/>
      <c r="Y163" s="94"/>
      <c r="Z163" s="94"/>
    </row>
    <row r="164" spans="1:26" x14ac:dyDescent="0.3">
      <c r="A164" s="94" t="s">
        <v>294</v>
      </c>
      <c r="B164" s="94" t="s">
        <v>1215</v>
      </c>
      <c r="C164" s="94">
        <v>127.1</v>
      </c>
      <c r="D164" s="94"/>
      <c r="E164" s="94"/>
      <c r="F164" s="94">
        <v>507.62</v>
      </c>
      <c r="G164" s="94"/>
      <c r="H164" s="94"/>
      <c r="I164" s="95">
        <v>634.72</v>
      </c>
      <c r="J164" s="95">
        <f t="shared" si="14"/>
        <v>0</v>
      </c>
      <c r="K164" s="95">
        <f t="shared" si="15"/>
        <v>0</v>
      </c>
      <c r="L164" s="95">
        <f t="shared" si="16"/>
        <v>0</v>
      </c>
      <c r="M164" s="95">
        <f t="shared" si="17"/>
        <v>0</v>
      </c>
      <c r="N164" s="95">
        <f t="shared" si="18"/>
        <v>20</v>
      </c>
      <c r="O164" s="95">
        <f t="shared" si="19"/>
        <v>0</v>
      </c>
      <c r="P164" s="95">
        <f t="shared" si="20"/>
        <v>20</v>
      </c>
      <c r="Q164" s="94"/>
      <c r="R164" s="94"/>
      <c r="S164" s="94"/>
      <c r="T164" s="94"/>
      <c r="U164" s="94"/>
      <c r="V164" s="94"/>
      <c r="W164" s="94"/>
      <c r="X164" s="94"/>
      <c r="Y164" s="94"/>
      <c r="Z164" s="94"/>
    </row>
    <row r="165" spans="1:26" x14ac:dyDescent="0.3">
      <c r="A165" s="94" t="s">
        <v>294</v>
      </c>
      <c r="B165" s="94" t="s">
        <v>1249</v>
      </c>
      <c r="C165" s="94"/>
      <c r="D165" s="94"/>
      <c r="E165" s="94"/>
      <c r="F165" s="94"/>
      <c r="G165" s="94"/>
      <c r="H165" s="94"/>
      <c r="I165" s="95">
        <v>0</v>
      </c>
      <c r="J165" s="95">
        <f t="shared" si="14"/>
        <v>0</v>
      </c>
      <c r="K165" s="95">
        <f t="shared" si="15"/>
        <v>0</v>
      </c>
      <c r="L165" s="95">
        <f t="shared" si="16"/>
        <v>0</v>
      </c>
      <c r="M165" s="95">
        <f t="shared" si="17"/>
        <v>0</v>
      </c>
      <c r="N165" s="95">
        <f t="shared" si="18"/>
        <v>0</v>
      </c>
      <c r="O165" s="95">
        <f t="shared" si="19"/>
        <v>0</v>
      </c>
      <c r="P165" s="95">
        <f t="shared" si="20"/>
        <v>0</v>
      </c>
      <c r="Q165" s="94"/>
      <c r="R165" s="94"/>
      <c r="S165" s="94"/>
      <c r="T165" s="94"/>
      <c r="U165" s="94"/>
      <c r="V165" s="94"/>
      <c r="W165" s="94"/>
      <c r="X165" s="94"/>
      <c r="Y165" s="94"/>
      <c r="Z165" s="94"/>
    </row>
    <row r="166" spans="1:26" x14ac:dyDescent="0.3">
      <c r="A166" s="94" t="s">
        <v>294</v>
      </c>
      <c r="B166" s="94" t="s">
        <v>1280</v>
      </c>
      <c r="C166" s="94"/>
      <c r="D166" s="94"/>
      <c r="E166" s="94"/>
      <c r="F166" s="94"/>
      <c r="G166" s="94"/>
      <c r="H166" s="94"/>
      <c r="I166" s="95">
        <v>0</v>
      </c>
      <c r="J166" s="95">
        <f t="shared" si="14"/>
        <v>0</v>
      </c>
      <c r="K166" s="95">
        <f t="shared" si="15"/>
        <v>0</v>
      </c>
      <c r="L166" s="95">
        <f t="shared" si="16"/>
        <v>0</v>
      </c>
      <c r="M166" s="95">
        <f t="shared" si="17"/>
        <v>0</v>
      </c>
      <c r="N166" s="95">
        <f t="shared" si="18"/>
        <v>0</v>
      </c>
      <c r="O166" s="95">
        <f t="shared" si="19"/>
        <v>0</v>
      </c>
      <c r="P166" s="95">
        <f t="shared" si="20"/>
        <v>0</v>
      </c>
      <c r="Q166" s="94"/>
      <c r="R166" s="94"/>
      <c r="S166" s="94"/>
      <c r="T166" s="94"/>
      <c r="U166" s="94"/>
      <c r="V166" s="94"/>
      <c r="W166" s="94"/>
      <c r="X166" s="94"/>
      <c r="Y166" s="94"/>
      <c r="Z166" s="94"/>
    </row>
    <row r="167" spans="1:26" x14ac:dyDescent="0.3">
      <c r="A167" s="94" t="s">
        <v>294</v>
      </c>
      <c r="B167" s="94" t="s">
        <v>1323</v>
      </c>
      <c r="C167" s="94"/>
      <c r="D167" s="94"/>
      <c r="E167" s="94"/>
      <c r="F167" s="94"/>
      <c r="G167" s="94"/>
      <c r="H167" s="94"/>
      <c r="I167" s="95">
        <v>0</v>
      </c>
      <c r="J167" s="95">
        <f t="shared" si="14"/>
        <v>0</v>
      </c>
      <c r="K167" s="95">
        <f t="shared" si="15"/>
        <v>0</v>
      </c>
      <c r="L167" s="95">
        <f t="shared" si="16"/>
        <v>0</v>
      </c>
      <c r="M167" s="95">
        <f t="shared" si="17"/>
        <v>0</v>
      </c>
      <c r="N167" s="95">
        <f t="shared" si="18"/>
        <v>0</v>
      </c>
      <c r="O167" s="95">
        <f t="shared" si="19"/>
        <v>0</v>
      </c>
      <c r="P167" s="95">
        <f t="shared" si="20"/>
        <v>0</v>
      </c>
      <c r="Q167" s="94"/>
      <c r="R167" s="94"/>
      <c r="S167" s="94"/>
      <c r="T167" s="94"/>
      <c r="U167" s="94"/>
      <c r="V167" s="94"/>
      <c r="W167" s="94"/>
      <c r="X167" s="94"/>
      <c r="Y167" s="94"/>
      <c r="Z167" s="94"/>
    </row>
    <row r="168" spans="1:26" x14ac:dyDescent="0.3">
      <c r="A168" s="94" t="s">
        <v>294</v>
      </c>
      <c r="B168" s="94" t="s">
        <v>1337</v>
      </c>
      <c r="C168" s="94"/>
      <c r="D168" s="94"/>
      <c r="E168" s="94"/>
      <c r="F168" s="94"/>
      <c r="G168" s="94"/>
      <c r="H168" s="94"/>
      <c r="I168" s="95">
        <v>0</v>
      </c>
      <c r="J168" s="95">
        <f t="shared" si="14"/>
        <v>0</v>
      </c>
      <c r="K168" s="95">
        <f t="shared" si="15"/>
        <v>0</v>
      </c>
      <c r="L168" s="95">
        <f t="shared" si="16"/>
        <v>0</v>
      </c>
      <c r="M168" s="95">
        <f t="shared" si="17"/>
        <v>0</v>
      </c>
      <c r="N168" s="95">
        <f t="shared" si="18"/>
        <v>0</v>
      </c>
      <c r="O168" s="95">
        <f t="shared" si="19"/>
        <v>0</v>
      </c>
      <c r="P168" s="95">
        <f t="shared" si="20"/>
        <v>0</v>
      </c>
      <c r="Q168" s="94"/>
      <c r="R168" s="94"/>
      <c r="S168" s="94"/>
      <c r="T168" s="94"/>
      <c r="U168" s="94"/>
      <c r="V168" s="94"/>
      <c r="W168" s="94"/>
      <c r="X168" s="94"/>
      <c r="Y168" s="94"/>
      <c r="Z168" s="94"/>
    </row>
    <row r="169" spans="1:26" x14ac:dyDescent="0.3">
      <c r="A169" s="94" t="s">
        <v>294</v>
      </c>
      <c r="B169" s="94" t="s">
        <v>1467</v>
      </c>
      <c r="C169" s="94"/>
      <c r="D169" s="94"/>
      <c r="E169" s="94"/>
      <c r="F169" s="94"/>
      <c r="G169" s="94"/>
      <c r="H169" s="94"/>
      <c r="I169" s="95">
        <v>0</v>
      </c>
      <c r="J169" s="95">
        <f t="shared" si="14"/>
        <v>0</v>
      </c>
      <c r="K169" s="95">
        <f t="shared" si="15"/>
        <v>0</v>
      </c>
      <c r="L169" s="95">
        <f t="shared" si="16"/>
        <v>0</v>
      </c>
      <c r="M169" s="95">
        <f t="shared" si="17"/>
        <v>0</v>
      </c>
      <c r="N169" s="95">
        <f t="shared" si="18"/>
        <v>0</v>
      </c>
      <c r="O169" s="95">
        <f t="shared" si="19"/>
        <v>0</v>
      </c>
      <c r="P169" s="95">
        <f t="shared" si="20"/>
        <v>0</v>
      </c>
      <c r="Q169" s="94"/>
      <c r="R169" s="94"/>
      <c r="S169" s="94"/>
      <c r="T169" s="94"/>
      <c r="U169" s="94"/>
      <c r="V169" s="94"/>
      <c r="W169" s="94"/>
      <c r="X169" s="94"/>
      <c r="Y169" s="94"/>
      <c r="Z169" s="94"/>
    </row>
    <row r="170" spans="1:26" x14ac:dyDescent="0.3">
      <c r="A170" s="94" t="s">
        <v>294</v>
      </c>
      <c r="B170" s="94" t="s">
        <v>1603</v>
      </c>
      <c r="C170" s="94"/>
      <c r="D170" s="94"/>
      <c r="E170" s="94"/>
      <c r="F170" s="94"/>
      <c r="G170" s="94"/>
      <c r="H170" s="94"/>
      <c r="I170" s="95">
        <v>0</v>
      </c>
      <c r="J170" s="95">
        <f t="shared" si="14"/>
        <v>0</v>
      </c>
      <c r="K170" s="95">
        <f t="shared" si="15"/>
        <v>0</v>
      </c>
      <c r="L170" s="95">
        <f t="shared" si="16"/>
        <v>0</v>
      </c>
      <c r="M170" s="95">
        <f t="shared" si="17"/>
        <v>0</v>
      </c>
      <c r="N170" s="95">
        <f t="shared" si="18"/>
        <v>0</v>
      </c>
      <c r="O170" s="95">
        <f t="shared" si="19"/>
        <v>0</v>
      </c>
      <c r="P170" s="95">
        <f t="shared" si="20"/>
        <v>0</v>
      </c>
      <c r="Q170" s="94"/>
      <c r="R170" s="94"/>
      <c r="S170" s="94"/>
      <c r="T170" s="94"/>
      <c r="U170" s="94"/>
      <c r="V170" s="94"/>
      <c r="W170" s="94"/>
      <c r="X170" s="94"/>
      <c r="Y170" s="94"/>
      <c r="Z170" s="94"/>
    </row>
    <row r="171" spans="1:26" x14ac:dyDescent="0.3">
      <c r="A171" s="94" t="s">
        <v>294</v>
      </c>
      <c r="B171" s="94" t="s">
        <v>1609</v>
      </c>
      <c r="C171" s="94">
        <v>135.59</v>
      </c>
      <c r="D171" s="94"/>
      <c r="E171" s="94"/>
      <c r="F171" s="94"/>
      <c r="G171" s="94"/>
      <c r="H171" s="94"/>
      <c r="I171" s="95">
        <v>135.59</v>
      </c>
      <c r="J171" s="95">
        <f t="shared" si="14"/>
        <v>0</v>
      </c>
      <c r="K171" s="95">
        <f t="shared" si="15"/>
        <v>0</v>
      </c>
      <c r="L171" s="95">
        <f t="shared" si="16"/>
        <v>0</v>
      </c>
      <c r="M171" s="95">
        <f t="shared" si="17"/>
        <v>0</v>
      </c>
      <c r="N171" s="95">
        <f t="shared" si="18"/>
        <v>0</v>
      </c>
      <c r="O171" s="95">
        <f t="shared" si="19"/>
        <v>0</v>
      </c>
      <c r="P171" s="95">
        <f t="shared" si="20"/>
        <v>0</v>
      </c>
      <c r="Q171" s="94"/>
      <c r="R171" s="94"/>
      <c r="S171" s="94"/>
      <c r="T171" s="94"/>
      <c r="U171" s="94"/>
      <c r="V171" s="94"/>
      <c r="W171" s="94"/>
      <c r="X171" s="94"/>
      <c r="Y171" s="94"/>
      <c r="Z171" s="94"/>
    </row>
    <row r="172" spans="1:26" x14ac:dyDescent="0.3">
      <c r="A172" s="94" t="s">
        <v>294</v>
      </c>
      <c r="B172" s="94" t="s">
        <v>1786</v>
      </c>
      <c r="C172" s="94">
        <v>135.59</v>
      </c>
      <c r="D172" s="94"/>
      <c r="E172" s="94"/>
      <c r="F172" s="94"/>
      <c r="G172" s="94"/>
      <c r="H172" s="94"/>
      <c r="I172" s="95">
        <v>135.59</v>
      </c>
      <c r="J172" s="95">
        <f t="shared" si="14"/>
        <v>0</v>
      </c>
      <c r="K172" s="95">
        <f t="shared" si="15"/>
        <v>0</v>
      </c>
      <c r="L172" s="95">
        <f t="shared" si="16"/>
        <v>0</v>
      </c>
      <c r="M172" s="95">
        <f t="shared" si="17"/>
        <v>0</v>
      </c>
      <c r="N172" s="95">
        <f t="shared" si="18"/>
        <v>0</v>
      </c>
      <c r="O172" s="95">
        <f t="shared" si="19"/>
        <v>0</v>
      </c>
      <c r="P172" s="95">
        <f t="shared" si="20"/>
        <v>0</v>
      </c>
      <c r="Q172" s="94"/>
      <c r="R172" s="94"/>
      <c r="S172" s="94"/>
      <c r="T172" s="94"/>
      <c r="U172" s="94"/>
      <c r="V172" s="94"/>
      <c r="W172" s="94"/>
      <c r="X172" s="94"/>
      <c r="Y172" s="94"/>
      <c r="Z172" s="94"/>
    </row>
    <row r="173" spans="1:26" x14ac:dyDescent="0.3">
      <c r="A173" s="94" t="s">
        <v>294</v>
      </c>
      <c r="B173" s="94" t="s">
        <v>2066</v>
      </c>
      <c r="C173" s="94"/>
      <c r="D173" s="94"/>
      <c r="E173" s="94"/>
      <c r="F173" s="94"/>
      <c r="G173" s="94"/>
      <c r="H173" s="94"/>
      <c r="I173" s="95">
        <v>0</v>
      </c>
      <c r="J173" s="95">
        <f t="shared" si="14"/>
        <v>0</v>
      </c>
      <c r="K173" s="95">
        <f t="shared" si="15"/>
        <v>0</v>
      </c>
      <c r="L173" s="95">
        <f t="shared" si="16"/>
        <v>0</v>
      </c>
      <c r="M173" s="95">
        <f t="shared" si="17"/>
        <v>0</v>
      </c>
      <c r="N173" s="95">
        <f t="shared" si="18"/>
        <v>0</v>
      </c>
      <c r="O173" s="95">
        <f t="shared" si="19"/>
        <v>0</v>
      </c>
      <c r="P173" s="95">
        <f t="shared" si="20"/>
        <v>0</v>
      </c>
      <c r="Q173" s="94"/>
      <c r="R173" s="94"/>
      <c r="S173" s="94"/>
      <c r="T173" s="94"/>
      <c r="U173" s="94"/>
      <c r="V173" s="94"/>
      <c r="W173" s="94"/>
      <c r="X173" s="94"/>
      <c r="Y173" s="94"/>
      <c r="Z173" s="94"/>
    </row>
    <row r="174" spans="1:26" x14ac:dyDescent="0.3">
      <c r="A174" s="94" t="s">
        <v>294</v>
      </c>
      <c r="B174" s="94" t="s">
        <v>2266</v>
      </c>
      <c r="C174" s="94"/>
      <c r="D174" s="94"/>
      <c r="E174" s="94"/>
      <c r="F174" s="94"/>
      <c r="G174" s="94"/>
      <c r="H174" s="94"/>
      <c r="I174" s="95">
        <v>0</v>
      </c>
      <c r="J174" s="95">
        <f t="shared" si="14"/>
        <v>0</v>
      </c>
      <c r="K174" s="95">
        <f t="shared" si="15"/>
        <v>0</v>
      </c>
      <c r="L174" s="95">
        <f t="shared" si="16"/>
        <v>0</v>
      </c>
      <c r="M174" s="95">
        <f t="shared" si="17"/>
        <v>0</v>
      </c>
      <c r="N174" s="95">
        <f t="shared" si="18"/>
        <v>0</v>
      </c>
      <c r="O174" s="95">
        <f t="shared" si="19"/>
        <v>0</v>
      </c>
      <c r="P174" s="95">
        <f t="shared" si="20"/>
        <v>0</v>
      </c>
      <c r="Q174" s="94"/>
      <c r="R174" s="94"/>
      <c r="S174" s="94"/>
      <c r="T174" s="94"/>
      <c r="U174" s="94"/>
      <c r="V174" s="94"/>
      <c r="W174" s="94"/>
      <c r="X174" s="94"/>
      <c r="Y174" s="94"/>
      <c r="Z174" s="94"/>
    </row>
    <row r="175" spans="1:26" x14ac:dyDescent="0.3">
      <c r="A175" s="94" t="s">
        <v>294</v>
      </c>
      <c r="B175" s="94" t="s">
        <v>2273</v>
      </c>
      <c r="C175" s="94"/>
      <c r="D175" s="94"/>
      <c r="E175" s="94"/>
      <c r="F175" s="94"/>
      <c r="G175" s="94"/>
      <c r="H175" s="94"/>
      <c r="I175" s="95">
        <v>0</v>
      </c>
      <c r="J175" s="95">
        <f t="shared" si="14"/>
        <v>0</v>
      </c>
      <c r="K175" s="95">
        <f t="shared" si="15"/>
        <v>0</v>
      </c>
      <c r="L175" s="95">
        <f t="shared" si="16"/>
        <v>0</v>
      </c>
      <c r="M175" s="95">
        <f t="shared" si="17"/>
        <v>0</v>
      </c>
      <c r="N175" s="95">
        <f t="shared" si="18"/>
        <v>0</v>
      </c>
      <c r="O175" s="95">
        <f t="shared" si="19"/>
        <v>0</v>
      </c>
      <c r="P175" s="95">
        <f t="shared" si="20"/>
        <v>0</v>
      </c>
      <c r="Q175" s="94"/>
      <c r="R175" s="94"/>
      <c r="S175" s="94"/>
      <c r="T175" s="94"/>
      <c r="U175" s="94"/>
      <c r="V175" s="94"/>
      <c r="W175" s="94"/>
      <c r="X175" s="94"/>
      <c r="Y175" s="94"/>
      <c r="Z175" s="94"/>
    </row>
    <row r="176" spans="1:26" x14ac:dyDescent="0.3">
      <c r="A176" s="94" t="s">
        <v>294</v>
      </c>
      <c r="B176" s="94" t="s">
        <v>2518</v>
      </c>
      <c r="C176" s="94"/>
      <c r="D176" s="94"/>
      <c r="E176" s="94"/>
      <c r="F176" s="94"/>
      <c r="G176" s="94"/>
      <c r="H176" s="94"/>
      <c r="I176" s="95">
        <v>0</v>
      </c>
      <c r="J176" s="95">
        <f t="shared" si="14"/>
        <v>0</v>
      </c>
      <c r="K176" s="95">
        <f t="shared" si="15"/>
        <v>0</v>
      </c>
      <c r="L176" s="95">
        <f t="shared" si="16"/>
        <v>0</v>
      </c>
      <c r="M176" s="95">
        <f t="shared" si="17"/>
        <v>0</v>
      </c>
      <c r="N176" s="95">
        <f t="shared" si="18"/>
        <v>0</v>
      </c>
      <c r="O176" s="95">
        <f t="shared" si="19"/>
        <v>0</v>
      </c>
      <c r="P176" s="95">
        <f t="shared" si="20"/>
        <v>0</v>
      </c>
      <c r="Q176" s="94"/>
      <c r="R176" s="94"/>
      <c r="S176" s="94"/>
      <c r="T176" s="94"/>
      <c r="U176" s="94"/>
      <c r="V176" s="94"/>
      <c r="W176" s="94"/>
      <c r="X176" s="94"/>
      <c r="Y176" s="94"/>
      <c r="Z176" s="94"/>
    </row>
    <row r="177" spans="1:26" ht="16.5" x14ac:dyDescent="0.3">
      <c r="A177" s="96" t="s">
        <v>294</v>
      </c>
      <c r="B177" s="96" t="s">
        <v>2864</v>
      </c>
      <c r="C177" s="96"/>
      <c r="D177" s="96"/>
      <c r="E177" s="96"/>
      <c r="F177" s="96"/>
      <c r="G177" s="96"/>
      <c r="H177" s="96"/>
      <c r="I177" s="97">
        <v>0</v>
      </c>
      <c r="J177" s="97">
        <f t="shared" si="14"/>
        <v>0</v>
      </c>
      <c r="K177" s="97">
        <f t="shared" si="15"/>
        <v>0</v>
      </c>
      <c r="L177" s="97">
        <f t="shared" si="16"/>
        <v>0</v>
      </c>
      <c r="M177" s="97">
        <f t="shared" si="17"/>
        <v>0</v>
      </c>
      <c r="N177" s="97">
        <f t="shared" si="18"/>
        <v>0</v>
      </c>
      <c r="O177" s="97">
        <f t="shared" si="19"/>
        <v>0</v>
      </c>
      <c r="P177" s="97">
        <f t="shared" si="20"/>
        <v>0</v>
      </c>
      <c r="Q177" s="98">
        <v>300</v>
      </c>
      <c r="R177" s="96"/>
      <c r="S177" s="96"/>
      <c r="T177" s="94"/>
      <c r="U177" s="94"/>
      <c r="V177" s="94"/>
      <c r="W177" s="94"/>
      <c r="X177" s="94"/>
      <c r="Y177" s="94"/>
      <c r="Z177" s="94"/>
    </row>
    <row r="178" spans="1:26" ht="15.75" x14ac:dyDescent="0.3">
      <c r="A178"/>
      <c r="B178"/>
    </row>
    <row r="179" spans="1:26" ht="16.5" thickBot="1" x14ac:dyDescent="0.35">
      <c r="A179"/>
      <c r="B179"/>
    </row>
    <row r="180" spans="1:26" ht="39" thickBot="1" x14ac:dyDescent="0.35">
      <c r="A180" s="173" t="s">
        <v>3209</v>
      </c>
      <c r="B180" s="174"/>
      <c r="C180" s="174"/>
      <c r="D180" s="175"/>
      <c r="E180" s="99"/>
      <c r="F180" s="176" t="s">
        <v>3210</v>
      </c>
      <c r="G180" s="177"/>
      <c r="H180" s="178"/>
      <c r="I180" s="100" t="s">
        <v>3211</v>
      </c>
    </row>
    <row r="181" spans="1:26" ht="15.75" x14ac:dyDescent="0.3">
      <c r="A181" s="101" t="s">
        <v>3212</v>
      </c>
      <c r="B181" s="102">
        <v>24515.79</v>
      </c>
      <c r="C181" s="103"/>
      <c r="D181" s="103"/>
      <c r="E181" s="99"/>
      <c r="F181" s="104" t="s">
        <v>3213</v>
      </c>
      <c r="G181" s="105" t="s">
        <v>3214</v>
      </c>
      <c r="H181" s="106" t="s">
        <v>3215</v>
      </c>
      <c r="I181" s="107" t="s">
        <v>3215</v>
      </c>
    </row>
    <row r="182" spans="1:26" ht="15.75" x14ac:dyDescent="0.3">
      <c r="A182" s="108" t="s">
        <v>3216</v>
      </c>
      <c r="B182" s="102">
        <v>4431.68</v>
      </c>
      <c r="C182" s="103"/>
      <c r="D182" s="103"/>
      <c r="E182" s="99"/>
      <c r="F182" s="109" t="s">
        <v>3217</v>
      </c>
      <c r="G182" s="110" t="s">
        <v>3218</v>
      </c>
      <c r="H182" s="111">
        <v>2500</v>
      </c>
      <c r="I182" s="112">
        <v>1200</v>
      </c>
    </row>
    <row r="183" spans="1:26" ht="16.5" thickBot="1" x14ac:dyDescent="0.35">
      <c r="A183" s="108" t="s">
        <v>3219</v>
      </c>
      <c r="B183" s="113">
        <f>+B181+B182</f>
        <v>28947.47</v>
      </c>
      <c r="C183" s="103"/>
      <c r="D183" s="103"/>
      <c r="E183" s="99"/>
      <c r="F183" s="114" t="s">
        <v>3220</v>
      </c>
      <c r="G183" s="115" t="s">
        <v>3221</v>
      </c>
      <c r="H183" s="116">
        <v>3500</v>
      </c>
      <c r="I183" s="117">
        <v>1500</v>
      </c>
    </row>
    <row r="184" spans="1:26" ht="16.5" thickBot="1" x14ac:dyDescent="0.35">
      <c r="A184" s="108" t="s">
        <v>3222</v>
      </c>
      <c r="B184" s="118">
        <v>277</v>
      </c>
      <c r="C184" s="119" t="s">
        <v>3223</v>
      </c>
      <c r="D184" s="119" t="s">
        <v>3208</v>
      </c>
      <c r="E184" s="99"/>
      <c r="F184" s="114" t="s">
        <v>536</v>
      </c>
      <c r="G184" s="115" t="s">
        <v>3224</v>
      </c>
      <c r="H184" s="116" t="s">
        <v>3225</v>
      </c>
      <c r="I184" s="117" t="s">
        <v>3226</v>
      </c>
    </row>
    <row r="185" spans="1:26" ht="19.5" thickBot="1" x14ac:dyDescent="0.35">
      <c r="A185" s="120" t="s">
        <v>3227</v>
      </c>
      <c r="B185" s="121">
        <f>+B183/B184</f>
        <v>104.50350180505416</v>
      </c>
      <c r="C185" s="122" t="s">
        <v>3228</v>
      </c>
      <c r="D185" s="123">
        <v>0</v>
      </c>
      <c r="E185" s="99"/>
      <c r="F185" s="157" t="s">
        <v>3229</v>
      </c>
      <c r="G185" s="158"/>
      <c r="H185" s="158"/>
      <c r="I185" s="159"/>
    </row>
    <row r="186" spans="1:26" ht="15.75" x14ac:dyDescent="0.3">
      <c r="A186" s="124" t="s">
        <v>3230</v>
      </c>
      <c r="B186" s="125">
        <v>30</v>
      </c>
      <c r="C186" s="10">
        <v>3</v>
      </c>
      <c r="D186" s="126">
        <f>IF(B187&lt;30%,3,0)*B186</f>
        <v>90</v>
      </c>
      <c r="E186" s="99"/>
      <c r="F186" s="160"/>
      <c r="G186" s="161"/>
      <c r="H186" s="161"/>
      <c r="I186" s="162"/>
    </row>
    <row r="187" spans="1:26" ht="16.5" thickBot="1" x14ac:dyDescent="0.35">
      <c r="A187" s="127" t="s">
        <v>3231</v>
      </c>
      <c r="B187" s="128">
        <f>+B186/B184</f>
        <v>0.10830324909747292</v>
      </c>
      <c r="C187" s="129">
        <v>5</v>
      </c>
      <c r="D187" s="126">
        <f>IF(B187&gt;30%,5,0)*B186</f>
        <v>0</v>
      </c>
      <c r="E187" s="99"/>
      <c r="F187" s="160"/>
      <c r="G187" s="161"/>
      <c r="H187" s="161"/>
      <c r="I187" s="162"/>
    </row>
    <row r="188" spans="1:26" ht="16.5" thickBot="1" x14ac:dyDescent="0.35">
      <c r="A188" s="130" t="s">
        <v>310</v>
      </c>
      <c r="B188" s="131" t="s">
        <v>3232</v>
      </c>
      <c r="C188" s="132" t="s">
        <v>309</v>
      </c>
      <c r="D188" s="133" t="s">
        <v>3215</v>
      </c>
      <c r="E188" s="99"/>
      <c r="F188" s="160"/>
      <c r="G188" s="161"/>
      <c r="H188" s="161"/>
      <c r="I188" s="162"/>
    </row>
    <row r="189" spans="1:26" ht="15.75" x14ac:dyDescent="0.3">
      <c r="A189" s="134" t="s">
        <v>3233</v>
      </c>
      <c r="B189" s="135"/>
      <c r="C189" s="136"/>
      <c r="D189" s="137">
        <f>+D185*40%</f>
        <v>0</v>
      </c>
      <c r="E189" s="99"/>
      <c r="F189" s="160"/>
      <c r="G189" s="161"/>
      <c r="H189" s="161"/>
      <c r="I189" s="162"/>
    </row>
    <row r="190" spans="1:26" ht="15.75" x14ac:dyDescent="0.3">
      <c r="A190" s="138" t="s">
        <v>3234</v>
      </c>
      <c r="B190" s="139"/>
      <c r="C190" s="113"/>
      <c r="D190" s="140">
        <f>+D185*10%</f>
        <v>0</v>
      </c>
      <c r="E190" s="99"/>
      <c r="F190" s="160"/>
      <c r="G190" s="161"/>
      <c r="H190" s="161"/>
      <c r="I190" s="162"/>
    </row>
    <row r="191" spans="1:26" ht="15.75" x14ac:dyDescent="0.3">
      <c r="A191" s="138" t="s">
        <v>3235</v>
      </c>
      <c r="B191" s="139"/>
      <c r="C191" s="113"/>
      <c r="D191" s="140">
        <f>+D185*15%</f>
        <v>0</v>
      </c>
      <c r="E191" s="99"/>
      <c r="F191" s="160"/>
      <c r="G191" s="161"/>
      <c r="H191" s="161"/>
      <c r="I191" s="162"/>
    </row>
    <row r="192" spans="1:26" ht="15.75" x14ac:dyDescent="0.3">
      <c r="A192" s="138" t="s">
        <v>3236</v>
      </c>
      <c r="B192" s="139"/>
      <c r="C192" s="113"/>
      <c r="D192" s="140">
        <f>+D185*15%</f>
        <v>0</v>
      </c>
      <c r="E192" s="99"/>
      <c r="F192" s="160"/>
      <c r="G192" s="161"/>
      <c r="H192" s="161"/>
      <c r="I192" s="162"/>
    </row>
    <row r="193" spans="1:9" ht="15.75" x14ac:dyDescent="0.3">
      <c r="A193" s="138" t="s">
        <v>3237</v>
      </c>
      <c r="B193" s="141"/>
      <c r="C193" s="122"/>
      <c r="D193" s="140">
        <f>+D185*10%</f>
        <v>0</v>
      </c>
      <c r="E193" s="99"/>
      <c r="F193" s="160"/>
      <c r="G193" s="161"/>
      <c r="H193" s="161"/>
      <c r="I193" s="162"/>
    </row>
    <row r="194" spans="1:9" ht="16.5" thickBot="1" x14ac:dyDescent="0.35">
      <c r="A194" s="142" t="s">
        <v>3238</v>
      </c>
      <c r="B194" s="143"/>
      <c r="C194" s="144"/>
      <c r="D194" s="145">
        <f>+D185*10%</f>
        <v>0</v>
      </c>
      <c r="E194" s="99"/>
      <c r="F194" s="163"/>
      <c r="G194" s="164"/>
      <c r="H194" s="164"/>
      <c r="I194" s="165"/>
    </row>
    <row r="195" spans="1:9" ht="17.25" thickBot="1" x14ac:dyDescent="0.35">
      <c r="A195" s="166" t="s">
        <v>529</v>
      </c>
      <c r="B195" s="167"/>
      <c r="C195" s="168"/>
      <c r="D195" s="146">
        <f>SUM(D189:D194)</f>
        <v>0</v>
      </c>
      <c r="E195" s="99"/>
      <c r="F195" s="99"/>
      <c r="G195" s="99"/>
      <c r="H195" s="99"/>
      <c r="I195" s="99"/>
    </row>
    <row r="196" spans="1:9" ht="15.75" x14ac:dyDescent="0.3">
      <c r="A196"/>
      <c r="B196"/>
    </row>
    <row r="197" spans="1:9" ht="15.75" x14ac:dyDescent="0.3">
      <c r="A197" s="147" t="s">
        <v>3224</v>
      </c>
      <c r="B197" s="148">
        <v>90</v>
      </c>
    </row>
    <row r="198" spans="1:9" ht="15.75" x14ac:dyDescent="0.3">
      <c r="A198"/>
      <c r="B198"/>
    </row>
    <row r="199" spans="1:9" ht="15.75" x14ac:dyDescent="0.3">
      <c r="A199"/>
      <c r="B199"/>
    </row>
    <row r="200" spans="1:9" ht="15.75" x14ac:dyDescent="0.3">
      <c r="A200"/>
      <c r="B200"/>
    </row>
    <row r="201" spans="1:9" ht="15.75" x14ac:dyDescent="0.3">
      <c r="A201"/>
      <c r="B201"/>
    </row>
    <row r="202" spans="1:9" ht="15.75" x14ac:dyDescent="0.3">
      <c r="A202"/>
      <c r="B202"/>
    </row>
    <row r="203" spans="1:9" ht="15.75" x14ac:dyDescent="0.3">
      <c r="A203"/>
      <c r="B203"/>
    </row>
    <row r="204" spans="1:9" ht="15.75" x14ac:dyDescent="0.3">
      <c r="A204"/>
      <c r="B204"/>
    </row>
    <row r="205" spans="1:9" ht="15.75" x14ac:dyDescent="0.3">
      <c r="A205"/>
      <c r="B205"/>
    </row>
    <row r="206" spans="1:9" ht="15.75" x14ac:dyDescent="0.3">
      <c r="A206"/>
      <c r="B206"/>
    </row>
    <row r="207" spans="1:9" ht="15.75" x14ac:dyDescent="0.3">
      <c r="A207"/>
      <c r="B207"/>
    </row>
    <row r="208" spans="1:9" ht="15.75" x14ac:dyDescent="0.3">
      <c r="A208"/>
      <c r="B208"/>
    </row>
    <row r="209" spans="1:2" ht="15.75" x14ac:dyDescent="0.3">
      <c r="A209"/>
      <c r="B209"/>
    </row>
    <row r="210" spans="1:2" ht="15.75" x14ac:dyDescent="0.3">
      <c r="A210"/>
      <c r="B210"/>
    </row>
    <row r="211" spans="1:2" ht="15.75" x14ac:dyDescent="0.3">
      <c r="A211"/>
      <c r="B211"/>
    </row>
    <row r="212" spans="1:2" ht="15.75" x14ac:dyDescent="0.3">
      <c r="A212"/>
      <c r="B212"/>
    </row>
    <row r="213" spans="1:2" ht="15.75" x14ac:dyDescent="0.3">
      <c r="A213"/>
      <c r="B213"/>
    </row>
    <row r="214" spans="1:2" ht="15.75" x14ac:dyDescent="0.3">
      <c r="A214"/>
      <c r="B214"/>
    </row>
    <row r="215" spans="1:2" ht="15.75" x14ac:dyDescent="0.3">
      <c r="A215"/>
      <c r="B215"/>
    </row>
    <row r="216" spans="1:2" ht="15.75" x14ac:dyDescent="0.3">
      <c r="A216"/>
      <c r="B216"/>
    </row>
    <row r="217" spans="1:2" ht="15.75" x14ac:dyDescent="0.3">
      <c r="A217"/>
      <c r="B217"/>
    </row>
    <row r="218" spans="1:2" ht="15.75" x14ac:dyDescent="0.3">
      <c r="A218"/>
      <c r="B218"/>
    </row>
    <row r="219" spans="1:2" ht="15.75" x14ac:dyDescent="0.3">
      <c r="A219"/>
      <c r="B219"/>
    </row>
    <row r="220" spans="1:2" ht="15.75" x14ac:dyDescent="0.3">
      <c r="A220"/>
      <c r="B220"/>
    </row>
    <row r="221" spans="1:2" ht="15.75" x14ac:dyDescent="0.3">
      <c r="A221"/>
      <c r="B221"/>
    </row>
    <row r="222" spans="1:2" ht="15.75" x14ac:dyDescent="0.3">
      <c r="A222"/>
      <c r="B222"/>
    </row>
    <row r="223" spans="1:2" ht="15.75" x14ac:dyDescent="0.3">
      <c r="A223"/>
      <c r="B223"/>
    </row>
    <row r="224" spans="1:2" ht="15.75" x14ac:dyDescent="0.3">
      <c r="A224"/>
      <c r="B224"/>
    </row>
    <row r="225" spans="1:2" ht="15.75" x14ac:dyDescent="0.3">
      <c r="A225"/>
      <c r="B225"/>
    </row>
    <row r="226" spans="1:2" ht="15.75" x14ac:dyDescent="0.3">
      <c r="A226"/>
      <c r="B226"/>
    </row>
    <row r="227" spans="1:2" ht="15.75" x14ac:dyDescent="0.3">
      <c r="A227"/>
      <c r="B227"/>
    </row>
    <row r="228" spans="1:2" ht="15.75" x14ac:dyDescent="0.3">
      <c r="A228"/>
      <c r="B228"/>
    </row>
    <row r="229" spans="1:2" ht="15.75" x14ac:dyDescent="0.3">
      <c r="A229"/>
      <c r="B229"/>
    </row>
    <row r="230" spans="1:2" ht="15.75" x14ac:dyDescent="0.3">
      <c r="A230"/>
      <c r="B230"/>
    </row>
    <row r="231" spans="1:2" ht="15.75" x14ac:dyDescent="0.3">
      <c r="A231"/>
      <c r="B231"/>
    </row>
    <row r="232" spans="1:2" ht="15.75" x14ac:dyDescent="0.3">
      <c r="A232"/>
      <c r="B232"/>
    </row>
    <row r="233" spans="1:2" ht="15.75" x14ac:dyDescent="0.3">
      <c r="A233"/>
      <c r="B233"/>
    </row>
    <row r="234" spans="1:2" ht="15.75" x14ac:dyDescent="0.3">
      <c r="A234"/>
      <c r="B234"/>
    </row>
    <row r="235" spans="1:2" ht="15.75" x14ac:dyDescent="0.3">
      <c r="A235"/>
      <c r="B235"/>
    </row>
    <row r="236" spans="1:2" ht="15.75" x14ac:dyDescent="0.3">
      <c r="A236"/>
      <c r="B236"/>
    </row>
    <row r="237" spans="1:2" ht="15.75" x14ac:dyDescent="0.3">
      <c r="A237"/>
      <c r="B237"/>
    </row>
    <row r="238" spans="1:2" ht="15.75" x14ac:dyDescent="0.3">
      <c r="A238"/>
      <c r="B238"/>
    </row>
    <row r="239" spans="1:2" ht="15.75" x14ac:dyDescent="0.3">
      <c r="A239"/>
      <c r="B239"/>
    </row>
    <row r="240" spans="1:2" ht="15.75" x14ac:dyDescent="0.3">
      <c r="A240"/>
      <c r="B240"/>
    </row>
    <row r="241" spans="1:2" ht="15.75" x14ac:dyDescent="0.3">
      <c r="A241"/>
      <c r="B241"/>
    </row>
    <row r="242" spans="1:2" ht="15.75" x14ac:dyDescent="0.3">
      <c r="A242"/>
      <c r="B242"/>
    </row>
    <row r="243" spans="1:2" ht="15.75" x14ac:dyDescent="0.3">
      <c r="A243"/>
      <c r="B243"/>
    </row>
    <row r="244" spans="1:2" ht="15.75" x14ac:dyDescent="0.3">
      <c r="A244"/>
      <c r="B244"/>
    </row>
    <row r="245" spans="1:2" ht="15.75" x14ac:dyDescent="0.3">
      <c r="A245"/>
      <c r="B245"/>
    </row>
    <row r="246" spans="1:2" ht="15.75" x14ac:dyDescent="0.3">
      <c r="A246"/>
      <c r="B246"/>
    </row>
    <row r="247" spans="1:2" ht="15.75" x14ac:dyDescent="0.3">
      <c r="A247"/>
      <c r="B247"/>
    </row>
    <row r="248" spans="1:2" ht="15.75" x14ac:dyDescent="0.3">
      <c r="A248"/>
      <c r="B248"/>
    </row>
    <row r="249" spans="1:2" ht="15.75" x14ac:dyDescent="0.3">
      <c r="A249"/>
      <c r="B249"/>
    </row>
    <row r="250" spans="1:2" ht="15.75" x14ac:dyDescent="0.3">
      <c r="A250"/>
      <c r="B250"/>
    </row>
    <row r="251" spans="1:2" ht="15.75" x14ac:dyDescent="0.3">
      <c r="A251"/>
      <c r="B251"/>
    </row>
    <row r="252" spans="1:2" ht="15.75" x14ac:dyDescent="0.3">
      <c r="A252"/>
      <c r="B252"/>
    </row>
    <row r="253" spans="1:2" ht="15.75" x14ac:dyDescent="0.3">
      <c r="A253"/>
      <c r="B253"/>
    </row>
    <row r="254" spans="1:2" ht="15.75" x14ac:dyDescent="0.3">
      <c r="A254"/>
      <c r="B254"/>
    </row>
    <row r="255" spans="1:2" ht="15.75" x14ac:dyDescent="0.3">
      <c r="A255"/>
      <c r="B255"/>
    </row>
    <row r="256" spans="1:2" ht="15.75" x14ac:dyDescent="0.3">
      <c r="A256"/>
      <c r="B256"/>
    </row>
    <row r="257" spans="1:2" ht="15.75" x14ac:dyDescent="0.3">
      <c r="A257"/>
      <c r="B257"/>
    </row>
    <row r="258" spans="1:2" ht="15.75" x14ac:dyDescent="0.3">
      <c r="A258"/>
      <c r="B258"/>
    </row>
    <row r="259" spans="1:2" ht="15.75" x14ac:dyDescent="0.3">
      <c r="A259"/>
      <c r="B259"/>
    </row>
    <row r="260" spans="1:2" ht="15.75" x14ac:dyDescent="0.3">
      <c r="A260"/>
      <c r="B260"/>
    </row>
    <row r="261" spans="1:2" ht="15.75" x14ac:dyDescent="0.3">
      <c r="A261"/>
      <c r="B261"/>
    </row>
    <row r="262" spans="1:2" ht="15.75" x14ac:dyDescent="0.3">
      <c r="A262"/>
      <c r="B262"/>
    </row>
    <row r="263" spans="1:2" ht="15.75" x14ac:dyDescent="0.3">
      <c r="A263"/>
      <c r="B263"/>
    </row>
    <row r="264" spans="1:2" ht="15.75" x14ac:dyDescent="0.3">
      <c r="A264"/>
      <c r="B264"/>
    </row>
    <row r="265" spans="1:2" ht="15.75" x14ac:dyDescent="0.3">
      <c r="A265"/>
      <c r="B265"/>
    </row>
    <row r="266" spans="1:2" ht="15.75" x14ac:dyDescent="0.3">
      <c r="A266"/>
      <c r="B266"/>
    </row>
    <row r="267" spans="1:2" ht="15.75" x14ac:dyDescent="0.3">
      <c r="A267"/>
      <c r="B267"/>
    </row>
    <row r="268" spans="1:2" ht="15.75" x14ac:dyDescent="0.3">
      <c r="A268"/>
      <c r="B268"/>
    </row>
    <row r="269" spans="1:2" ht="15.75" x14ac:dyDescent="0.3">
      <c r="A269"/>
      <c r="B269"/>
    </row>
    <row r="270" spans="1:2" ht="15.75" x14ac:dyDescent="0.3">
      <c r="A270"/>
      <c r="B270"/>
    </row>
    <row r="271" spans="1:2" ht="15.75" x14ac:dyDescent="0.3">
      <c r="A271"/>
      <c r="B271"/>
    </row>
    <row r="272" spans="1:2" ht="15.75" x14ac:dyDescent="0.3">
      <c r="A272"/>
      <c r="B272"/>
    </row>
    <row r="273" spans="1:2" ht="15.75" x14ac:dyDescent="0.3">
      <c r="A273"/>
      <c r="B273"/>
    </row>
    <row r="274" spans="1:2" ht="15.75" x14ac:dyDescent="0.3">
      <c r="A274"/>
      <c r="B274"/>
    </row>
    <row r="275" spans="1:2" ht="15.75" x14ac:dyDescent="0.3">
      <c r="A275"/>
      <c r="B275"/>
    </row>
    <row r="276" spans="1:2" ht="15.75" x14ac:dyDescent="0.3">
      <c r="A276"/>
      <c r="B276"/>
    </row>
    <row r="277" spans="1:2" ht="15.75" x14ac:dyDescent="0.3">
      <c r="A277"/>
      <c r="B277"/>
    </row>
    <row r="278" spans="1:2" ht="15.75" x14ac:dyDescent="0.3">
      <c r="A278"/>
      <c r="B278"/>
    </row>
    <row r="279" spans="1:2" ht="15.75" x14ac:dyDescent="0.3">
      <c r="A279"/>
      <c r="B279"/>
    </row>
    <row r="280" spans="1:2" ht="15.75" x14ac:dyDescent="0.3">
      <c r="A280"/>
      <c r="B280"/>
    </row>
    <row r="281" spans="1:2" ht="15.75" x14ac:dyDescent="0.3">
      <c r="A281"/>
      <c r="B281"/>
    </row>
    <row r="282" spans="1:2" ht="15.75" x14ac:dyDescent="0.3">
      <c r="A282"/>
      <c r="B282"/>
    </row>
    <row r="283" spans="1:2" ht="15.75" x14ac:dyDescent="0.3">
      <c r="A283"/>
      <c r="B283"/>
    </row>
    <row r="284" spans="1:2" ht="15.75" x14ac:dyDescent="0.3">
      <c r="A284"/>
      <c r="B284"/>
    </row>
    <row r="285" spans="1:2" ht="15.75" x14ac:dyDescent="0.3">
      <c r="A285"/>
      <c r="B285"/>
    </row>
    <row r="286" spans="1:2" ht="15.75" x14ac:dyDescent="0.3">
      <c r="A286"/>
      <c r="B286"/>
    </row>
    <row r="287" spans="1:2" ht="15.75" x14ac:dyDescent="0.3">
      <c r="A287"/>
      <c r="B287"/>
    </row>
    <row r="288" spans="1:2" ht="15.75" x14ac:dyDescent="0.3">
      <c r="A288"/>
      <c r="B288"/>
    </row>
    <row r="289" spans="1:2" ht="15.75" x14ac:dyDescent="0.3">
      <c r="A289"/>
      <c r="B289"/>
    </row>
    <row r="290" spans="1:2" ht="15.75" x14ac:dyDescent="0.3">
      <c r="A290"/>
      <c r="B290"/>
    </row>
    <row r="291" spans="1:2" ht="15.75" x14ac:dyDescent="0.3">
      <c r="A291"/>
      <c r="B291"/>
    </row>
    <row r="292" spans="1:2" ht="15.75" x14ac:dyDescent="0.3">
      <c r="A292"/>
      <c r="B292"/>
    </row>
    <row r="293" spans="1:2" ht="15.75" x14ac:dyDescent="0.3">
      <c r="A293"/>
      <c r="B293"/>
    </row>
    <row r="294" spans="1:2" ht="15.75" x14ac:dyDescent="0.3">
      <c r="A294"/>
      <c r="B294"/>
    </row>
    <row r="295" spans="1:2" ht="15.75" x14ac:dyDescent="0.3">
      <c r="A295"/>
      <c r="B295"/>
    </row>
    <row r="296" spans="1:2" ht="15.75" x14ac:dyDescent="0.3">
      <c r="A296"/>
      <c r="B296"/>
    </row>
    <row r="297" spans="1:2" ht="15.75" x14ac:dyDescent="0.3">
      <c r="A297"/>
      <c r="B297"/>
    </row>
    <row r="298" spans="1:2" ht="15.75" x14ac:dyDescent="0.3">
      <c r="A298"/>
      <c r="B298"/>
    </row>
    <row r="299" spans="1:2" ht="15.75" x14ac:dyDescent="0.3">
      <c r="A299"/>
      <c r="B299"/>
    </row>
    <row r="300" spans="1:2" ht="15.75" x14ac:dyDescent="0.3">
      <c r="A300"/>
      <c r="B300"/>
    </row>
    <row r="301" spans="1:2" ht="15.75" x14ac:dyDescent="0.3">
      <c r="A301"/>
      <c r="B301"/>
    </row>
    <row r="302" spans="1:2" ht="15.75" x14ac:dyDescent="0.3">
      <c r="A302"/>
      <c r="B302"/>
    </row>
    <row r="303" spans="1:2" ht="15.75" x14ac:dyDescent="0.3">
      <c r="A303"/>
      <c r="B303"/>
    </row>
    <row r="304" spans="1:2" ht="15.75" x14ac:dyDescent="0.3">
      <c r="A304"/>
      <c r="B304"/>
    </row>
    <row r="305" spans="1:2" ht="15.75" x14ac:dyDescent="0.3">
      <c r="A305"/>
      <c r="B305"/>
    </row>
    <row r="306" spans="1:2" ht="15.75" x14ac:dyDescent="0.3">
      <c r="A306"/>
      <c r="B306"/>
    </row>
    <row r="307" spans="1:2" ht="15.75" x14ac:dyDescent="0.3">
      <c r="A307"/>
      <c r="B307"/>
    </row>
    <row r="308" spans="1:2" ht="15.75" x14ac:dyDescent="0.3">
      <c r="A308"/>
      <c r="B308"/>
    </row>
    <row r="309" spans="1:2" ht="15.75" x14ac:dyDescent="0.3">
      <c r="A309"/>
      <c r="B309"/>
    </row>
    <row r="310" spans="1:2" ht="15.75" x14ac:dyDescent="0.3">
      <c r="A310"/>
      <c r="B310"/>
    </row>
    <row r="311" spans="1:2" ht="15.75" x14ac:dyDescent="0.3">
      <c r="A311"/>
      <c r="B311"/>
    </row>
    <row r="312" spans="1:2" ht="15.75" x14ac:dyDescent="0.3">
      <c r="A312"/>
      <c r="B312"/>
    </row>
    <row r="313" spans="1:2" ht="15.75" x14ac:dyDescent="0.3">
      <c r="A313"/>
      <c r="B313"/>
    </row>
    <row r="314" spans="1:2" ht="15.75" x14ac:dyDescent="0.3">
      <c r="A314"/>
      <c r="B314"/>
    </row>
    <row r="315" spans="1:2" ht="15.75" x14ac:dyDescent="0.3">
      <c r="A315"/>
      <c r="B315"/>
    </row>
    <row r="316" spans="1:2" ht="15.75" x14ac:dyDescent="0.3">
      <c r="A316"/>
      <c r="B316"/>
    </row>
    <row r="317" spans="1:2" ht="15.75" x14ac:dyDescent="0.3">
      <c r="A317"/>
      <c r="B317"/>
    </row>
    <row r="318" spans="1:2" ht="15.75" x14ac:dyDescent="0.3">
      <c r="A318"/>
      <c r="B318"/>
    </row>
    <row r="319" spans="1:2" ht="15.75" x14ac:dyDescent="0.3">
      <c r="A319"/>
      <c r="B319"/>
    </row>
    <row r="320" spans="1:2" ht="15.75" x14ac:dyDescent="0.3">
      <c r="A320"/>
      <c r="B320"/>
    </row>
    <row r="321" spans="1:2" ht="15.75" x14ac:dyDescent="0.3">
      <c r="A321"/>
      <c r="B321"/>
    </row>
    <row r="322" spans="1:2" ht="15.75" x14ac:dyDescent="0.3">
      <c r="A322"/>
      <c r="B322"/>
    </row>
    <row r="323" spans="1:2" ht="15.75" x14ac:dyDescent="0.3">
      <c r="A323"/>
      <c r="B323"/>
    </row>
    <row r="324" spans="1:2" ht="15.75" x14ac:dyDescent="0.3">
      <c r="A324"/>
      <c r="B324"/>
    </row>
    <row r="325" spans="1:2" ht="15.75" x14ac:dyDescent="0.3">
      <c r="A325"/>
      <c r="B325"/>
    </row>
    <row r="326" spans="1:2" ht="15.75" x14ac:dyDescent="0.3">
      <c r="A326"/>
      <c r="B326"/>
    </row>
    <row r="327" spans="1:2" ht="15.75" x14ac:dyDescent="0.3">
      <c r="A327"/>
      <c r="B327"/>
    </row>
    <row r="328" spans="1:2" ht="15.75" x14ac:dyDescent="0.3">
      <c r="A328"/>
      <c r="B328"/>
    </row>
    <row r="329" spans="1:2" ht="15.75" x14ac:dyDescent="0.3">
      <c r="A329"/>
      <c r="B329"/>
    </row>
    <row r="330" spans="1:2" ht="15.75" x14ac:dyDescent="0.3">
      <c r="A330"/>
      <c r="B330"/>
    </row>
    <row r="331" spans="1:2" ht="15.75" x14ac:dyDescent="0.3">
      <c r="A331"/>
      <c r="B331"/>
    </row>
    <row r="332" spans="1:2" ht="15.75" x14ac:dyDescent="0.3">
      <c r="A332"/>
      <c r="B332"/>
    </row>
    <row r="333" spans="1:2" ht="15.75" x14ac:dyDescent="0.3">
      <c r="A333"/>
      <c r="B333"/>
    </row>
    <row r="334" spans="1:2" ht="15.75" x14ac:dyDescent="0.3">
      <c r="A334"/>
      <c r="B334"/>
    </row>
    <row r="335" spans="1:2" ht="15.75" x14ac:dyDescent="0.3">
      <c r="A335"/>
      <c r="B335"/>
    </row>
    <row r="336" spans="1:2" ht="15.75" x14ac:dyDescent="0.3">
      <c r="A336"/>
      <c r="B336"/>
    </row>
    <row r="337" spans="1:2" ht="15.75" x14ac:dyDescent="0.3">
      <c r="A337"/>
      <c r="B337"/>
    </row>
    <row r="338" spans="1:2" ht="15.75" x14ac:dyDescent="0.3">
      <c r="A338"/>
      <c r="B338"/>
    </row>
    <row r="339" spans="1:2" ht="15.75" x14ac:dyDescent="0.3">
      <c r="A339"/>
      <c r="B339"/>
    </row>
    <row r="340" spans="1:2" ht="15.75" x14ac:dyDescent="0.3">
      <c r="A340"/>
      <c r="B340"/>
    </row>
    <row r="341" spans="1:2" ht="15.75" x14ac:dyDescent="0.3">
      <c r="A341"/>
      <c r="B341"/>
    </row>
    <row r="342" spans="1:2" ht="15.75" x14ac:dyDescent="0.3">
      <c r="A342"/>
      <c r="B342"/>
    </row>
    <row r="343" spans="1:2" ht="15.75" x14ac:dyDescent="0.3">
      <c r="A343"/>
      <c r="B343"/>
    </row>
    <row r="344" spans="1:2" ht="15.75" x14ac:dyDescent="0.3">
      <c r="A344"/>
      <c r="B344"/>
    </row>
    <row r="345" spans="1:2" ht="15.75" x14ac:dyDescent="0.3">
      <c r="A345"/>
      <c r="B345"/>
    </row>
    <row r="346" spans="1:2" ht="15.75" x14ac:dyDescent="0.3">
      <c r="A346"/>
      <c r="B346"/>
    </row>
    <row r="347" spans="1:2" ht="15.75" x14ac:dyDescent="0.3">
      <c r="A347"/>
      <c r="B347"/>
    </row>
    <row r="348" spans="1:2" ht="15.75" x14ac:dyDescent="0.3">
      <c r="A348"/>
      <c r="B348"/>
    </row>
    <row r="349" spans="1:2" ht="15.75" x14ac:dyDescent="0.3">
      <c r="A349"/>
      <c r="B349"/>
    </row>
    <row r="350" spans="1:2" ht="15.75" x14ac:dyDescent="0.3">
      <c r="A350"/>
      <c r="B350"/>
    </row>
    <row r="351" spans="1:2" ht="15.75" x14ac:dyDescent="0.3">
      <c r="A351"/>
      <c r="B351"/>
    </row>
    <row r="352" spans="1:2" ht="15.75" x14ac:dyDescent="0.3">
      <c r="A352"/>
      <c r="B352"/>
    </row>
    <row r="353" spans="1:2" ht="15.75" x14ac:dyDescent="0.3">
      <c r="A353"/>
      <c r="B353"/>
    </row>
    <row r="354" spans="1:2" ht="15.75" x14ac:dyDescent="0.3">
      <c r="A354"/>
      <c r="B354"/>
    </row>
    <row r="355" spans="1:2" ht="15.75" x14ac:dyDescent="0.3">
      <c r="A355"/>
      <c r="B355"/>
    </row>
    <row r="356" spans="1:2" ht="15.75" x14ac:dyDescent="0.3">
      <c r="A356"/>
      <c r="B356"/>
    </row>
    <row r="357" spans="1:2" ht="15.75" x14ac:dyDescent="0.3">
      <c r="A357"/>
      <c r="B357"/>
    </row>
    <row r="358" spans="1:2" ht="15.75" x14ac:dyDescent="0.3">
      <c r="A358"/>
      <c r="B358"/>
    </row>
    <row r="359" spans="1:2" ht="15.75" x14ac:dyDescent="0.3">
      <c r="A359"/>
      <c r="B359"/>
    </row>
    <row r="360" spans="1:2" ht="15.75" x14ac:dyDescent="0.3">
      <c r="A360"/>
      <c r="B360"/>
    </row>
    <row r="361" spans="1:2" ht="15.75" x14ac:dyDescent="0.3">
      <c r="A361"/>
      <c r="B361"/>
    </row>
    <row r="362" spans="1:2" ht="15.75" x14ac:dyDescent="0.3">
      <c r="A362"/>
      <c r="B362"/>
    </row>
    <row r="363" spans="1:2" ht="15.75" x14ac:dyDescent="0.3">
      <c r="A363"/>
      <c r="B363"/>
    </row>
    <row r="364" spans="1:2" ht="15.75" x14ac:dyDescent="0.3">
      <c r="A364"/>
      <c r="B364"/>
    </row>
    <row r="365" spans="1:2" ht="15.75" x14ac:dyDescent="0.3">
      <c r="A365"/>
      <c r="B365"/>
    </row>
    <row r="366" spans="1:2" ht="15.75" x14ac:dyDescent="0.3">
      <c r="A366"/>
      <c r="B366"/>
    </row>
    <row r="367" spans="1:2" ht="15.75" x14ac:dyDescent="0.3">
      <c r="A367"/>
      <c r="B367"/>
    </row>
    <row r="368" spans="1:2" ht="15.75" x14ac:dyDescent="0.3">
      <c r="A368"/>
      <c r="B368"/>
    </row>
    <row r="369" spans="1:2" ht="15.75" x14ac:dyDescent="0.3">
      <c r="A369"/>
      <c r="B369"/>
    </row>
    <row r="370" spans="1:2" ht="15.75" x14ac:dyDescent="0.3">
      <c r="A370"/>
      <c r="B370"/>
    </row>
    <row r="371" spans="1:2" ht="15.75" x14ac:dyDescent="0.3">
      <c r="A371"/>
      <c r="B371"/>
    </row>
    <row r="372" spans="1:2" ht="15.75" x14ac:dyDescent="0.3">
      <c r="A372"/>
      <c r="B372"/>
    </row>
    <row r="373" spans="1:2" ht="15.75" x14ac:dyDescent="0.3">
      <c r="A373"/>
      <c r="B373"/>
    </row>
    <row r="374" spans="1:2" ht="15.75" x14ac:dyDescent="0.3">
      <c r="A374"/>
      <c r="B374"/>
    </row>
    <row r="375" spans="1:2" ht="15.75" x14ac:dyDescent="0.3">
      <c r="A375"/>
      <c r="B375"/>
    </row>
    <row r="376" spans="1:2" ht="15.75" x14ac:dyDescent="0.3">
      <c r="A376"/>
      <c r="B376"/>
    </row>
    <row r="377" spans="1:2" ht="15.75" x14ac:dyDescent="0.3">
      <c r="A377"/>
      <c r="B377"/>
    </row>
    <row r="378" spans="1:2" ht="15.75" x14ac:dyDescent="0.3">
      <c r="A378"/>
      <c r="B378"/>
    </row>
    <row r="379" spans="1:2" ht="15.75" x14ac:dyDescent="0.3">
      <c r="A379"/>
      <c r="B379"/>
    </row>
    <row r="380" spans="1:2" ht="15.75" x14ac:dyDescent="0.3">
      <c r="A380"/>
      <c r="B380"/>
    </row>
    <row r="381" spans="1:2" ht="15.75" x14ac:dyDescent="0.3">
      <c r="A381"/>
      <c r="B381"/>
    </row>
    <row r="382" spans="1:2" ht="15.75" x14ac:dyDescent="0.3">
      <c r="A382"/>
      <c r="B382"/>
    </row>
    <row r="383" spans="1:2" ht="15.75" x14ac:dyDescent="0.3">
      <c r="A383"/>
      <c r="B383"/>
    </row>
    <row r="384" spans="1:2" ht="15.75" x14ac:dyDescent="0.3">
      <c r="A384"/>
      <c r="B384"/>
    </row>
    <row r="385" spans="1:2" ht="15.75" x14ac:dyDescent="0.3">
      <c r="A385"/>
      <c r="B385"/>
    </row>
    <row r="386" spans="1:2" ht="15.75" x14ac:dyDescent="0.3">
      <c r="A386"/>
      <c r="B386"/>
    </row>
    <row r="387" spans="1:2" ht="15.75" x14ac:dyDescent="0.3">
      <c r="A387"/>
      <c r="B387"/>
    </row>
    <row r="388" spans="1:2" ht="15.75" x14ac:dyDescent="0.3">
      <c r="A388"/>
      <c r="B388"/>
    </row>
    <row r="389" spans="1:2" ht="15.75" x14ac:dyDescent="0.3">
      <c r="A389"/>
      <c r="B389"/>
    </row>
    <row r="390" spans="1:2" ht="15.75" x14ac:dyDescent="0.3">
      <c r="A390"/>
      <c r="B390"/>
    </row>
    <row r="391" spans="1:2" ht="15.75" x14ac:dyDescent="0.3">
      <c r="A391"/>
      <c r="B391"/>
    </row>
    <row r="392" spans="1:2" ht="15.75" x14ac:dyDescent="0.3">
      <c r="A392"/>
      <c r="B392"/>
    </row>
    <row r="393" spans="1:2" ht="15.75" x14ac:dyDescent="0.3">
      <c r="A393"/>
      <c r="B393"/>
    </row>
    <row r="394" spans="1:2" ht="15.75" x14ac:dyDescent="0.3">
      <c r="A394"/>
      <c r="B394"/>
    </row>
    <row r="395" spans="1:2" ht="15.75" x14ac:dyDescent="0.3">
      <c r="A395"/>
      <c r="B395"/>
    </row>
    <row r="396" spans="1:2" ht="15.75" x14ac:dyDescent="0.3">
      <c r="A396"/>
      <c r="B396"/>
    </row>
    <row r="397" spans="1:2" ht="15.75" x14ac:dyDescent="0.3">
      <c r="A397"/>
      <c r="B397"/>
    </row>
    <row r="398" spans="1:2" ht="15.75" x14ac:dyDescent="0.3">
      <c r="A398"/>
      <c r="B398"/>
    </row>
    <row r="399" spans="1:2" ht="15.75" x14ac:dyDescent="0.3">
      <c r="A399"/>
      <c r="B399"/>
    </row>
    <row r="400" spans="1:2" ht="15.75" x14ac:dyDescent="0.3">
      <c r="A400"/>
      <c r="B400"/>
    </row>
    <row r="401" spans="1:2" ht="15.75" x14ac:dyDescent="0.3">
      <c r="A401"/>
      <c r="B401"/>
    </row>
    <row r="402" spans="1:2" ht="15.75" x14ac:dyDescent="0.3">
      <c r="A402"/>
      <c r="B402"/>
    </row>
    <row r="403" spans="1:2" ht="15.75" x14ac:dyDescent="0.3">
      <c r="A403"/>
      <c r="B403"/>
    </row>
    <row r="404" spans="1:2" ht="15.75" x14ac:dyDescent="0.3">
      <c r="A404"/>
      <c r="B404"/>
    </row>
    <row r="405" spans="1:2" ht="15.75" x14ac:dyDescent="0.3">
      <c r="A405"/>
      <c r="B405"/>
    </row>
    <row r="406" spans="1:2" ht="15.75" x14ac:dyDescent="0.3">
      <c r="A406"/>
      <c r="B406"/>
    </row>
    <row r="407" spans="1:2" ht="15.75" x14ac:dyDescent="0.3">
      <c r="A407"/>
      <c r="B407"/>
    </row>
    <row r="408" spans="1:2" ht="15.75" x14ac:dyDescent="0.3">
      <c r="A408"/>
      <c r="B408"/>
    </row>
    <row r="409" spans="1:2" ht="15.75" x14ac:dyDescent="0.3">
      <c r="A409"/>
      <c r="B409"/>
    </row>
    <row r="410" spans="1:2" ht="15.75" x14ac:dyDescent="0.3">
      <c r="A410"/>
      <c r="B410"/>
    </row>
    <row r="411" spans="1:2" ht="15.75" x14ac:dyDescent="0.3">
      <c r="A411"/>
      <c r="B411"/>
    </row>
    <row r="412" spans="1:2" ht="15.75" x14ac:dyDescent="0.3">
      <c r="A412"/>
      <c r="B412"/>
    </row>
    <row r="413" spans="1:2" ht="15.75" x14ac:dyDescent="0.3">
      <c r="A413"/>
      <c r="B413"/>
    </row>
    <row r="414" spans="1:2" ht="15.75" x14ac:dyDescent="0.3">
      <c r="A414"/>
      <c r="B414"/>
    </row>
    <row r="415" spans="1:2" ht="15.75" x14ac:dyDescent="0.3">
      <c r="A415"/>
      <c r="B415"/>
    </row>
    <row r="416" spans="1:2" ht="15.75" x14ac:dyDescent="0.3">
      <c r="A416"/>
      <c r="B416"/>
    </row>
    <row r="417" spans="1:2" ht="15.75" x14ac:dyDescent="0.3">
      <c r="A417"/>
      <c r="B417"/>
    </row>
    <row r="418" spans="1:2" ht="15.75" x14ac:dyDescent="0.3">
      <c r="A418"/>
      <c r="B418"/>
    </row>
    <row r="419" spans="1:2" ht="15.75" x14ac:dyDescent="0.3">
      <c r="A419"/>
      <c r="B419"/>
    </row>
    <row r="420" spans="1:2" ht="15.75" x14ac:dyDescent="0.3">
      <c r="A420"/>
      <c r="B420"/>
    </row>
    <row r="421" spans="1:2" ht="15.75" x14ac:dyDescent="0.3">
      <c r="A421"/>
      <c r="B421"/>
    </row>
    <row r="422" spans="1:2" ht="15.75" x14ac:dyDescent="0.3">
      <c r="A422"/>
      <c r="B422"/>
    </row>
    <row r="423" spans="1:2" ht="15.75" x14ac:dyDescent="0.3">
      <c r="A423"/>
      <c r="B423"/>
    </row>
    <row r="424" spans="1:2" ht="15.75" x14ac:dyDescent="0.3">
      <c r="A424"/>
      <c r="B424"/>
    </row>
    <row r="425" spans="1:2" ht="15.75" x14ac:dyDescent="0.3">
      <c r="A425"/>
      <c r="B425"/>
    </row>
    <row r="426" spans="1:2" ht="15.75" x14ac:dyDescent="0.3">
      <c r="A426"/>
      <c r="B426"/>
    </row>
    <row r="427" spans="1:2" ht="15.75" x14ac:dyDescent="0.3">
      <c r="A427"/>
      <c r="B427"/>
    </row>
    <row r="428" spans="1:2" ht="15.75" x14ac:dyDescent="0.3">
      <c r="A428"/>
      <c r="B428"/>
    </row>
    <row r="429" spans="1:2" ht="15.75" x14ac:dyDescent="0.3">
      <c r="A429"/>
      <c r="B429"/>
    </row>
    <row r="430" spans="1:2" ht="15.75" x14ac:dyDescent="0.3">
      <c r="A430"/>
      <c r="B430"/>
    </row>
    <row r="431" spans="1:2" ht="15.75" x14ac:dyDescent="0.3">
      <c r="A431"/>
      <c r="B431"/>
    </row>
    <row r="432" spans="1:2" ht="15.75" x14ac:dyDescent="0.3">
      <c r="A432"/>
      <c r="B432"/>
    </row>
    <row r="433" spans="1:2" ht="15.75" x14ac:dyDescent="0.3">
      <c r="A433"/>
      <c r="B433"/>
    </row>
    <row r="434" spans="1:2" ht="15.75" x14ac:dyDescent="0.3">
      <c r="A434"/>
      <c r="B434"/>
    </row>
    <row r="435" spans="1:2" ht="15.75" x14ac:dyDescent="0.3">
      <c r="A435"/>
      <c r="B435"/>
    </row>
    <row r="436" spans="1:2" ht="15.75" x14ac:dyDescent="0.3">
      <c r="A436"/>
      <c r="B436"/>
    </row>
    <row r="437" spans="1:2" ht="15.75" x14ac:dyDescent="0.3">
      <c r="A437"/>
      <c r="B437"/>
    </row>
    <row r="438" spans="1:2" ht="15.75" x14ac:dyDescent="0.3">
      <c r="A438"/>
      <c r="B438"/>
    </row>
    <row r="439" spans="1:2" ht="15.75" x14ac:dyDescent="0.3">
      <c r="A439"/>
      <c r="B439"/>
    </row>
    <row r="440" spans="1:2" ht="15.75" x14ac:dyDescent="0.3">
      <c r="A440"/>
      <c r="B440"/>
    </row>
    <row r="441" spans="1:2" ht="15.75" x14ac:dyDescent="0.3">
      <c r="A441"/>
      <c r="B441"/>
    </row>
    <row r="442" spans="1:2" ht="15.75" x14ac:dyDescent="0.3">
      <c r="A442"/>
      <c r="B442"/>
    </row>
    <row r="443" spans="1:2" ht="15.75" x14ac:dyDescent="0.3">
      <c r="A443"/>
      <c r="B443"/>
    </row>
    <row r="444" spans="1:2" ht="15.75" x14ac:dyDescent="0.3">
      <c r="A444"/>
      <c r="B444"/>
    </row>
    <row r="445" spans="1:2" ht="15.75" x14ac:dyDescent="0.3">
      <c r="A445"/>
      <c r="B445"/>
    </row>
    <row r="446" spans="1:2" ht="15.75" x14ac:dyDescent="0.3">
      <c r="A446"/>
      <c r="B446"/>
    </row>
    <row r="447" spans="1:2" ht="15.75" x14ac:dyDescent="0.3">
      <c r="A447"/>
      <c r="B447"/>
    </row>
    <row r="448" spans="1:2" ht="15.75" x14ac:dyDescent="0.3">
      <c r="A448"/>
      <c r="B448"/>
    </row>
    <row r="449" spans="1:2" ht="15.75" x14ac:dyDescent="0.3">
      <c r="A449"/>
      <c r="B449"/>
    </row>
    <row r="450" spans="1:2" ht="15.75" x14ac:dyDescent="0.3">
      <c r="A450"/>
      <c r="B450"/>
    </row>
    <row r="451" spans="1:2" ht="15.75" x14ac:dyDescent="0.3">
      <c r="A451"/>
      <c r="B451"/>
    </row>
    <row r="452" spans="1:2" ht="15.75" x14ac:dyDescent="0.3">
      <c r="A452"/>
      <c r="B452"/>
    </row>
    <row r="453" spans="1:2" ht="15.75" x14ac:dyDescent="0.3">
      <c r="A453"/>
      <c r="B453"/>
    </row>
    <row r="454" spans="1:2" ht="15.75" x14ac:dyDescent="0.3">
      <c r="A454"/>
      <c r="B454"/>
    </row>
    <row r="455" spans="1:2" ht="15.75" x14ac:dyDescent="0.3">
      <c r="A455"/>
      <c r="B455"/>
    </row>
    <row r="456" spans="1:2" ht="15.75" x14ac:dyDescent="0.3">
      <c r="A456"/>
      <c r="B456"/>
    </row>
    <row r="457" spans="1:2" ht="15.75" x14ac:dyDescent="0.3">
      <c r="A457"/>
      <c r="B457"/>
    </row>
    <row r="458" spans="1:2" ht="15.75" x14ac:dyDescent="0.3">
      <c r="A458"/>
      <c r="B458"/>
    </row>
    <row r="459" spans="1:2" ht="15.75" x14ac:dyDescent="0.3">
      <c r="A459"/>
      <c r="B459"/>
    </row>
    <row r="460" spans="1:2" ht="15.75" x14ac:dyDescent="0.3">
      <c r="A460"/>
      <c r="B460"/>
    </row>
    <row r="461" spans="1:2" ht="15.75" x14ac:dyDescent="0.3">
      <c r="A461"/>
      <c r="B461"/>
    </row>
    <row r="462" spans="1:2" ht="15.75" x14ac:dyDescent="0.3">
      <c r="A462"/>
      <c r="B462"/>
    </row>
    <row r="463" spans="1:2" ht="15.75" x14ac:dyDescent="0.3">
      <c r="A463"/>
      <c r="B463"/>
    </row>
    <row r="464" spans="1:2" ht="15.75" x14ac:dyDescent="0.3">
      <c r="A464"/>
      <c r="B464"/>
    </row>
    <row r="465" spans="1:2" ht="15.75" x14ac:dyDescent="0.3">
      <c r="A465"/>
      <c r="B465"/>
    </row>
    <row r="466" spans="1:2" ht="15.75" x14ac:dyDescent="0.3">
      <c r="A466"/>
      <c r="B466"/>
    </row>
    <row r="467" spans="1:2" ht="15.75" x14ac:dyDescent="0.3">
      <c r="A467"/>
      <c r="B467"/>
    </row>
    <row r="468" spans="1:2" ht="15.75" x14ac:dyDescent="0.3">
      <c r="A468"/>
      <c r="B468"/>
    </row>
    <row r="469" spans="1:2" ht="15.75" x14ac:dyDescent="0.3">
      <c r="A469"/>
      <c r="B469"/>
    </row>
    <row r="470" spans="1:2" ht="15.75" x14ac:dyDescent="0.3">
      <c r="A470"/>
      <c r="B470"/>
    </row>
    <row r="471" spans="1:2" ht="15.75" x14ac:dyDescent="0.3">
      <c r="A471"/>
      <c r="B471"/>
    </row>
    <row r="472" spans="1:2" ht="15.75" x14ac:dyDescent="0.3">
      <c r="A472"/>
      <c r="B472"/>
    </row>
    <row r="473" spans="1:2" ht="15.75" x14ac:dyDescent="0.3">
      <c r="A473"/>
      <c r="B473"/>
    </row>
    <row r="474" spans="1:2" ht="15.75" x14ac:dyDescent="0.3">
      <c r="A474"/>
      <c r="B474"/>
    </row>
    <row r="475" spans="1:2" ht="15.75" x14ac:dyDescent="0.3">
      <c r="A475"/>
      <c r="B475"/>
    </row>
    <row r="476" spans="1:2" ht="15.75" x14ac:dyDescent="0.3">
      <c r="A476"/>
      <c r="B476"/>
    </row>
    <row r="477" spans="1:2" ht="15.75" x14ac:dyDescent="0.3">
      <c r="A477"/>
      <c r="B477"/>
    </row>
    <row r="478" spans="1:2" ht="15.75" x14ac:dyDescent="0.3">
      <c r="A478"/>
      <c r="B478"/>
    </row>
    <row r="479" spans="1:2" ht="15.75" x14ac:dyDescent="0.3">
      <c r="A479"/>
      <c r="B479"/>
    </row>
    <row r="480" spans="1:2" ht="15.75" x14ac:dyDescent="0.3">
      <c r="A480"/>
      <c r="B480"/>
    </row>
    <row r="481" spans="1:2" ht="15.75" x14ac:dyDescent="0.3">
      <c r="A481"/>
      <c r="B481"/>
    </row>
    <row r="482" spans="1:2" ht="15.75" x14ac:dyDescent="0.3">
      <c r="A482"/>
      <c r="B482"/>
    </row>
    <row r="483" spans="1:2" ht="15.75" x14ac:dyDescent="0.3">
      <c r="A483"/>
      <c r="B483"/>
    </row>
    <row r="484" spans="1:2" ht="15.75" x14ac:dyDescent="0.3">
      <c r="A484"/>
      <c r="B484"/>
    </row>
    <row r="485" spans="1:2" ht="15.75" x14ac:dyDescent="0.3">
      <c r="A485"/>
      <c r="B485"/>
    </row>
    <row r="486" spans="1:2" ht="15.75" x14ac:dyDescent="0.3">
      <c r="A486"/>
      <c r="B486"/>
    </row>
    <row r="487" spans="1:2" ht="15.75" x14ac:dyDescent="0.3">
      <c r="A487"/>
      <c r="B487"/>
    </row>
    <row r="488" spans="1:2" ht="15.75" x14ac:dyDescent="0.3">
      <c r="A488"/>
      <c r="B488"/>
    </row>
    <row r="489" spans="1:2" ht="15.75" x14ac:dyDescent="0.3">
      <c r="A489"/>
      <c r="B489"/>
    </row>
    <row r="490" spans="1:2" ht="15.75" x14ac:dyDescent="0.3">
      <c r="A490"/>
      <c r="B490"/>
    </row>
    <row r="491" spans="1:2" ht="15.75" x14ac:dyDescent="0.3">
      <c r="A491"/>
      <c r="B491"/>
    </row>
    <row r="492" spans="1:2" ht="15.75" x14ac:dyDescent="0.3">
      <c r="A492"/>
      <c r="B492"/>
    </row>
    <row r="493" spans="1:2" ht="15.75" x14ac:dyDescent="0.3">
      <c r="A493"/>
      <c r="B493"/>
    </row>
    <row r="494" spans="1:2" ht="15.75" x14ac:dyDescent="0.3">
      <c r="A494"/>
      <c r="B494"/>
    </row>
    <row r="495" spans="1:2" ht="15.75" x14ac:dyDescent="0.3">
      <c r="A495"/>
      <c r="B495"/>
    </row>
    <row r="496" spans="1:2" ht="15.75" x14ac:dyDescent="0.3">
      <c r="A496"/>
      <c r="B496"/>
    </row>
    <row r="497" spans="1:2" ht="15.75" x14ac:dyDescent="0.3">
      <c r="A497"/>
      <c r="B497"/>
    </row>
    <row r="498" spans="1:2" ht="15.75" x14ac:dyDescent="0.3">
      <c r="A498"/>
      <c r="B498"/>
    </row>
    <row r="499" spans="1:2" ht="15.75" x14ac:dyDescent="0.3">
      <c r="A499"/>
      <c r="B499"/>
    </row>
    <row r="500" spans="1:2" ht="15.75" x14ac:dyDescent="0.3">
      <c r="A500"/>
      <c r="B500"/>
    </row>
    <row r="501" spans="1:2" ht="15.75" x14ac:dyDescent="0.3">
      <c r="A501"/>
      <c r="B501"/>
    </row>
    <row r="502" spans="1:2" ht="15.75" x14ac:dyDescent="0.3">
      <c r="A502"/>
      <c r="B502"/>
    </row>
    <row r="503" spans="1:2" ht="15.75" x14ac:dyDescent="0.3">
      <c r="A503"/>
      <c r="B503"/>
    </row>
    <row r="504" spans="1:2" ht="15.75" x14ac:dyDescent="0.3">
      <c r="A504"/>
      <c r="B504"/>
    </row>
    <row r="505" spans="1:2" ht="15.75" x14ac:dyDescent="0.3">
      <c r="A505"/>
      <c r="B505"/>
    </row>
    <row r="506" spans="1:2" ht="15.75" x14ac:dyDescent="0.3">
      <c r="A506"/>
      <c r="B506"/>
    </row>
    <row r="507" spans="1:2" ht="15.75" x14ac:dyDescent="0.3">
      <c r="A507"/>
      <c r="B507"/>
    </row>
    <row r="508" spans="1:2" ht="15.75" x14ac:dyDescent="0.3">
      <c r="A508"/>
      <c r="B508"/>
    </row>
    <row r="509" spans="1:2" ht="15.75" x14ac:dyDescent="0.3">
      <c r="A509"/>
      <c r="B509"/>
    </row>
    <row r="510" spans="1:2" ht="15.75" x14ac:dyDescent="0.3">
      <c r="A510"/>
      <c r="B510"/>
    </row>
    <row r="511" spans="1:2" ht="15.75" x14ac:dyDescent="0.3">
      <c r="A511"/>
      <c r="B511"/>
    </row>
    <row r="512" spans="1:2" ht="15.75" x14ac:dyDescent="0.3">
      <c r="A512"/>
      <c r="B512"/>
    </row>
    <row r="513" spans="1:2" ht="15.75" x14ac:dyDescent="0.3">
      <c r="A513"/>
      <c r="B513"/>
    </row>
    <row r="514" spans="1:2" ht="15.75" x14ac:dyDescent="0.3">
      <c r="A514"/>
      <c r="B514"/>
    </row>
    <row r="515" spans="1:2" ht="15.75" x14ac:dyDescent="0.3">
      <c r="A515"/>
      <c r="B515"/>
    </row>
    <row r="516" spans="1:2" ht="15.75" x14ac:dyDescent="0.3">
      <c r="A516"/>
      <c r="B516"/>
    </row>
    <row r="517" spans="1:2" ht="15.75" x14ac:dyDescent="0.3">
      <c r="A517"/>
      <c r="B517"/>
    </row>
    <row r="518" spans="1:2" ht="15.75" x14ac:dyDescent="0.3">
      <c r="A518"/>
      <c r="B518"/>
    </row>
    <row r="519" spans="1:2" ht="15.75" x14ac:dyDescent="0.3">
      <c r="A519"/>
      <c r="B519"/>
    </row>
    <row r="520" spans="1:2" ht="15.75" x14ac:dyDescent="0.3">
      <c r="A520"/>
      <c r="B520"/>
    </row>
    <row r="521" spans="1:2" ht="15.75" x14ac:dyDescent="0.3">
      <c r="A521"/>
      <c r="B521"/>
    </row>
    <row r="522" spans="1:2" ht="15.75" x14ac:dyDescent="0.3">
      <c r="A522"/>
      <c r="B522"/>
    </row>
    <row r="523" spans="1:2" ht="15.75" x14ac:dyDescent="0.3">
      <c r="A523"/>
      <c r="B523"/>
    </row>
    <row r="524" spans="1:2" ht="15.75" x14ac:dyDescent="0.3">
      <c r="A524"/>
      <c r="B524"/>
    </row>
    <row r="525" spans="1:2" ht="15.75" x14ac:dyDescent="0.3">
      <c r="A525"/>
      <c r="B525"/>
    </row>
    <row r="526" spans="1:2" ht="15.75" x14ac:dyDescent="0.3">
      <c r="A526"/>
      <c r="B526"/>
    </row>
    <row r="527" spans="1:2" ht="15.75" x14ac:dyDescent="0.3">
      <c r="A527"/>
      <c r="B527"/>
    </row>
    <row r="528" spans="1:2" ht="15.75" x14ac:dyDescent="0.3">
      <c r="A528"/>
      <c r="B528"/>
    </row>
    <row r="529" spans="1:2" ht="15.75" x14ac:dyDescent="0.3">
      <c r="A529"/>
      <c r="B529"/>
    </row>
    <row r="530" spans="1:2" ht="15.75" x14ac:dyDescent="0.3">
      <c r="A530"/>
      <c r="B530"/>
    </row>
    <row r="531" spans="1:2" ht="15.75" x14ac:dyDescent="0.3">
      <c r="A531"/>
      <c r="B531"/>
    </row>
    <row r="532" spans="1:2" ht="15.75" x14ac:dyDescent="0.3">
      <c r="A532"/>
      <c r="B532"/>
    </row>
    <row r="533" spans="1:2" ht="15.75" x14ac:dyDescent="0.3">
      <c r="A533"/>
      <c r="B533"/>
    </row>
    <row r="534" spans="1:2" ht="15.75" x14ac:dyDescent="0.3">
      <c r="A534"/>
      <c r="B534"/>
    </row>
    <row r="535" spans="1:2" ht="15.75" x14ac:dyDescent="0.3">
      <c r="A535"/>
      <c r="B535"/>
    </row>
    <row r="536" spans="1:2" ht="15.75" x14ac:dyDescent="0.3">
      <c r="A536"/>
      <c r="B536"/>
    </row>
    <row r="537" spans="1:2" ht="15.75" x14ac:dyDescent="0.3">
      <c r="A537"/>
      <c r="B537"/>
    </row>
    <row r="538" spans="1:2" ht="15.75" x14ac:dyDescent="0.3">
      <c r="A538"/>
      <c r="B538"/>
    </row>
    <row r="539" spans="1:2" ht="15.75" x14ac:dyDescent="0.3">
      <c r="A539"/>
      <c r="B539"/>
    </row>
    <row r="540" spans="1:2" ht="15.75" x14ac:dyDescent="0.3">
      <c r="A540"/>
      <c r="B540"/>
    </row>
    <row r="541" spans="1:2" ht="15.75" x14ac:dyDescent="0.3">
      <c r="A541"/>
      <c r="B541"/>
    </row>
    <row r="542" spans="1:2" ht="15.75" x14ac:dyDescent="0.3">
      <c r="A542"/>
      <c r="B542"/>
    </row>
    <row r="543" spans="1:2" ht="15.75" x14ac:dyDescent="0.3">
      <c r="A543"/>
      <c r="B543"/>
    </row>
    <row r="544" spans="1:2" ht="15.75" x14ac:dyDescent="0.3">
      <c r="A544"/>
      <c r="B544"/>
    </row>
    <row r="545" spans="1:2" ht="15.75" x14ac:dyDescent="0.3">
      <c r="A545"/>
      <c r="B545"/>
    </row>
    <row r="546" spans="1:2" ht="15.75" x14ac:dyDescent="0.3">
      <c r="A546"/>
      <c r="B546"/>
    </row>
    <row r="547" spans="1:2" ht="15.75" x14ac:dyDescent="0.3">
      <c r="A547"/>
      <c r="B547"/>
    </row>
    <row r="548" spans="1:2" ht="15.75" x14ac:dyDescent="0.3">
      <c r="A548"/>
      <c r="B548"/>
    </row>
    <row r="549" spans="1:2" ht="15.75" x14ac:dyDescent="0.3">
      <c r="A549"/>
      <c r="B549"/>
    </row>
    <row r="550" spans="1:2" ht="15.75" x14ac:dyDescent="0.3">
      <c r="A550"/>
      <c r="B550"/>
    </row>
    <row r="551" spans="1:2" ht="15.75" x14ac:dyDescent="0.3">
      <c r="A551"/>
      <c r="B551"/>
    </row>
    <row r="552" spans="1:2" ht="15.75" x14ac:dyDescent="0.3">
      <c r="A552"/>
      <c r="B552"/>
    </row>
    <row r="553" spans="1:2" ht="15.75" x14ac:dyDescent="0.3">
      <c r="A553"/>
      <c r="B553"/>
    </row>
    <row r="554" spans="1:2" ht="15.75" x14ac:dyDescent="0.3">
      <c r="A554"/>
      <c r="B554"/>
    </row>
    <row r="555" spans="1:2" ht="15.75" x14ac:dyDescent="0.3">
      <c r="A555"/>
      <c r="B555"/>
    </row>
    <row r="556" spans="1:2" ht="15.75" x14ac:dyDescent="0.3">
      <c r="A556"/>
      <c r="B556"/>
    </row>
    <row r="557" spans="1:2" ht="15.75" x14ac:dyDescent="0.3">
      <c r="A557"/>
      <c r="B557"/>
    </row>
    <row r="558" spans="1:2" ht="15.75" x14ac:dyDescent="0.3">
      <c r="A558"/>
      <c r="B558"/>
    </row>
    <row r="559" spans="1:2" ht="15.75" x14ac:dyDescent="0.3">
      <c r="A559"/>
      <c r="B559"/>
    </row>
    <row r="560" spans="1:2" ht="15.75" x14ac:dyDescent="0.3">
      <c r="A560"/>
      <c r="B560"/>
    </row>
    <row r="561" spans="1:2" ht="15.75" x14ac:dyDescent="0.3">
      <c r="A561"/>
      <c r="B561"/>
    </row>
    <row r="562" spans="1:2" ht="15.75" x14ac:dyDescent="0.3">
      <c r="A562"/>
      <c r="B562"/>
    </row>
    <row r="563" spans="1:2" ht="15.75" x14ac:dyDescent="0.3">
      <c r="A563"/>
      <c r="B563"/>
    </row>
    <row r="564" spans="1:2" ht="15.75" x14ac:dyDescent="0.3">
      <c r="A564"/>
      <c r="B564"/>
    </row>
    <row r="565" spans="1:2" ht="15.75" x14ac:dyDescent="0.3">
      <c r="A565"/>
      <c r="B565"/>
    </row>
    <row r="566" spans="1:2" ht="15.75" x14ac:dyDescent="0.3">
      <c r="A566"/>
      <c r="B566"/>
    </row>
    <row r="567" spans="1:2" ht="15.75" x14ac:dyDescent="0.3">
      <c r="A567"/>
      <c r="B567"/>
    </row>
    <row r="568" spans="1:2" ht="15.75" x14ac:dyDescent="0.3">
      <c r="A568"/>
      <c r="B568"/>
    </row>
    <row r="569" spans="1:2" ht="15.75" x14ac:dyDescent="0.3">
      <c r="A569"/>
      <c r="B569"/>
    </row>
    <row r="570" spans="1:2" ht="15.75" x14ac:dyDescent="0.3">
      <c r="A570"/>
      <c r="B570"/>
    </row>
    <row r="571" spans="1:2" ht="15.75" x14ac:dyDescent="0.3">
      <c r="A571"/>
      <c r="B571"/>
    </row>
    <row r="572" spans="1:2" ht="15.75" x14ac:dyDescent="0.3">
      <c r="A572"/>
      <c r="B572"/>
    </row>
    <row r="573" spans="1:2" ht="15.75" x14ac:dyDescent="0.3">
      <c r="A573"/>
      <c r="B573"/>
    </row>
    <row r="574" spans="1:2" ht="15.75" x14ac:dyDescent="0.3">
      <c r="A574"/>
      <c r="B574"/>
    </row>
    <row r="575" spans="1:2" ht="15.75" x14ac:dyDescent="0.3">
      <c r="A575"/>
      <c r="B575"/>
    </row>
    <row r="576" spans="1:2" ht="15.75" x14ac:dyDescent="0.3">
      <c r="A576"/>
      <c r="B576"/>
    </row>
    <row r="577" spans="1:2" ht="15.75" x14ac:dyDescent="0.3">
      <c r="A577"/>
      <c r="B577"/>
    </row>
    <row r="578" spans="1:2" ht="15.75" x14ac:dyDescent="0.3">
      <c r="A578"/>
      <c r="B578"/>
    </row>
    <row r="579" spans="1:2" ht="15.75" x14ac:dyDescent="0.3">
      <c r="A579"/>
      <c r="B579"/>
    </row>
    <row r="580" spans="1:2" ht="15.75" x14ac:dyDescent="0.3">
      <c r="A580"/>
      <c r="B580"/>
    </row>
    <row r="581" spans="1:2" ht="15.75" x14ac:dyDescent="0.3">
      <c r="A581"/>
      <c r="B581"/>
    </row>
    <row r="582" spans="1:2" ht="15.75" x14ac:dyDescent="0.3">
      <c r="A582"/>
      <c r="B582"/>
    </row>
    <row r="583" spans="1:2" ht="15.75" x14ac:dyDescent="0.3">
      <c r="A583"/>
      <c r="B583"/>
    </row>
    <row r="584" spans="1:2" ht="15.75" x14ac:dyDescent="0.3">
      <c r="A584"/>
      <c r="B584"/>
    </row>
    <row r="585" spans="1:2" ht="15.75" x14ac:dyDescent="0.3">
      <c r="A585"/>
      <c r="B585"/>
    </row>
    <row r="586" spans="1:2" ht="15.75" x14ac:dyDescent="0.3">
      <c r="A586"/>
      <c r="B586"/>
    </row>
    <row r="587" spans="1:2" ht="15.75" x14ac:dyDescent="0.3">
      <c r="A587"/>
      <c r="B587"/>
    </row>
    <row r="588" spans="1:2" ht="15.75" x14ac:dyDescent="0.3">
      <c r="A588"/>
      <c r="B588"/>
    </row>
    <row r="589" spans="1:2" ht="15.75" x14ac:dyDescent="0.3">
      <c r="A589"/>
      <c r="B589"/>
    </row>
    <row r="590" spans="1:2" ht="15.75" x14ac:dyDescent="0.3">
      <c r="A590"/>
      <c r="B590"/>
    </row>
    <row r="591" spans="1:2" ht="15.75" x14ac:dyDescent="0.3">
      <c r="A591"/>
      <c r="B591"/>
    </row>
    <row r="592" spans="1:2" ht="15.75" x14ac:dyDescent="0.3">
      <c r="A592"/>
      <c r="B592"/>
    </row>
    <row r="593" spans="1:2" ht="15.75" x14ac:dyDescent="0.3">
      <c r="A593"/>
      <c r="B593"/>
    </row>
    <row r="594" spans="1:2" ht="15.75" x14ac:dyDescent="0.3">
      <c r="A594"/>
      <c r="B594"/>
    </row>
    <row r="595" spans="1:2" ht="15.75" x14ac:dyDescent="0.3">
      <c r="A595"/>
      <c r="B595"/>
    </row>
    <row r="596" spans="1:2" ht="15.75" x14ac:dyDescent="0.3">
      <c r="A596"/>
      <c r="B596"/>
    </row>
    <row r="597" spans="1:2" ht="15.75" x14ac:dyDescent="0.3">
      <c r="A597"/>
      <c r="B597"/>
    </row>
    <row r="598" spans="1:2" ht="15.75" x14ac:dyDescent="0.3">
      <c r="A598"/>
      <c r="B598"/>
    </row>
    <row r="599" spans="1:2" ht="15.75" x14ac:dyDescent="0.3">
      <c r="A599"/>
      <c r="B599"/>
    </row>
    <row r="600" spans="1:2" ht="15.75" x14ac:dyDescent="0.3">
      <c r="A600"/>
      <c r="B600"/>
    </row>
    <row r="601" spans="1:2" ht="15.75" x14ac:dyDescent="0.3">
      <c r="A601"/>
      <c r="B601"/>
    </row>
    <row r="602" spans="1:2" ht="15.75" x14ac:dyDescent="0.3">
      <c r="A602"/>
      <c r="B602"/>
    </row>
    <row r="603" spans="1:2" ht="15.75" x14ac:dyDescent="0.3">
      <c r="A603"/>
      <c r="B603"/>
    </row>
    <row r="604" spans="1:2" ht="15.75" x14ac:dyDescent="0.3">
      <c r="A604"/>
      <c r="B604"/>
    </row>
    <row r="605" spans="1:2" ht="15.75" x14ac:dyDescent="0.3">
      <c r="A605"/>
      <c r="B605"/>
    </row>
    <row r="606" spans="1:2" ht="15.75" x14ac:dyDescent="0.3">
      <c r="A606"/>
      <c r="B606"/>
    </row>
    <row r="607" spans="1:2" ht="15.75" x14ac:dyDescent="0.3">
      <c r="A607"/>
      <c r="B607"/>
    </row>
    <row r="608" spans="1:2" ht="15.75" x14ac:dyDescent="0.3">
      <c r="A608"/>
      <c r="B608"/>
    </row>
    <row r="609" spans="1:2" ht="15.75" x14ac:dyDescent="0.3">
      <c r="A609"/>
      <c r="B609"/>
    </row>
    <row r="610" spans="1:2" ht="15.75" x14ac:dyDescent="0.3">
      <c r="A610"/>
      <c r="B610"/>
    </row>
    <row r="611" spans="1:2" ht="15.75" x14ac:dyDescent="0.3">
      <c r="A611"/>
      <c r="B611"/>
    </row>
    <row r="612" spans="1:2" ht="15.75" x14ac:dyDescent="0.3">
      <c r="A612"/>
      <c r="B612"/>
    </row>
    <row r="613" spans="1:2" ht="15.75" x14ac:dyDescent="0.3">
      <c r="A613"/>
      <c r="B613"/>
    </row>
    <row r="614" spans="1:2" ht="15.75" x14ac:dyDescent="0.3">
      <c r="A614"/>
      <c r="B614"/>
    </row>
    <row r="615" spans="1:2" ht="15.75" x14ac:dyDescent="0.3">
      <c r="A615"/>
      <c r="B615"/>
    </row>
    <row r="616" spans="1:2" ht="15.75" x14ac:dyDescent="0.3">
      <c r="A616"/>
      <c r="B616"/>
    </row>
    <row r="617" spans="1:2" ht="15.75" x14ac:dyDescent="0.3">
      <c r="A617"/>
      <c r="B617"/>
    </row>
    <row r="618" spans="1:2" ht="15.75" x14ac:dyDescent="0.3">
      <c r="A618"/>
      <c r="B618"/>
    </row>
    <row r="619" spans="1:2" ht="15.75" x14ac:dyDescent="0.3">
      <c r="A619"/>
      <c r="B619"/>
    </row>
    <row r="620" spans="1:2" ht="15.75" x14ac:dyDescent="0.3">
      <c r="A620"/>
      <c r="B620"/>
    </row>
    <row r="621" spans="1:2" ht="15.75" x14ac:dyDescent="0.3">
      <c r="A621"/>
      <c r="B621"/>
    </row>
    <row r="622" spans="1:2" ht="15.75" x14ac:dyDescent="0.3">
      <c r="A622"/>
      <c r="B622"/>
    </row>
    <row r="623" spans="1:2" ht="15.75" x14ac:dyDescent="0.3">
      <c r="A623"/>
      <c r="B623"/>
    </row>
    <row r="624" spans="1:2" ht="15.75" x14ac:dyDescent="0.3">
      <c r="A624"/>
      <c r="B624"/>
    </row>
    <row r="625" spans="1:2" ht="15.75" x14ac:dyDescent="0.3">
      <c r="A625"/>
      <c r="B625"/>
    </row>
    <row r="626" spans="1:2" ht="15.75" x14ac:dyDescent="0.3">
      <c r="A626"/>
      <c r="B626"/>
    </row>
    <row r="627" spans="1:2" ht="15.75" x14ac:dyDescent="0.3">
      <c r="A627"/>
      <c r="B627"/>
    </row>
    <row r="628" spans="1:2" ht="15.75" x14ac:dyDescent="0.3">
      <c r="A628"/>
      <c r="B628"/>
    </row>
    <row r="629" spans="1:2" ht="15.75" x14ac:dyDescent="0.3">
      <c r="A629"/>
      <c r="B629"/>
    </row>
    <row r="630" spans="1:2" ht="15.75" x14ac:dyDescent="0.3">
      <c r="A630"/>
      <c r="B630"/>
    </row>
    <row r="631" spans="1:2" ht="15.75" x14ac:dyDescent="0.3">
      <c r="A631"/>
      <c r="B631"/>
    </row>
    <row r="632" spans="1:2" ht="15.75" x14ac:dyDescent="0.3">
      <c r="A632"/>
      <c r="B632"/>
    </row>
    <row r="633" spans="1:2" ht="15.75" x14ac:dyDescent="0.3">
      <c r="A633"/>
      <c r="B633"/>
    </row>
    <row r="634" spans="1:2" ht="15.75" x14ac:dyDescent="0.3">
      <c r="A634"/>
      <c r="B634"/>
    </row>
    <row r="635" spans="1:2" ht="15.75" x14ac:dyDescent="0.3">
      <c r="A635"/>
      <c r="B635"/>
    </row>
    <row r="636" spans="1:2" ht="15.75" x14ac:dyDescent="0.3">
      <c r="A636"/>
      <c r="B636"/>
    </row>
    <row r="637" spans="1:2" ht="15.75" x14ac:dyDescent="0.3">
      <c r="A637"/>
      <c r="B637"/>
    </row>
    <row r="638" spans="1:2" ht="15.75" x14ac:dyDescent="0.3">
      <c r="A638"/>
      <c r="B638"/>
    </row>
    <row r="639" spans="1:2" ht="15.75" x14ac:dyDescent="0.3">
      <c r="A639"/>
      <c r="B639"/>
    </row>
    <row r="640" spans="1:2" ht="15.75" x14ac:dyDescent="0.3">
      <c r="A640"/>
      <c r="B640"/>
    </row>
    <row r="641" spans="1:2" ht="15.75" x14ac:dyDescent="0.3">
      <c r="A641"/>
      <c r="B641"/>
    </row>
    <row r="642" spans="1:2" ht="15.75" x14ac:dyDescent="0.3">
      <c r="A642"/>
      <c r="B642"/>
    </row>
    <row r="643" spans="1:2" ht="15.75" x14ac:dyDescent="0.3">
      <c r="A643"/>
      <c r="B643"/>
    </row>
    <row r="644" spans="1:2" ht="15.75" x14ac:dyDescent="0.3">
      <c r="A644"/>
      <c r="B644"/>
    </row>
    <row r="645" spans="1:2" ht="15.75" x14ac:dyDescent="0.3">
      <c r="A645"/>
      <c r="B645"/>
    </row>
    <row r="646" spans="1:2" ht="15.75" x14ac:dyDescent="0.3">
      <c r="A646"/>
      <c r="B646"/>
    </row>
    <row r="647" spans="1:2" ht="15.75" x14ac:dyDescent="0.3">
      <c r="A647"/>
      <c r="B647"/>
    </row>
    <row r="648" spans="1:2" ht="15.75" x14ac:dyDescent="0.3">
      <c r="A648"/>
      <c r="B648"/>
    </row>
    <row r="649" spans="1:2" ht="15.75" x14ac:dyDescent="0.3">
      <c r="A649"/>
      <c r="B649"/>
    </row>
    <row r="650" spans="1:2" ht="15.75" x14ac:dyDescent="0.3">
      <c r="A650"/>
      <c r="B650"/>
    </row>
    <row r="651" spans="1:2" ht="15.75" x14ac:dyDescent="0.3">
      <c r="A651"/>
      <c r="B651"/>
    </row>
    <row r="652" spans="1:2" ht="15.75" x14ac:dyDescent="0.3">
      <c r="A652"/>
      <c r="B652"/>
    </row>
    <row r="653" spans="1:2" ht="15.75" x14ac:dyDescent="0.3">
      <c r="A653"/>
      <c r="B653"/>
    </row>
    <row r="654" spans="1:2" ht="15.75" x14ac:dyDescent="0.3">
      <c r="A654"/>
      <c r="B654"/>
    </row>
    <row r="655" spans="1:2" ht="15.75" x14ac:dyDescent="0.3">
      <c r="A655"/>
      <c r="B655"/>
    </row>
    <row r="656" spans="1:2" ht="15.75" x14ac:dyDescent="0.3">
      <c r="A656"/>
      <c r="B656"/>
    </row>
    <row r="657" spans="1:2" ht="15.75" x14ac:dyDescent="0.3">
      <c r="A657"/>
      <c r="B657"/>
    </row>
    <row r="658" spans="1:2" ht="15.75" x14ac:dyDescent="0.3">
      <c r="A658"/>
      <c r="B658"/>
    </row>
    <row r="659" spans="1:2" ht="15.75" x14ac:dyDescent="0.3">
      <c r="A659"/>
      <c r="B659"/>
    </row>
    <row r="660" spans="1:2" ht="15.75" x14ac:dyDescent="0.3">
      <c r="A660"/>
      <c r="B660"/>
    </row>
    <row r="661" spans="1:2" ht="15.75" x14ac:dyDescent="0.3">
      <c r="A661"/>
      <c r="B661"/>
    </row>
    <row r="662" spans="1:2" ht="15.75" x14ac:dyDescent="0.3">
      <c r="A662"/>
      <c r="B662"/>
    </row>
    <row r="663" spans="1:2" ht="15.75" x14ac:dyDescent="0.3">
      <c r="A663"/>
      <c r="B663"/>
    </row>
    <row r="664" spans="1:2" ht="15.75" x14ac:dyDescent="0.3">
      <c r="A664"/>
      <c r="B664"/>
    </row>
    <row r="665" spans="1:2" ht="15.75" x14ac:dyDescent="0.3">
      <c r="A665"/>
      <c r="B665"/>
    </row>
    <row r="666" spans="1:2" ht="15.75" x14ac:dyDescent="0.3">
      <c r="A666"/>
      <c r="B666"/>
    </row>
    <row r="667" spans="1:2" ht="15.75" x14ac:dyDescent="0.3">
      <c r="A667"/>
      <c r="B667"/>
    </row>
    <row r="668" spans="1:2" ht="15.75" x14ac:dyDescent="0.3">
      <c r="A668"/>
      <c r="B668"/>
    </row>
    <row r="669" spans="1:2" ht="15.75" x14ac:dyDescent="0.3">
      <c r="A669"/>
      <c r="B669"/>
    </row>
    <row r="670" spans="1:2" ht="15.75" x14ac:dyDescent="0.3">
      <c r="A670"/>
      <c r="B670"/>
    </row>
    <row r="671" spans="1:2" ht="15.75" x14ac:dyDescent="0.3">
      <c r="A671"/>
      <c r="B671"/>
    </row>
    <row r="672" spans="1:2" ht="15.75" x14ac:dyDescent="0.3">
      <c r="A672"/>
      <c r="B672"/>
    </row>
    <row r="673" spans="1:2" ht="15.75" x14ac:dyDescent="0.3">
      <c r="A673"/>
      <c r="B673"/>
    </row>
    <row r="674" spans="1:2" ht="15.75" x14ac:dyDescent="0.3">
      <c r="A674"/>
      <c r="B674"/>
    </row>
    <row r="675" spans="1:2" ht="15.75" x14ac:dyDescent="0.3">
      <c r="A675"/>
      <c r="B675"/>
    </row>
    <row r="676" spans="1:2" ht="15.75" x14ac:dyDescent="0.3">
      <c r="A676"/>
      <c r="B676"/>
    </row>
    <row r="677" spans="1:2" ht="15.75" x14ac:dyDescent="0.3">
      <c r="A677"/>
      <c r="B677"/>
    </row>
    <row r="678" spans="1:2" ht="15.75" x14ac:dyDescent="0.3">
      <c r="A678"/>
      <c r="B678"/>
    </row>
    <row r="679" spans="1:2" ht="15.75" x14ac:dyDescent="0.3">
      <c r="A679"/>
      <c r="B679"/>
    </row>
    <row r="680" spans="1:2" ht="15.75" x14ac:dyDescent="0.3">
      <c r="A680"/>
      <c r="B680"/>
    </row>
    <row r="681" spans="1:2" ht="15.75" x14ac:dyDescent="0.3">
      <c r="A681"/>
      <c r="B681"/>
    </row>
    <row r="682" spans="1:2" ht="15.75" x14ac:dyDescent="0.3">
      <c r="A682"/>
      <c r="B682"/>
    </row>
    <row r="683" spans="1:2" ht="15.75" x14ac:dyDescent="0.3">
      <c r="A683"/>
      <c r="B683"/>
    </row>
    <row r="684" spans="1:2" ht="15.75" x14ac:dyDescent="0.3">
      <c r="A684"/>
      <c r="B684"/>
    </row>
    <row r="685" spans="1:2" ht="15.75" x14ac:dyDescent="0.3">
      <c r="A685"/>
      <c r="B685"/>
    </row>
    <row r="686" spans="1:2" ht="15.75" x14ac:dyDescent="0.3">
      <c r="A686"/>
      <c r="B686"/>
    </row>
    <row r="687" spans="1:2" ht="15.75" x14ac:dyDescent="0.3">
      <c r="A687"/>
      <c r="B687"/>
    </row>
    <row r="688" spans="1:2" ht="15.75" x14ac:dyDescent="0.3">
      <c r="A688"/>
      <c r="B688"/>
    </row>
    <row r="689" spans="1:2" ht="15.75" x14ac:dyDescent="0.3">
      <c r="A689"/>
      <c r="B689"/>
    </row>
    <row r="690" spans="1:2" ht="15.75" x14ac:dyDescent="0.3">
      <c r="A690"/>
      <c r="B690"/>
    </row>
    <row r="691" spans="1:2" ht="15.75" x14ac:dyDescent="0.3">
      <c r="A691"/>
      <c r="B691"/>
    </row>
    <row r="692" spans="1:2" ht="15.75" x14ac:dyDescent="0.3">
      <c r="A692"/>
      <c r="B692"/>
    </row>
    <row r="693" spans="1:2" ht="15.75" x14ac:dyDescent="0.3">
      <c r="A693"/>
      <c r="B693"/>
    </row>
    <row r="694" spans="1:2" ht="15.75" x14ac:dyDescent="0.3">
      <c r="A694"/>
      <c r="B694"/>
    </row>
    <row r="695" spans="1:2" ht="15.75" x14ac:dyDescent="0.3">
      <c r="A695"/>
      <c r="B695"/>
    </row>
    <row r="696" spans="1:2" ht="15.75" x14ac:dyDescent="0.3">
      <c r="A696"/>
      <c r="B696"/>
    </row>
    <row r="697" spans="1:2" ht="15.75" x14ac:dyDescent="0.3">
      <c r="A697"/>
      <c r="B697"/>
    </row>
    <row r="698" spans="1:2" ht="15.75" x14ac:dyDescent="0.3">
      <c r="A698"/>
      <c r="B698"/>
    </row>
    <row r="699" spans="1:2" ht="15.75" x14ac:dyDescent="0.3">
      <c r="A699"/>
      <c r="B699"/>
    </row>
    <row r="700" spans="1:2" ht="15.75" x14ac:dyDescent="0.3">
      <c r="A700"/>
      <c r="B700"/>
    </row>
    <row r="701" spans="1:2" ht="15.75" x14ac:dyDescent="0.3">
      <c r="A701"/>
      <c r="B701"/>
    </row>
    <row r="702" spans="1:2" ht="15.75" x14ac:dyDescent="0.3">
      <c r="A702"/>
      <c r="B702"/>
    </row>
    <row r="703" spans="1:2" ht="15.75" x14ac:dyDescent="0.3">
      <c r="A703"/>
      <c r="B703"/>
    </row>
    <row r="704" spans="1:2" ht="15.75" x14ac:dyDescent="0.3">
      <c r="A704"/>
      <c r="B704"/>
    </row>
    <row r="705" spans="1:2" ht="15.75" x14ac:dyDescent="0.3">
      <c r="A705"/>
      <c r="B705"/>
    </row>
    <row r="706" spans="1:2" ht="15.75" x14ac:dyDescent="0.3">
      <c r="A706"/>
      <c r="B706"/>
    </row>
    <row r="707" spans="1:2" ht="15.75" x14ac:dyDescent="0.3">
      <c r="A707"/>
      <c r="B707"/>
    </row>
    <row r="708" spans="1:2" ht="15.75" x14ac:dyDescent="0.3">
      <c r="A708"/>
      <c r="B708"/>
    </row>
    <row r="709" spans="1:2" ht="15.75" x14ac:dyDescent="0.3">
      <c r="A709"/>
      <c r="B709"/>
    </row>
    <row r="710" spans="1:2" ht="15.75" x14ac:dyDescent="0.3">
      <c r="A710"/>
      <c r="B710"/>
    </row>
    <row r="711" spans="1:2" ht="15.75" x14ac:dyDescent="0.3">
      <c r="A711"/>
      <c r="B711"/>
    </row>
    <row r="712" spans="1:2" ht="15.75" x14ac:dyDescent="0.3">
      <c r="A712"/>
      <c r="B712"/>
    </row>
    <row r="713" spans="1:2" ht="15.75" x14ac:dyDescent="0.3">
      <c r="A713"/>
      <c r="B713"/>
    </row>
    <row r="714" spans="1:2" ht="15.75" x14ac:dyDescent="0.3">
      <c r="A714"/>
      <c r="B714"/>
    </row>
    <row r="715" spans="1:2" ht="15.75" x14ac:dyDescent="0.3">
      <c r="A715"/>
      <c r="B715"/>
    </row>
    <row r="716" spans="1:2" ht="15.75" x14ac:dyDescent="0.3">
      <c r="A716"/>
      <c r="B716"/>
    </row>
    <row r="717" spans="1:2" ht="15.75" x14ac:dyDescent="0.3">
      <c r="A717"/>
      <c r="B717"/>
    </row>
    <row r="718" spans="1:2" ht="15.75" x14ac:dyDescent="0.3">
      <c r="A718"/>
      <c r="B718"/>
    </row>
    <row r="719" spans="1:2" ht="15.75" x14ac:dyDescent="0.3">
      <c r="A719"/>
      <c r="B719"/>
    </row>
    <row r="720" spans="1:2" ht="15.75" x14ac:dyDescent="0.3">
      <c r="A720"/>
      <c r="B720"/>
    </row>
    <row r="721" spans="1:2" ht="15.75" x14ac:dyDescent="0.3">
      <c r="A721"/>
      <c r="B721"/>
    </row>
    <row r="722" spans="1:2" ht="15.75" x14ac:dyDescent="0.3">
      <c r="A722"/>
      <c r="B722"/>
    </row>
    <row r="723" spans="1:2" ht="15.75" x14ac:dyDescent="0.3">
      <c r="A723"/>
      <c r="B723"/>
    </row>
    <row r="724" spans="1:2" ht="15.75" x14ac:dyDescent="0.3">
      <c r="A724"/>
      <c r="B724"/>
    </row>
    <row r="725" spans="1:2" ht="15.75" x14ac:dyDescent="0.3">
      <c r="A725"/>
      <c r="B725"/>
    </row>
    <row r="726" spans="1:2" ht="15.75" x14ac:dyDescent="0.3">
      <c r="A726"/>
      <c r="B726"/>
    </row>
    <row r="727" spans="1:2" ht="15.75" x14ac:dyDescent="0.3">
      <c r="A727"/>
      <c r="B727"/>
    </row>
    <row r="728" spans="1:2" ht="15.75" x14ac:dyDescent="0.3">
      <c r="A728"/>
      <c r="B728"/>
    </row>
    <row r="729" spans="1:2" ht="15.75" x14ac:dyDescent="0.3">
      <c r="A729"/>
      <c r="B729"/>
    </row>
    <row r="730" spans="1:2" ht="15.75" x14ac:dyDescent="0.3">
      <c r="A730"/>
      <c r="B730"/>
    </row>
    <row r="731" spans="1:2" ht="15.75" x14ac:dyDescent="0.3">
      <c r="A731"/>
      <c r="B731"/>
    </row>
    <row r="732" spans="1:2" ht="15.75" x14ac:dyDescent="0.3">
      <c r="A732"/>
      <c r="B732"/>
    </row>
    <row r="733" spans="1:2" ht="15.75" x14ac:dyDescent="0.3">
      <c r="A733"/>
      <c r="B733"/>
    </row>
    <row r="734" spans="1:2" ht="15.75" x14ac:dyDescent="0.3">
      <c r="A734"/>
      <c r="B734"/>
    </row>
    <row r="735" spans="1:2" ht="15.75" x14ac:dyDescent="0.3">
      <c r="A735"/>
      <c r="B735"/>
    </row>
    <row r="736" spans="1:2" ht="15.75" x14ac:dyDescent="0.3">
      <c r="A736"/>
      <c r="B736"/>
    </row>
    <row r="737" spans="1:2" ht="15.75" x14ac:dyDescent="0.3">
      <c r="A737"/>
      <c r="B737"/>
    </row>
    <row r="738" spans="1:2" ht="15.75" x14ac:dyDescent="0.3">
      <c r="A738"/>
      <c r="B738"/>
    </row>
    <row r="739" spans="1:2" ht="15.75" x14ac:dyDescent="0.3">
      <c r="A739"/>
      <c r="B739"/>
    </row>
    <row r="740" spans="1:2" ht="15.75" x14ac:dyDescent="0.3">
      <c r="A740"/>
      <c r="B740"/>
    </row>
    <row r="741" spans="1:2" ht="15.75" x14ac:dyDescent="0.3">
      <c r="A741"/>
      <c r="B741"/>
    </row>
    <row r="742" spans="1:2" ht="15.75" x14ac:dyDescent="0.3">
      <c r="A742"/>
      <c r="B742"/>
    </row>
    <row r="743" spans="1:2" ht="15.75" x14ac:dyDescent="0.3">
      <c r="A743"/>
      <c r="B743"/>
    </row>
    <row r="744" spans="1:2" ht="15.75" x14ac:dyDescent="0.3">
      <c r="A744"/>
      <c r="B744"/>
    </row>
    <row r="745" spans="1:2" ht="15.75" x14ac:dyDescent="0.3">
      <c r="A745"/>
      <c r="B745"/>
    </row>
    <row r="746" spans="1:2" ht="15.75" x14ac:dyDescent="0.3">
      <c r="A746"/>
      <c r="B746"/>
    </row>
    <row r="747" spans="1:2" ht="15.75" x14ac:dyDescent="0.3">
      <c r="A747"/>
      <c r="B747"/>
    </row>
    <row r="748" spans="1:2" ht="15.75" x14ac:dyDescent="0.3">
      <c r="A748"/>
      <c r="B748"/>
    </row>
    <row r="749" spans="1:2" ht="15.75" x14ac:dyDescent="0.3">
      <c r="A749"/>
      <c r="B749"/>
    </row>
    <row r="750" spans="1:2" ht="15.75" x14ac:dyDescent="0.3">
      <c r="A750"/>
      <c r="B750"/>
    </row>
    <row r="751" spans="1:2" ht="15.75" x14ac:dyDescent="0.3">
      <c r="A751"/>
      <c r="B751"/>
    </row>
    <row r="752" spans="1:2" ht="15.75" x14ac:dyDescent="0.3">
      <c r="A752"/>
      <c r="B752"/>
    </row>
    <row r="753" spans="1:2" ht="15.75" x14ac:dyDescent="0.3">
      <c r="A753"/>
      <c r="B753"/>
    </row>
    <row r="754" spans="1:2" ht="15.75" x14ac:dyDescent="0.3">
      <c r="A754"/>
      <c r="B754"/>
    </row>
    <row r="755" spans="1:2" ht="15.75" x14ac:dyDescent="0.3">
      <c r="A755"/>
      <c r="B755"/>
    </row>
    <row r="756" spans="1:2" ht="15.75" x14ac:dyDescent="0.3">
      <c r="A756"/>
      <c r="B756"/>
    </row>
    <row r="757" spans="1:2" ht="15.75" x14ac:dyDescent="0.3">
      <c r="A757"/>
      <c r="B757"/>
    </row>
    <row r="758" spans="1:2" ht="15.75" x14ac:dyDescent="0.3">
      <c r="A758"/>
      <c r="B758"/>
    </row>
    <row r="759" spans="1:2" ht="15.75" x14ac:dyDescent="0.3">
      <c r="A759"/>
      <c r="B759"/>
    </row>
    <row r="760" spans="1:2" ht="15.75" x14ac:dyDescent="0.3">
      <c r="A760"/>
      <c r="B760"/>
    </row>
    <row r="761" spans="1:2" ht="15.75" x14ac:dyDescent="0.3">
      <c r="A761"/>
      <c r="B761"/>
    </row>
    <row r="762" spans="1:2" ht="15.75" x14ac:dyDescent="0.3">
      <c r="A762"/>
      <c r="B762"/>
    </row>
    <row r="763" spans="1:2" ht="15.75" x14ac:dyDescent="0.3">
      <c r="A763"/>
      <c r="B763"/>
    </row>
    <row r="764" spans="1:2" ht="15.75" x14ac:dyDescent="0.3">
      <c r="A764"/>
      <c r="B764"/>
    </row>
    <row r="765" spans="1:2" ht="15.75" x14ac:dyDescent="0.3">
      <c r="A765"/>
      <c r="B765"/>
    </row>
    <row r="766" spans="1:2" ht="15.75" x14ac:dyDescent="0.3">
      <c r="A766"/>
      <c r="B766"/>
    </row>
    <row r="767" spans="1:2" ht="15.75" x14ac:dyDescent="0.3">
      <c r="A767"/>
      <c r="B767"/>
    </row>
    <row r="768" spans="1:2" ht="15.75" x14ac:dyDescent="0.3">
      <c r="A768"/>
      <c r="B768"/>
    </row>
    <row r="769" spans="1:2" ht="15.75" x14ac:dyDescent="0.3">
      <c r="A769"/>
      <c r="B769"/>
    </row>
    <row r="770" spans="1:2" ht="15.75" x14ac:dyDescent="0.3">
      <c r="A770"/>
      <c r="B770"/>
    </row>
    <row r="771" spans="1:2" ht="15.75" x14ac:dyDescent="0.3">
      <c r="A771"/>
      <c r="B771"/>
    </row>
    <row r="772" spans="1:2" ht="15.75" x14ac:dyDescent="0.3">
      <c r="A772"/>
      <c r="B772"/>
    </row>
    <row r="773" spans="1:2" ht="15.75" x14ac:dyDescent="0.3">
      <c r="A773"/>
      <c r="B773"/>
    </row>
    <row r="774" spans="1:2" ht="15.75" x14ac:dyDescent="0.3">
      <c r="A774"/>
      <c r="B774"/>
    </row>
    <row r="775" spans="1:2" ht="15.75" x14ac:dyDescent="0.3">
      <c r="A775"/>
      <c r="B775"/>
    </row>
    <row r="776" spans="1:2" ht="15.75" x14ac:dyDescent="0.3">
      <c r="A776"/>
      <c r="B776"/>
    </row>
    <row r="777" spans="1:2" ht="15.75" x14ac:dyDescent="0.3">
      <c r="A777"/>
      <c r="B777"/>
    </row>
    <row r="778" spans="1:2" ht="15.75" x14ac:dyDescent="0.3">
      <c r="A778"/>
      <c r="B778"/>
    </row>
    <row r="779" spans="1:2" ht="15.75" x14ac:dyDescent="0.3">
      <c r="A779"/>
      <c r="B779"/>
    </row>
    <row r="780" spans="1:2" ht="15.75" x14ac:dyDescent="0.3">
      <c r="A780"/>
      <c r="B780"/>
    </row>
    <row r="781" spans="1:2" ht="15.75" x14ac:dyDescent="0.3">
      <c r="A781"/>
      <c r="B781"/>
    </row>
    <row r="782" spans="1:2" ht="15.75" x14ac:dyDescent="0.3">
      <c r="A782"/>
      <c r="B782"/>
    </row>
    <row r="783" spans="1:2" ht="15.75" x14ac:dyDescent="0.3">
      <c r="A783"/>
      <c r="B783"/>
    </row>
    <row r="784" spans="1:2" ht="15.75" x14ac:dyDescent="0.3">
      <c r="A784"/>
      <c r="B784"/>
    </row>
    <row r="785" spans="1:2" ht="15.75" x14ac:dyDescent="0.3">
      <c r="A785"/>
      <c r="B785"/>
    </row>
    <row r="786" spans="1:2" ht="15.75" x14ac:dyDescent="0.3">
      <c r="A786"/>
      <c r="B786"/>
    </row>
    <row r="787" spans="1:2" ht="15.75" x14ac:dyDescent="0.3">
      <c r="A787"/>
      <c r="B787"/>
    </row>
    <row r="788" spans="1:2" ht="15.75" x14ac:dyDescent="0.3">
      <c r="A788"/>
      <c r="B788"/>
    </row>
    <row r="789" spans="1:2" ht="15.75" x14ac:dyDescent="0.3">
      <c r="A789"/>
      <c r="B789"/>
    </row>
    <row r="790" spans="1:2" ht="15.75" x14ac:dyDescent="0.3">
      <c r="A790"/>
      <c r="B790"/>
    </row>
    <row r="791" spans="1:2" ht="15.75" x14ac:dyDescent="0.3">
      <c r="A791"/>
      <c r="B791"/>
    </row>
    <row r="792" spans="1:2" ht="15.75" x14ac:dyDescent="0.3">
      <c r="A792"/>
      <c r="B792"/>
    </row>
    <row r="793" spans="1:2" ht="15.75" x14ac:dyDescent="0.3">
      <c r="A793"/>
      <c r="B793"/>
    </row>
    <row r="794" spans="1:2" ht="15.75" x14ac:dyDescent="0.3">
      <c r="A794"/>
      <c r="B794"/>
    </row>
    <row r="795" spans="1:2" ht="15.75" x14ac:dyDescent="0.3">
      <c r="A795"/>
      <c r="B795"/>
    </row>
    <row r="796" spans="1:2" ht="15.75" x14ac:dyDescent="0.3">
      <c r="A796"/>
      <c r="B796"/>
    </row>
    <row r="797" spans="1:2" ht="15.75" x14ac:dyDescent="0.3">
      <c r="A797"/>
      <c r="B797"/>
    </row>
    <row r="798" spans="1:2" ht="15.75" x14ac:dyDescent="0.3">
      <c r="A798"/>
      <c r="B798"/>
    </row>
    <row r="799" spans="1:2" ht="15.75" x14ac:dyDescent="0.3">
      <c r="A799"/>
      <c r="B799"/>
    </row>
    <row r="800" spans="1:2" ht="15.75" x14ac:dyDescent="0.3">
      <c r="A800"/>
      <c r="B800"/>
    </row>
    <row r="801" spans="1:2" ht="15.75" x14ac:dyDescent="0.3">
      <c r="A801"/>
      <c r="B801"/>
    </row>
    <row r="802" spans="1:2" ht="15.75" x14ac:dyDescent="0.3">
      <c r="A802"/>
      <c r="B802"/>
    </row>
    <row r="803" spans="1:2" ht="15.75" x14ac:dyDescent="0.3">
      <c r="A803"/>
      <c r="B803"/>
    </row>
    <row r="804" spans="1:2" ht="15.75" x14ac:dyDescent="0.3">
      <c r="A804"/>
      <c r="B804"/>
    </row>
    <row r="805" spans="1:2" ht="15.75" x14ac:dyDescent="0.3">
      <c r="A805"/>
      <c r="B805"/>
    </row>
    <row r="806" spans="1:2" ht="15.75" x14ac:dyDescent="0.3">
      <c r="A806"/>
      <c r="B806"/>
    </row>
    <row r="807" spans="1:2" ht="15.75" x14ac:dyDescent="0.3">
      <c r="A807"/>
      <c r="B807"/>
    </row>
    <row r="808" spans="1:2" ht="15.75" x14ac:dyDescent="0.3">
      <c r="A808"/>
      <c r="B808"/>
    </row>
    <row r="809" spans="1:2" ht="15.75" x14ac:dyDescent="0.3">
      <c r="A809"/>
      <c r="B809"/>
    </row>
    <row r="810" spans="1:2" ht="15.75" x14ac:dyDescent="0.3">
      <c r="A810"/>
      <c r="B810"/>
    </row>
    <row r="811" spans="1:2" ht="15.75" x14ac:dyDescent="0.3">
      <c r="A811"/>
      <c r="B811"/>
    </row>
    <row r="812" spans="1:2" ht="15.75" x14ac:dyDescent="0.3">
      <c r="A812"/>
      <c r="B812"/>
    </row>
    <row r="813" spans="1:2" ht="15.75" x14ac:dyDescent="0.3">
      <c r="A813"/>
      <c r="B813"/>
    </row>
    <row r="814" spans="1:2" ht="15.75" x14ac:dyDescent="0.3">
      <c r="A814"/>
      <c r="B814"/>
    </row>
    <row r="815" spans="1:2" ht="15.75" x14ac:dyDescent="0.3">
      <c r="A815"/>
      <c r="B815"/>
    </row>
    <row r="816" spans="1:2" ht="15.75" x14ac:dyDescent="0.3">
      <c r="A816"/>
      <c r="B816"/>
    </row>
    <row r="817" spans="1:2" ht="15.75" x14ac:dyDescent="0.3">
      <c r="A817"/>
      <c r="B817"/>
    </row>
    <row r="818" spans="1:2" ht="15.75" x14ac:dyDescent="0.3">
      <c r="A818"/>
      <c r="B818"/>
    </row>
    <row r="819" spans="1:2" ht="15.75" x14ac:dyDescent="0.3">
      <c r="A819"/>
      <c r="B819"/>
    </row>
    <row r="820" spans="1:2" ht="15.75" x14ac:dyDescent="0.3">
      <c r="A820"/>
      <c r="B820"/>
    </row>
    <row r="821" spans="1:2" ht="15.75" x14ac:dyDescent="0.3">
      <c r="A821"/>
      <c r="B821"/>
    </row>
    <row r="822" spans="1:2" ht="15.75" x14ac:dyDescent="0.3">
      <c r="A822"/>
      <c r="B822"/>
    </row>
    <row r="823" spans="1:2" ht="15.75" x14ac:dyDescent="0.3">
      <c r="A823"/>
      <c r="B823"/>
    </row>
    <row r="824" spans="1:2" ht="15.75" x14ac:dyDescent="0.3">
      <c r="A824"/>
      <c r="B824"/>
    </row>
    <row r="825" spans="1:2" ht="15.75" x14ac:dyDescent="0.3">
      <c r="A825"/>
      <c r="B825"/>
    </row>
    <row r="826" spans="1:2" ht="15.75" x14ac:dyDescent="0.3">
      <c r="A826"/>
      <c r="B826"/>
    </row>
    <row r="827" spans="1:2" ht="15.75" x14ac:dyDescent="0.3">
      <c r="A827"/>
      <c r="B827"/>
    </row>
    <row r="828" spans="1:2" ht="15.75" x14ac:dyDescent="0.3">
      <c r="A828"/>
      <c r="B828"/>
    </row>
    <row r="829" spans="1:2" ht="15.75" x14ac:dyDescent="0.3">
      <c r="A829"/>
      <c r="B829"/>
    </row>
    <row r="830" spans="1:2" ht="15.75" x14ac:dyDescent="0.3">
      <c r="A830"/>
      <c r="B830"/>
    </row>
    <row r="831" spans="1:2" ht="15.75" x14ac:dyDescent="0.3">
      <c r="A831"/>
      <c r="B831"/>
    </row>
    <row r="832" spans="1:2" ht="15.75" x14ac:dyDescent="0.3">
      <c r="A832"/>
      <c r="B832"/>
    </row>
    <row r="833" spans="1:2" ht="15.75" x14ac:dyDescent="0.3">
      <c r="A833"/>
      <c r="B833"/>
    </row>
    <row r="834" spans="1:2" ht="15.75" x14ac:dyDescent="0.3">
      <c r="A834"/>
      <c r="B834"/>
    </row>
    <row r="835" spans="1:2" ht="15.75" x14ac:dyDescent="0.3">
      <c r="A835"/>
      <c r="B835"/>
    </row>
    <row r="836" spans="1:2" ht="15.75" x14ac:dyDescent="0.3">
      <c r="A836"/>
      <c r="B836"/>
    </row>
    <row r="837" spans="1:2" ht="15.75" x14ac:dyDescent="0.3">
      <c r="A837"/>
      <c r="B837"/>
    </row>
    <row r="838" spans="1:2" ht="15.75" x14ac:dyDescent="0.3">
      <c r="A838"/>
      <c r="B838"/>
    </row>
    <row r="839" spans="1:2" ht="15.75" x14ac:dyDescent="0.3">
      <c r="A839"/>
      <c r="B839"/>
    </row>
    <row r="840" spans="1:2" ht="15.75" x14ac:dyDescent="0.3">
      <c r="A840"/>
      <c r="B840"/>
    </row>
    <row r="841" spans="1:2" ht="15.75" x14ac:dyDescent="0.3">
      <c r="A841"/>
      <c r="B841"/>
    </row>
    <row r="842" spans="1:2" ht="15.75" x14ac:dyDescent="0.3">
      <c r="A842"/>
      <c r="B842"/>
    </row>
    <row r="843" spans="1:2" ht="15.75" x14ac:dyDescent="0.3">
      <c r="A843"/>
      <c r="B843"/>
    </row>
    <row r="844" spans="1:2" ht="15.75" x14ac:dyDescent="0.3">
      <c r="A844"/>
      <c r="B844"/>
    </row>
    <row r="845" spans="1:2" ht="15.75" x14ac:dyDescent="0.3">
      <c r="A845"/>
      <c r="B845"/>
    </row>
    <row r="846" spans="1:2" ht="15.75" x14ac:dyDescent="0.3">
      <c r="A846"/>
      <c r="B846"/>
    </row>
    <row r="847" spans="1:2" ht="15.75" x14ac:dyDescent="0.3">
      <c r="A847"/>
      <c r="B847"/>
    </row>
    <row r="848" spans="1:2" ht="15.75" x14ac:dyDescent="0.3">
      <c r="A848"/>
      <c r="B848"/>
    </row>
    <row r="849" spans="1:2" ht="15.75" x14ac:dyDescent="0.3">
      <c r="A849"/>
      <c r="B849"/>
    </row>
    <row r="850" spans="1:2" ht="15.75" x14ac:dyDescent="0.3">
      <c r="A850"/>
      <c r="B850"/>
    </row>
    <row r="851" spans="1:2" ht="15.75" x14ac:dyDescent="0.3">
      <c r="A851"/>
      <c r="B851"/>
    </row>
    <row r="852" spans="1:2" ht="15.75" x14ac:dyDescent="0.3">
      <c r="A852"/>
      <c r="B852"/>
    </row>
    <row r="853" spans="1:2" ht="15.75" x14ac:dyDescent="0.3">
      <c r="A853"/>
      <c r="B853"/>
    </row>
    <row r="854" spans="1:2" ht="15.75" x14ac:dyDescent="0.3">
      <c r="A854"/>
      <c r="B854"/>
    </row>
    <row r="855" spans="1:2" ht="15.75" x14ac:dyDescent="0.3">
      <c r="A855"/>
      <c r="B855"/>
    </row>
    <row r="856" spans="1:2" ht="15.75" x14ac:dyDescent="0.3">
      <c r="A856"/>
      <c r="B856"/>
    </row>
    <row r="857" spans="1:2" ht="15.75" x14ac:dyDescent="0.3">
      <c r="A857"/>
      <c r="B857"/>
    </row>
    <row r="858" spans="1:2" ht="15.75" x14ac:dyDescent="0.3">
      <c r="A858"/>
      <c r="B858"/>
    </row>
    <row r="859" spans="1:2" ht="15.75" x14ac:dyDescent="0.3">
      <c r="A859"/>
      <c r="B859"/>
    </row>
    <row r="860" spans="1:2" ht="15.75" x14ac:dyDescent="0.3">
      <c r="A860"/>
      <c r="B860"/>
    </row>
    <row r="861" spans="1:2" ht="15.75" x14ac:dyDescent="0.3">
      <c r="A861"/>
      <c r="B861"/>
    </row>
    <row r="862" spans="1:2" ht="15.75" x14ac:dyDescent="0.3">
      <c r="A862"/>
      <c r="B862"/>
    </row>
    <row r="863" spans="1:2" ht="15.75" x14ac:dyDescent="0.3">
      <c r="A863"/>
      <c r="B863"/>
    </row>
    <row r="864" spans="1:2" ht="15.75" x14ac:dyDescent="0.3">
      <c r="A864"/>
      <c r="B864"/>
    </row>
    <row r="865" spans="1:2" ht="15.75" x14ac:dyDescent="0.3">
      <c r="A865"/>
      <c r="B865"/>
    </row>
    <row r="866" spans="1:2" ht="15.75" x14ac:dyDescent="0.3">
      <c r="A866"/>
      <c r="B866"/>
    </row>
    <row r="867" spans="1:2" ht="15.75" x14ac:dyDescent="0.3">
      <c r="A867"/>
      <c r="B867"/>
    </row>
    <row r="868" spans="1:2" ht="15.75" x14ac:dyDescent="0.3">
      <c r="A868"/>
      <c r="B868"/>
    </row>
    <row r="869" spans="1:2" ht="15.75" x14ac:dyDescent="0.3">
      <c r="A869"/>
      <c r="B869"/>
    </row>
    <row r="870" spans="1:2" ht="15.75" x14ac:dyDescent="0.3">
      <c r="A870"/>
      <c r="B870"/>
    </row>
    <row r="871" spans="1:2" ht="15.75" x14ac:dyDescent="0.3">
      <c r="A871"/>
      <c r="B871"/>
    </row>
    <row r="872" spans="1:2" ht="15.75" x14ac:dyDescent="0.3">
      <c r="A872"/>
      <c r="B872"/>
    </row>
    <row r="873" spans="1:2" ht="15.75" x14ac:dyDescent="0.3">
      <c r="A873"/>
      <c r="B873"/>
    </row>
    <row r="874" spans="1:2" ht="15.75" x14ac:dyDescent="0.3">
      <c r="A874"/>
      <c r="B874"/>
    </row>
    <row r="875" spans="1:2" ht="15.75" x14ac:dyDescent="0.3">
      <c r="A875"/>
      <c r="B875"/>
    </row>
    <row r="876" spans="1:2" ht="15.75" x14ac:dyDescent="0.3">
      <c r="A876"/>
      <c r="B876"/>
    </row>
    <row r="877" spans="1:2" ht="15.75" x14ac:dyDescent="0.3">
      <c r="A877"/>
      <c r="B877"/>
    </row>
    <row r="878" spans="1:2" ht="15.75" x14ac:dyDescent="0.3">
      <c r="A878"/>
      <c r="B878"/>
    </row>
    <row r="879" spans="1:2" ht="15.75" x14ac:dyDescent="0.3">
      <c r="A879"/>
      <c r="B879"/>
    </row>
    <row r="880" spans="1:2" ht="15.75" x14ac:dyDescent="0.3">
      <c r="A880"/>
      <c r="B880"/>
    </row>
    <row r="881" spans="1:2" ht="15.75" x14ac:dyDescent="0.3">
      <c r="A881"/>
      <c r="B881"/>
    </row>
    <row r="882" spans="1:2" ht="15.75" x14ac:dyDescent="0.3">
      <c r="A882"/>
      <c r="B882"/>
    </row>
    <row r="883" spans="1:2" ht="15.75" x14ac:dyDescent="0.3">
      <c r="A883"/>
      <c r="B883"/>
    </row>
    <row r="884" spans="1:2" ht="15.75" x14ac:dyDescent="0.3">
      <c r="A884"/>
      <c r="B884"/>
    </row>
    <row r="885" spans="1:2" ht="15.75" x14ac:dyDescent="0.3">
      <c r="A885"/>
      <c r="B885"/>
    </row>
    <row r="886" spans="1:2" ht="15.75" x14ac:dyDescent="0.3">
      <c r="A886"/>
      <c r="B886"/>
    </row>
    <row r="887" spans="1:2" ht="15.75" x14ac:dyDescent="0.3">
      <c r="A887"/>
      <c r="B887"/>
    </row>
    <row r="888" spans="1:2" ht="15.75" x14ac:dyDescent="0.3">
      <c r="A888"/>
      <c r="B888"/>
    </row>
    <row r="889" spans="1:2" ht="15.75" x14ac:dyDescent="0.3">
      <c r="A889"/>
      <c r="B889"/>
    </row>
    <row r="890" spans="1:2" ht="15.75" x14ac:dyDescent="0.3">
      <c r="A890"/>
      <c r="B890"/>
    </row>
    <row r="891" spans="1:2" ht="15.75" x14ac:dyDescent="0.3">
      <c r="A891"/>
      <c r="B891"/>
    </row>
    <row r="892" spans="1:2" ht="15.75" x14ac:dyDescent="0.3">
      <c r="A892"/>
      <c r="B892"/>
    </row>
    <row r="893" spans="1:2" ht="15.75" x14ac:dyDescent="0.3">
      <c r="A893"/>
      <c r="B893"/>
    </row>
    <row r="894" spans="1:2" ht="15.75" x14ac:dyDescent="0.3">
      <c r="A894"/>
      <c r="B894"/>
    </row>
    <row r="895" spans="1:2" ht="15.75" x14ac:dyDescent="0.3">
      <c r="A895"/>
      <c r="B895"/>
    </row>
    <row r="896" spans="1:2" ht="15.75" x14ac:dyDescent="0.3">
      <c r="A896"/>
      <c r="B896"/>
    </row>
    <row r="897" spans="1:2" ht="15.75" x14ac:dyDescent="0.3">
      <c r="A897"/>
      <c r="B897"/>
    </row>
    <row r="898" spans="1:2" ht="15.75" x14ac:dyDescent="0.3">
      <c r="A898"/>
      <c r="B898"/>
    </row>
    <row r="899" spans="1:2" ht="15.75" x14ac:dyDescent="0.3">
      <c r="A899"/>
      <c r="B899"/>
    </row>
    <row r="900" spans="1:2" ht="15.75" x14ac:dyDescent="0.3">
      <c r="A900"/>
      <c r="B900"/>
    </row>
    <row r="901" spans="1:2" ht="15.75" x14ac:dyDescent="0.3">
      <c r="A901"/>
      <c r="B901"/>
    </row>
    <row r="902" spans="1:2" ht="15.75" x14ac:dyDescent="0.3">
      <c r="A902"/>
      <c r="B902"/>
    </row>
    <row r="903" spans="1:2" ht="15.75" x14ac:dyDescent="0.3">
      <c r="A903"/>
      <c r="B903"/>
    </row>
    <row r="904" spans="1:2" ht="15.75" x14ac:dyDescent="0.3">
      <c r="A904"/>
      <c r="B904"/>
    </row>
    <row r="905" spans="1:2" ht="15.75" x14ac:dyDescent="0.3">
      <c r="A905"/>
      <c r="B905"/>
    </row>
    <row r="906" spans="1:2" ht="15.75" x14ac:dyDescent="0.3">
      <c r="A906"/>
      <c r="B906"/>
    </row>
    <row r="907" spans="1:2" ht="15.75" x14ac:dyDescent="0.3">
      <c r="A907"/>
      <c r="B907"/>
    </row>
    <row r="908" spans="1:2" ht="15.75" x14ac:dyDescent="0.3">
      <c r="A908"/>
      <c r="B908"/>
    </row>
    <row r="909" spans="1:2" ht="15.75" x14ac:dyDescent="0.3">
      <c r="A909"/>
      <c r="B909"/>
    </row>
    <row r="910" spans="1:2" ht="15.75" x14ac:dyDescent="0.3">
      <c r="A910"/>
      <c r="B910"/>
    </row>
    <row r="911" spans="1:2" ht="15.75" x14ac:dyDescent="0.3">
      <c r="A911"/>
      <c r="B911"/>
    </row>
    <row r="912" spans="1:2" ht="15.75" x14ac:dyDescent="0.3">
      <c r="A912"/>
      <c r="B912"/>
    </row>
    <row r="913" spans="1:2" ht="15.75" x14ac:dyDescent="0.3">
      <c r="A913"/>
      <c r="B913"/>
    </row>
    <row r="914" spans="1:2" ht="15.75" x14ac:dyDescent="0.3">
      <c r="A914"/>
      <c r="B914"/>
    </row>
    <row r="915" spans="1:2" ht="15.75" x14ac:dyDescent="0.3">
      <c r="A915"/>
      <c r="B915"/>
    </row>
    <row r="916" spans="1:2" ht="15.75" x14ac:dyDescent="0.3">
      <c r="A916"/>
      <c r="B916"/>
    </row>
    <row r="917" spans="1:2" ht="15.75" x14ac:dyDescent="0.3">
      <c r="A917"/>
      <c r="B917"/>
    </row>
    <row r="918" spans="1:2" ht="15.75" x14ac:dyDescent="0.3">
      <c r="A918"/>
      <c r="B918"/>
    </row>
    <row r="919" spans="1:2" ht="15.75" x14ac:dyDescent="0.3">
      <c r="A919"/>
      <c r="B919"/>
    </row>
    <row r="920" spans="1:2" ht="15.75" x14ac:dyDescent="0.3">
      <c r="A920"/>
      <c r="B920"/>
    </row>
    <row r="921" spans="1:2" ht="15.75" x14ac:dyDescent="0.3">
      <c r="A921"/>
      <c r="B921"/>
    </row>
    <row r="922" spans="1:2" ht="15.75" x14ac:dyDescent="0.3">
      <c r="A922"/>
      <c r="B922"/>
    </row>
    <row r="923" spans="1:2" ht="15.75" x14ac:dyDescent="0.3">
      <c r="A923"/>
      <c r="B923"/>
    </row>
    <row r="924" spans="1:2" ht="15.75" x14ac:dyDescent="0.3">
      <c r="A924"/>
      <c r="B924"/>
    </row>
    <row r="925" spans="1:2" ht="15.75" x14ac:dyDescent="0.3">
      <c r="A925"/>
      <c r="B925"/>
    </row>
    <row r="926" spans="1:2" ht="15.75" x14ac:dyDescent="0.3">
      <c r="A926"/>
      <c r="B926"/>
    </row>
    <row r="927" spans="1:2" ht="15.75" x14ac:dyDescent="0.3">
      <c r="A927"/>
      <c r="B927"/>
    </row>
    <row r="928" spans="1:2" ht="15.75" x14ac:dyDescent="0.3">
      <c r="A928"/>
      <c r="B928"/>
    </row>
    <row r="929" spans="1:2" ht="15.75" x14ac:dyDescent="0.3">
      <c r="A929"/>
      <c r="B929"/>
    </row>
    <row r="930" spans="1:2" ht="15.75" x14ac:dyDescent="0.3">
      <c r="A930"/>
      <c r="B930"/>
    </row>
    <row r="931" spans="1:2" ht="15.75" x14ac:dyDescent="0.3">
      <c r="A931"/>
      <c r="B931"/>
    </row>
    <row r="932" spans="1:2" ht="15.75" x14ac:dyDescent="0.3">
      <c r="A932"/>
      <c r="B932"/>
    </row>
    <row r="933" spans="1:2" ht="15.75" x14ac:dyDescent="0.3">
      <c r="A933"/>
      <c r="B933"/>
    </row>
    <row r="934" spans="1:2" ht="15.75" x14ac:dyDescent="0.3">
      <c r="A934"/>
      <c r="B934"/>
    </row>
    <row r="935" spans="1:2" ht="15.75" x14ac:dyDescent="0.3">
      <c r="A935"/>
      <c r="B935"/>
    </row>
    <row r="936" spans="1:2" ht="15.75" x14ac:dyDescent="0.3">
      <c r="A936"/>
      <c r="B936"/>
    </row>
    <row r="937" spans="1:2" ht="15.75" x14ac:dyDescent="0.3">
      <c r="A937"/>
      <c r="B937"/>
    </row>
    <row r="938" spans="1:2" ht="15.75" x14ac:dyDescent="0.3">
      <c r="A938"/>
      <c r="B938"/>
    </row>
    <row r="939" spans="1:2" ht="15.75" x14ac:dyDescent="0.3">
      <c r="A939"/>
      <c r="B939"/>
    </row>
    <row r="940" spans="1:2" ht="15.75" x14ac:dyDescent="0.3">
      <c r="A940"/>
      <c r="B940"/>
    </row>
    <row r="941" spans="1:2" ht="15.75" x14ac:dyDescent="0.3">
      <c r="A941"/>
      <c r="B941"/>
    </row>
    <row r="942" spans="1:2" ht="15.75" x14ac:dyDescent="0.3">
      <c r="A942"/>
      <c r="B942"/>
    </row>
    <row r="943" spans="1:2" ht="15.75" x14ac:dyDescent="0.3">
      <c r="A943"/>
      <c r="B943"/>
    </row>
    <row r="944" spans="1:2" ht="15.75" x14ac:dyDescent="0.3">
      <c r="A944"/>
      <c r="B944"/>
    </row>
    <row r="945" spans="1:2" ht="15.75" x14ac:dyDescent="0.3">
      <c r="A945"/>
      <c r="B945"/>
    </row>
    <row r="946" spans="1:2" ht="15.75" x14ac:dyDescent="0.3">
      <c r="A946"/>
      <c r="B946"/>
    </row>
    <row r="947" spans="1:2" ht="15.75" x14ac:dyDescent="0.3">
      <c r="A947"/>
      <c r="B947"/>
    </row>
    <row r="948" spans="1:2" ht="15.75" x14ac:dyDescent="0.3">
      <c r="A948"/>
      <c r="B948"/>
    </row>
    <row r="949" spans="1:2" ht="15.75" x14ac:dyDescent="0.3">
      <c r="A949"/>
      <c r="B949"/>
    </row>
    <row r="950" spans="1:2" ht="15.75" x14ac:dyDescent="0.3">
      <c r="A950"/>
      <c r="B950"/>
    </row>
    <row r="951" spans="1:2" ht="15.75" x14ac:dyDescent="0.3">
      <c r="A951"/>
      <c r="B951"/>
    </row>
    <row r="952" spans="1:2" ht="15.75" x14ac:dyDescent="0.3">
      <c r="A952"/>
      <c r="B952"/>
    </row>
    <row r="953" spans="1:2" ht="15.75" x14ac:dyDescent="0.3">
      <c r="A953"/>
      <c r="B953"/>
    </row>
    <row r="954" spans="1:2" ht="15.75" x14ac:dyDescent="0.3">
      <c r="A954"/>
      <c r="B954"/>
    </row>
    <row r="955" spans="1:2" ht="15.75" x14ac:dyDescent="0.3">
      <c r="A955"/>
      <c r="B955"/>
    </row>
    <row r="956" spans="1:2" ht="15.75" x14ac:dyDescent="0.3">
      <c r="A956"/>
      <c r="B956"/>
    </row>
    <row r="957" spans="1:2" ht="15.75" x14ac:dyDescent="0.3">
      <c r="A957"/>
      <c r="B957"/>
    </row>
    <row r="958" spans="1:2" ht="15.75" x14ac:dyDescent="0.3">
      <c r="A958"/>
      <c r="B958"/>
    </row>
    <row r="959" spans="1:2" ht="15.75" x14ac:dyDescent="0.3">
      <c r="A959"/>
      <c r="B959"/>
    </row>
    <row r="960" spans="1:2" ht="15.75" x14ac:dyDescent="0.3">
      <c r="A960"/>
      <c r="B960"/>
    </row>
    <row r="961" spans="1:2" ht="15.75" x14ac:dyDescent="0.3">
      <c r="A961"/>
      <c r="B961"/>
    </row>
    <row r="962" spans="1:2" ht="15.75" x14ac:dyDescent="0.3">
      <c r="A962"/>
      <c r="B962"/>
    </row>
    <row r="963" spans="1:2" ht="15.75" x14ac:dyDescent="0.3">
      <c r="A963"/>
      <c r="B963"/>
    </row>
    <row r="964" spans="1:2" ht="15.75" x14ac:dyDescent="0.3">
      <c r="A964"/>
      <c r="B964"/>
    </row>
    <row r="965" spans="1:2" ht="15.75" x14ac:dyDescent="0.3">
      <c r="A965"/>
      <c r="B965"/>
    </row>
    <row r="966" spans="1:2" ht="15.75" x14ac:dyDescent="0.3">
      <c r="A966"/>
      <c r="B966"/>
    </row>
    <row r="967" spans="1:2" ht="15.75" x14ac:dyDescent="0.3">
      <c r="A967"/>
      <c r="B967"/>
    </row>
    <row r="968" spans="1:2" ht="15.75" x14ac:dyDescent="0.3">
      <c r="A968"/>
      <c r="B968"/>
    </row>
    <row r="969" spans="1:2" ht="15.75" x14ac:dyDescent="0.3">
      <c r="A969"/>
      <c r="B969"/>
    </row>
    <row r="970" spans="1:2" ht="15.75" x14ac:dyDescent="0.3">
      <c r="A970"/>
      <c r="B970"/>
    </row>
    <row r="971" spans="1:2" ht="15.75" x14ac:dyDescent="0.3">
      <c r="A971"/>
      <c r="B971"/>
    </row>
    <row r="972" spans="1:2" ht="15.75" x14ac:dyDescent="0.3">
      <c r="A972"/>
      <c r="B972"/>
    </row>
    <row r="973" spans="1:2" ht="15.75" x14ac:dyDescent="0.3">
      <c r="A973"/>
      <c r="B973"/>
    </row>
    <row r="974" spans="1:2" ht="15.75" x14ac:dyDescent="0.3">
      <c r="A974"/>
      <c r="B974"/>
    </row>
    <row r="975" spans="1:2" ht="15.75" x14ac:dyDescent="0.3">
      <c r="A975"/>
      <c r="B975"/>
    </row>
    <row r="976" spans="1:2" ht="15.75" x14ac:dyDescent="0.3">
      <c r="A976"/>
      <c r="B976"/>
    </row>
    <row r="977" spans="1:2" ht="15.75" x14ac:dyDescent="0.3">
      <c r="A977"/>
      <c r="B977"/>
    </row>
    <row r="978" spans="1:2" ht="15.75" x14ac:dyDescent="0.3">
      <c r="A978"/>
      <c r="B978"/>
    </row>
    <row r="979" spans="1:2" ht="15.75" x14ac:dyDescent="0.3">
      <c r="A979"/>
      <c r="B979"/>
    </row>
    <row r="980" spans="1:2" ht="15.75" x14ac:dyDescent="0.3">
      <c r="A980"/>
      <c r="B980"/>
    </row>
    <row r="981" spans="1:2" ht="15.75" x14ac:dyDescent="0.3">
      <c r="A981"/>
      <c r="B981"/>
    </row>
    <row r="982" spans="1:2" ht="15.75" x14ac:dyDescent="0.3">
      <c r="A982"/>
      <c r="B982"/>
    </row>
    <row r="983" spans="1:2" ht="15.75" x14ac:dyDescent="0.3">
      <c r="A983"/>
      <c r="B983"/>
    </row>
    <row r="984" spans="1:2" ht="15.75" x14ac:dyDescent="0.3">
      <c r="A984"/>
      <c r="B984"/>
    </row>
    <row r="985" spans="1:2" ht="15.75" x14ac:dyDescent="0.3">
      <c r="A985"/>
      <c r="B985"/>
    </row>
    <row r="986" spans="1:2" ht="15.75" x14ac:dyDescent="0.3">
      <c r="A986"/>
      <c r="B986"/>
    </row>
    <row r="987" spans="1:2" ht="15.75" x14ac:dyDescent="0.3">
      <c r="A987"/>
      <c r="B987"/>
    </row>
    <row r="988" spans="1:2" ht="15.75" x14ac:dyDescent="0.3">
      <c r="A988"/>
      <c r="B988"/>
    </row>
    <row r="989" spans="1:2" ht="15.75" x14ac:dyDescent="0.3">
      <c r="A989"/>
      <c r="B989"/>
    </row>
    <row r="990" spans="1:2" ht="15.75" x14ac:dyDescent="0.3">
      <c r="A990"/>
      <c r="B990"/>
    </row>
    <row r="991" spans="1:2" ht="15.75" x14ac:dyDescent="0.3">
      <c r="A991"/>
      <c r="B991"/>
    </row>
    <row r="992" spans="1:2" ht="15.75" x14ac:dyDescent="0.3">
      <c r="A992"/>
      <c r="B992"/>
    </row>
    <row r="993" spans="1:2" ht="15.75" x14ac:dyDescent="0.3">
      <c r="A993"/>
      <c r="B993"/>
    </row>
    <row r="994" spans="1:2" ht="15.75" x14ac:dyDescent="0.3">
      <c r="A994"/>
      <c r="B994"/>
    </row>
    <row r="995" spans="1:2" ht="15.75" x14ac:dyDescent="0.3">
      <c r="A995"/>
      <c r="B995"/>
    </row>
    <row r="996" spans="1:2" ht="15.75" x14ac:dyDescent="0.3">
      <c r="A996"/>
      <c r="B996"/>
    </row>
    <row r="997" spans="1:2" ht="15.75" x14ac:dyDescent="0.3">
      <c r="A997"/>
      <c r="B997"/>
    </row>
    <row r="998" spans="1:2" ht="15.75" x14ac:dyDescent="0.3">
      <c r="A998"/>
      <c r="B998"/>
    </row>
    <row r="999" spans="1:2" ht="15.75" x14ac:dyDescent="0.3">
      <c r="A999"/>
      <c r="B999"/>
    </row>
    <row r="1000" spans="1:2" ht="15.75" x14ac:dyDescent="0.3">
      <c r="A1000"/>
      <c r="B1000"/>
    </row>
    <row r="1001" spans="1:2" ht="15.75" x14ac:dyDescent="0.3">
      <c r="A1001"/>
      <c r="B1001"/>
    </row>
    <row r="1002" spans="1:2" ht="15.75" x14ac:dyDescent="0.3">
      <c r="A1002"/>
      <c r="B1002"/>
    </row>
    <row r="1003" spans="1:2" ht="15.75" x14ac:dyDescent="0.3">
      <c r="A1003"/>
      <c r="B1003"/>
    </row>
    <row r="1004" spans="1:2" ht="15.75" x14ac:dyDescent="0.3">
      <c r="A1004"/>
      <c r="B1004"/>
    </row>
    <row r="1005" spans="1:2" ht="15.75" x14ac:dyDescent="0.3">
      <c r="A1005"/>
      <c r="B1005"/>
    </row>
    <row r="1006" spans="1:2" ht="15.75" x14ac:dyDescent="0.3">
      <c r="A1006"/>
      <c r="B1006"/>
    </row>
    <row r="1007" spans="1:2" ht="15.75" x14ac:dyDescent="0.3">
      <c r="A1007"/>
      <c r="B1007"/>
    </row>
    <row r="1008" spans="1:2" ht="15.75" x14ac:dyDescent="0.3">
      <c r="A1008"/>
      <c r="B1008"/>
    </row>
    <row r="1009" spans="1:2" ht="15.75" x14ac:dyDescent="0.3">
      <c r="A1009"/>
      <c r="B1009"/>
    </row>
    <row r="1010" spans="1:2" ht="15.75" x14ac:dyDescent="0.3">
      <c r="A1010"/>
      <c r="B1010"/>
    </row>
    <row r="1011" spans="1:2" ht="15.75" x14ac:dyDescent="0.3">
      <c r="A1011"/>
      <c r="B1011"/>
    </row>
    <row r="1012" spans="1:2" ht="15.75" x14ac:dyDescent="0.3">
      <c r="A1012"/>
      <c r="B1012"/>
    </row>
    <row r="1013" spans="1:2" ht="15.75" x14ac:dyDescent="0.3">
      <c r="A1013"/>
      <c r="B1013"/>
    </row>
    <row r="1014" spans="1:2" ht="15.75" x14ac:dyDescent="0.3">
      <c r="A1014"/>
      <c r="B1014"/>
    </row>
    <row r="1015" spans="1:2" ht="15.75" x14ac:dyDescent="0.3">
      <c r="A1015"/>
      <c r="B1015"/>
    </row>
    <row r="1016" spans="1:2" ht="15.75" x14ac:dyDescent="0.3">
      <c r="A1016"/>
      <c r="B1016"/>
    </row>
    <row r="1017" spans="1:2" ht="15.75" x14ac:dyDescent="0.3">
      <c r="A1017"/>
      <c r="B1017"/>
    </row>
    <row r="1018" spans="1:2" ht="15.75" x14ac:dyDescent="0.3">
      <c r="A1018"/>
      <c r="B1018"/>
    </row>
    <row r="1019" spans="1:2" ht="15.75" x14ac:dyDescent="0.3">
      <c r="A1019"/>
      <c r="B1019"/>
    </row>
    <row r="1020" spans="1:2" ht="15.75" x14ac:dyDescent="0.3">
      <c r="A1020"/>
      <c r="B1020"/>
    </row>
    <row r="1021" spans="1:2" ht="15.75" x14ac:dyDescent="0.3">
      <c r="A1021"/>
      <c r="B1021"/>
    </row>
    <row r="1022" spans="1:2" ht="15.75" x14ac:dyDescent="0.3">
      <c r="A1022"/>
      <c r="B1022"/>
    </row>
    <row r="1023" spans="1:2" ht="15.75" x14ac:dyDescent="0.3">
      <c r="A1023"/>
      <c r="B1023"/>
    </row>
    <row r="1024" spans="1:2" ht="15.75" x14ac:dyDescent="0.3">
      <c r="A1024"/>
      <c r="B1024"/>
    </row>
    <row r="1025" spans="1:2" ht="15.75" x14ac:dyDescent="0.3">
      <c r="A1025"/>
      <c r="B1025"/>
    </row>
    <row r="1026" spans="1:2" ht="15.75" x14ac:dyDescent="0.3">
      <c r="A1026"/>
      <c r="B1026"/>
    </row>
    <row r="1027" spans="1:2" ht="15.75" x14ac:dyDescent="0.3">
      <c r="A1027"/>
      <c r="B1027"/>
    </row>
    <row r="1028" spans="1:2" ht="15.75" x14ac:dyDescent="0.3">
      <c r="A1028"/>
      <c r="B1028"/>
    </row>
    <row r="1029" spans="1:2" ht="15.75" x14ac:dyDescent="0.3">
      <c r="A1029"/>
      <c r="B1029"/>
    </row>
    <row r="1030" spans="1:2" ht="15.75" x14ac:dyDescent="0.3">
      <c r="A1030"/>
      <c r="B1030"/>
    </row>
    <row r="1031" spans="1:2" ht="15.75" x14ac:dyDescent="0.3">
      <c r="A1031"/>
      <c r="B1031"/>
    </row>
    <row r="1032" spans="1:2" ht="15.75" x14ac:dyDescent="0.3">
      <c r="A1032"/>
      <c r="B1032"/>
    </row>
    <row r="1033" spans="1:2" ht="15.75" x14ac:dyDescent="0.3">
      <c r="A1033"/>
      <c r="B1033"/>
    </row>
    <row r="1034" spans="1:2" ht="15.75" x14ac:dyDescent="0.3">
      <c r="A1034"/>
      <c r="B1034"/>
    </row>
    <row r="1035" spans="1:2" ht="15.75" x14ac:dyDescent="0.3">
      <c r="A1035"/>
      <c r="B1035"/>
    </row>
    <row r="1036" spans="1:2" ht="15.75" x14ac:dyDescent="0.3">
      <c r="A1036"/>
      <c r="B1036"/>
    </row>
    <row r="1037" spans="1:2" ht="15.75" x14ac:dyDescent="0.3">
      <c r="A1037"/>
      <c r="B1037"/>
    </row>
    <row r="1038" spans="1:2" ht="15.75" x14ac:dyDescent="0.3">
      <c r="A1038"/>
      <c r="B1038"/>
    </row>
    <row r="1039" spans="1:2" ht="15.75" x14ac:dyDescent="0.3">
      <c r="A1039"/>
      <c r="B1039"/>
    </row>
    <row r="1040" spans="1:2" ht="15.75" x14ac:dyDescent="0.3">
      <c r="A1040"/>
      <c r="B1040"/>
    </row>
    <row r="1041" spans="1:2" ht="15.75" x14ac:dyDescent="0.3">
      <c r="A1041"/>
      <c r="B1041"/>
    </row>
    <row r="1042" spans="1:2" ht="15.75" x14ac:dyDescent="0.3">
      <c r="A1042"/>
      <c r="B1042"/>
    </row>
    <row r="1043" spans="1:2" ht="15.75" x14ac:dyDescent="0.3">
      <c r="A1043"/>
      <c r="B1043"/>
    </row>
    <row r="1044" spans="1:2" ht="15.75" x14ac:dyDescent="0.3">
      <c r="A1044"/>
      <c r="B1044"/>
    </row>
    <row r="1045" spans="1:2" ht="15.75" x14ac:dyDescent="0.3">
      <c r="A1045"/>
      <c r="B1045"/>
    </row>
    <row r="1046" spans="1:2" ht="15.75" x14ac:dyDescent="0.3">
      <c r="A1046"/>
      <c r="B1046"/>
    </row>
    <row r="1047" spans="1:2" ht="15.75" x14ac:dyDescent="0.3">
      <c r="A1047"/>
      <c r="B1047"/>
    </row>
    <row r="1048" spans="1:2" ht="15.75" x14ac:dyDescent="0.3">
      <c r="A1048"/>
      <c r="B1048"/>
    </row>
    <row r="1049" spans="1:2" ht="15.75" x14ac:dyDescent="0.3">
      <c r="A1049"/>
      <c r="B1049"/>
    </row>
    <row r="1050" spans="1:2" ht="15.75" x14ac:dyDescent="0.3">
      <c r="A1050"/>
      <c r="B1050"/>
    </row>
    <row r="1051" spans="1:2" ht="15.75" x14ac:dyDescent="0.3">
      <c r="A1051"/>
      <c r="B1051"/>
    </row>
    <row r="1052" spans="1:2" ht="15.75" x14ac:dyDescent="0.3">
      <c r="A1052"/>
      <c r="B1052"/>
    </row>
    <row r="1053" spans="1:2" ht="15.75" x14ac:dyDescent="0.3">
      <c r="A1053"/>
      <c r="B1053"/>
    </row>
    <row r="1054" spans="1:2" ht="15.75" x14ac:dyDescent="0.3">
      <c r="A1054"/>
      <c r="B1054"/>
    </row>
    <row r="1055" spans="1:2" ht="15.75" x14ac:dyDescent="0.3">
      <c r="A1055"/>
      <c r="B1055"/>
    </row>
    <row r="1056" spans="1:2" ht="15.75" x14ac:dyDescent="0.3">
      <c r="A1056"/>
      <c r="B1056"/>
    </row>
    <row r="1057" spans="1:2" ht="15.75" x14ac:dyDescent="0.3">
      <c r="A1057"/>
      <c r="B1057"/>
    </row>
    <row r="1058" spans="1:2" ht="15.75" x14ac:dyDescent="0.3">
      <c r="A1058"/>
      <c r="B1058"/>
    </row>
    <row r="1059" spans="1:2" ht="15.75" x14ac:dyDescent="0.3">
      <c r="A1059"/>
      <c r="B1059"/>
    </row>
    <row r="1060" spans="1:2" ht="15.75" x14ac:dyDescent="0.3">
      <c r="A1060"/>
      <c r="B1060"/>
    </row>
    <row r="1061" spans="1:2" ht="15.75" x14ac:dyDescent="0.3">
      <c r="A1061"/>
      <c r="B1061"/>
    </row>
    <row r="1062" spans="1:2" ht="15.75" x14ac:dyDescent="0.3">
      <c r="A1062"/>
      <c r="B1062"/>
    </row>
    <row r="1063" spans="1:2" ht="15.75" x14ac:dyDescent="0.3">
      <c r="A1063"/>
      <c r="B1063"/>
    </row>
    <row r="1064" spans="1:2" ht="15.75" x14ac:dyDescent="0.3">
      <c r="A1064"/>
      <c r="B1064"/>
    </row>
    <row r="1065" spans="1:2" ht="15.75" x14ac:dyDescent="0.3">
      <c r="A1065"/>
      <c r="B1065"/>
    </row>
    <row r="1066" spans="1:2" ht="15.75" x14ac:dyDescent="0.3">
      <c r="A1066"/>
      <c r="B1066"/>
    </row>
    <row r="1067" spans="1:2" ht="15.75" x14ac:dyDescent="0.3">
      <c r="A1067"/>
      <c r="B1067"/>
    </row>
    <row r="1068" spans="1:2" ht="15.75" x14ac:dyDescent="0.3">
      <c r="A1068"/>
      <c r="B1068"/>
    </row>
    <row r="1069" spans="1:2" ht="15.75" x14ac:dyDescent="0.3">
      <c r="A1069"/>
      <c r="B1069"/>
    </row>
    <row r="1070" spans="1:2" ht="15.75" x14ac:dyDescent="0.3">
      <c r="A1070"/>
      <c r="B1070"/>
    </row>
    <row r="1071" spans="1:2" ht="15.75" x14ac:dyDescent="0.3">
      <c r="A1071"/>
      <c r="B1071"/>
    </row>
    <row r="1072" spans="1:2" ht="15.75" x14ac:dyDescent="0.3">
      <c r="A1072"/>
      <c r="B1072"/>
    </row>
    <row r="1073" spans="1:2" ht="15.75" x14ac:dyDescent="0.3">
      <c r="A1073"/>
      <c r="B1073"/>
    </row>
    <row r="1074" spans="1:2" ht="15.75" x14ac:dyDescent="0.3">
      <c r="A1074"/>
      <c r="B1074"/>
    </row>
    <row r="1075" spans="1:2" ht="15.75" x14ac:dyDescent="0.3">
      <c r="A1075"/>
      <c r="B1075"/>
    </row>
    <row r="1076" spans="1:2" ht="15.75" x14ac:dyDescent="0.3">
      <c r="A1076"/>
      <c r="B1076"/>
    </row>
    <row r="1077" spans="1:2" ht="15.75" x14ac:dyDescent="0.3">
      <c r="A1077"/>
      <c r="B1077"/>
    </row>
    <row r="1078" spans="1:2" ht="15.75" x14ac:dyDescent="0.3">
      <c r="A1078"/>
      <c r="B1078"/>
    </row>
    <row r="1079" spans="1:2" ht="15.75" x14ac:dyDescent="0.3">
      <c r="A1079"/>
      <c r="B1079"/>
    </row>
    <row r="1080" spans="1:2" ht="15.75" x14ac:dyDescent="0.3">
      <c r="A1080"/>
      <c r="B1080"/>
    </row>
    <row r="1081" spans="1:2" ht="15.75" x14ac:dyDescent="0.3">
      <c r="A1081"/>
      <c r="B1081"/>
    </row>
    <row r="1082" spans="1:2" ht="15.75" x14ac:dyDescent="0.3">
      <c r="A1082"/>
      <c r="B1082"/>
    </row>
    <row r="1083" spans="1:2" ht="15.75" x14ac:dyDescent="0.3">
      <c r="A1083"/>
      <c r="B1083"/>
    </row>
    <row r="1084" spans="1:2" ht="15.75" x14ac:dyDescent="0.3">
      <c r="A1084"/>
      <c r="B1084"/>
    </row>
    <row r="1085" spans="1:2" ht="15.75" x14ac:dyDescent="0.3">
      <c r="A1085"/>
      <c r="B1085"/>
    </row>
    <row r="1086" spans="1:2" ht="15.75" x14ac:dyDescent="0.3">
      <c r="A1086"/>
      <c r="B1086"/>
    </row>
    <row r="1087" spans="1:2" ht="15.75" x14ac:dyDescent="0.3">
      <c r="A1087"/>
      <c r="B1087"/>
    </row>
    <row r="1088" spans="1:2" ht="15.75" x14ac:dyDescent="0.3">
      <c r="A1088"/>
      <c r="B1088"/>
    </row>
    <row r="1089" spans="1:2" ht="15.75" x14ac:dyDescent="0.3">
      <c r="A1089"/>
      <c r="B1089"/>
    </row>
    <row r="1090" spans="1:2" ht="15.75" x14ac:dyDescent="0.3">
      <c r="A1090"/>
      <c r="B1090"/>
    </row>
    <row r="1091" spans="1:2" ht="15.75" x14ac:dyDescent="0.3">
      <c r="A1091"/>
      <c r="B1091"/>
    </row>
    <row r="1092" spans="1:2" ht="15.75" x14ac:dyDescent="0.3">
      <c r="A1092"/>
      <c r="B1092"/>
    </row>
    <row r="1093" spans="1:2" ht="15.75" x14ac:dyDescent="0.3">
      <c r="A1093"/>
      <c r="B1093"/>
    </row>
    <row r="1094" spans="1:2" ht="15.75" x14ac:dyDescent="0.3">
      <c r="A1094"/>
      <c r="B1094"/>
    </row>
    <row r="1095" spans="1:2" ht="15.75" x14ac:dyDescent="0.3">
      <c r="A1095"/>
      <c r="B1095"/>
    </row>
    <row r="1096" spans="1:2" ht="15.75" x14ac:dyDescent="0.3">
      <c r="A1096"/>
      <c r="B1096"/>
    </row>
    <row r="1097" spans="1:2" ht="15.75" x14ac:dyDescent="0.3">
      <c r="A1097"/>
      <c r="B1097"/>
    </row>
    <row r="1098" spans="1:2" ht="15.75" x14ac:dyDescent="0.3">
      <c r="A1098"/>
      <c r="B1098"/>
    </row>
    <row r="1099" spans="1:2" ht="15.75" x14ac:dyDescent="0.3">
      <c r="A1099"/>
      <c r="B1099"/>
    </row>
    <row r="1100" spans="1:2" ht="15.75" x14ac:dyDescent="0.3">
      <c r="A1100"/>
      <c r="B1100"/>
    </row>
    <row r="1101" spans="1:2" ht="15.75" x14ac:dyDescent="0.3">
      <c r="A1101"/>
      <c r="B1101"/>
    </row>
    <row r="1102" spans="1:2" ht="15.75" x14ac:dyDescent="0.3">
      <c r="A1102"/>
      <c r="B1102"/>
    </row>
    <row r="1103" spans="1:2" ht="15.75" x14ac:dyDescent="0.3">
      <c r="A1103"/>
      <c r="B1103"/>
    </row>
    <row r="1104" spans="1:2" ht="15.75" x14ac:dyDescent="0.3">
      <c r="A1104"/>
      <c r="B1104"/>
    </row>
    <row r="1105" spans="1:2" ht="15.75" x14ac:dyDescent="0.3">
      <c r="A1105"/>
      <c r="B1105"/>
    </row>
    <row r="1106" spans="1:2" ht="15.75" x14ac:dyDescent="0.3">
      <c r="A1106"/>
      <c r="B1106"/>
    </row>
    <row r="1107" spans="1:2" ht="15.75" x14ac:dyDescent="0.3">
      <c r="A1107"/>
      <c r="B1107"/>
    </row>
    <row r="1108" spans="1:2" ht="15.75" x14ac:dyDescent="0.3">
      <c r="A1108"/>
      <c r="B1108"/>
    </row>
    <row r="1109" spans="1:2" ht="15.75" x14ac:dyDescent="0.3">
      <c r="A1109"/>
      <c r="B1109"/>
    </row>
    <row r="1110" spans="1:2" ht="15.75" x14ac:dyDescent="0.3">
      <c r="A1110"/>
      <c r="B1110"/>
    </row>
    <row r="1111" spans="1:2" ht="15.75" x14ac:dyDescent="0.3">
      <c r="A1111"/>
      <c r="B1111"/>
    </row>
    <row r="1112" spans="1:2" ht="15.75" x14ac:dyDescent="0.3">
      <c r="A1112"/>
      <c r="B1112"/>
    </row>
    <row r="1113" spans="1:2" ht="15.75" x14ac:dyDescent="0.3">
      <c r="A1113"/>
      <c r="B1113"/>
    </row>
    <row r="1114" spans="1:2" ht="15.75" x14ac:dyDescent="0.3">
      <c r="A1114"/>
      <c r="B1114"/>
    </row>
    <row r="1115" spans="1:2" ht="15.75" x14ac:dyDescent="0.3">
      <c r="A1115"/>
      <c r="B1115"/>
    </row>
    <row r="1116" spans="1:2" ht="15.75" x14ac:dyDescent="0.3">
      <c r="A1116"/>
      <c r="B1116"/>
    </row>
    <row r="1117" spans="1:2" ht="15.75" x14ac:dyDescent="0.3">
      <c r="A1117"/>
      <c r="B1117"/>
    </row>
    <row r="1118" spans="1:2" ht="15.75" x14ac:dyDescent="0.3">
      <c r="A1118"/>
      <c r="B1118"/>
    </row>
    <row r="1119" spans="1:2" ht="15.75" x14ac:dyDescent="0.3">
      <c r="A1119"/>
      <c r="B1119"/>
    </row>
    <row r="1120" spans="1:2" ht="15.75" x14ac:dyDescent="0.3">
      <c r="A1120"/>
      <c r="B1120"/>
    </row>
    <row r="1121" spans="1:2" ht="15.75" x14ac:dyDescent="0.3">
      <c r="A1121"/>
      <c r="B1121"/>
    </row>
    <row r="1122" spans="1:2" ht="15.75" x14ac:dyDescent="0.3">
      <c r="A1122"/>
      <c r="B1122"/>
    </row>
    <row r="1123" spans="1:2" ht="15.75" x14ac:dyDescent="0.3">
      <c r="A1123"/>
      <c r="B1123"/>
    </row>
    <row r="1124" spans="1:2" ht="15.75" x14ac:dyDescent="0.3">
      <c r="A1124"/>
      <c r="B1124"/>
    </row>
    <row r="1125" spans="1:2" ht="15.75" x14ac:dyDescent="0.3">
      <c r="A1125"/>
      <c r="B1125"/>
    </row>
    <row r="1126" spans="1:2" ht="15.75" x14ac:dyDescent="0.3">
      <c r="A1126"/>
      <c r="B1126"/>
    </row>
    <row r="1127" spans="1:2" ht="15.75" x14ac:dyDescent="0.3">
      <c r="A1127"/>
      <c r="B1127"/>
    </row>
    <row r="1128" spans="1:2" ht="15.75" x14ac:dyDescent="0.3">
      <c r="A1128"/>
      <c r="B1128"/>
    </row>
    <row r="1129" spans="1:2" ht="15.75" x14ac:dyDescent="0.3">
      <c r="A1129"/>
      <c r="B1129"/>
    </row>
    <row r="1130" spans="1:2" ht="15.75" x14ac:dyDescent="0.3">
      <c r="A1130"/>
      <c r="B1130"/>
    </row>
    <row r="1131" spans="1:2" ht="15.75" x14ac:dyDescent="0.3">
      <c r="A1131"/>
      <c r="B1131"/>
    </row>
    <row r="1132" spans="1:2" ht="15.75" x14ac:dyDescent="0.3">
      <c r="A1132"/>
      <c r="B1132"/>
    </row>
    <row r="1133" spans="1:2" ht="15.75" x14ac:dyDescent="0.3">
      <c r="A1133"/>
      <c r="B1133"/>
    </row>
    <row r="1134" spans="1:2" ht="15.75" x14ac:dyDescent="0.3">
      <c r="A1134"/>
      <c r="B1134"/>
    </row>
    <row r="1135" spans="1:2" ht="15.75" x14ac:dyDescent="0.3">
      <c r="A1135"/>
      <c r="B1135"/>
    </row>
    <row r="1136" spans="1:2" ht="15.75" x14ac:dyDescent="0.3">
      <c r="A1136"/>
      <c r="B1136"/>
    </row>
    <row r="1137" spans="1:2" ht="15.75" x14ac:dyDescent="0.3">
      <c r="A1137"/>
      <c r="B1137"/>
    </row>
    <row r="1138" spans="1:2" ht="15.75" x14ac:dyDescent="0.3">
      <c r="A1138"/>
      <c r="B1138"/>
    </row>
    <row r="1139" spans="1:2" ht="15.75" x14ac:dyDescent="0.3">
      <c r="A1139"/>
      <c r="B1139"/>
    </row>
    <row r="1140" spans="1:2" ht="15.75" x14ac:dyDescent="0.3">
      <c r="A1140"/>
      <c r="B1140"/>
    </row>
    <row r="1141" spans="1:2" ht="15.75" x14ac:dyDescent="0.3">
      <c r="A1141"/>
      <c r="B1141"/>
    </row>
    <row r="1142" spans="1:2" ht="15.75" x14ac:dyDescent="0.3">
      <c r="A1142"/>
      <c r="B1142"/>
    </row>
    <row r="1143" spans="1:2" ht="15.75" x14ac:dyDescent="0.3">
      <c r="A1143"/>
      <c r="B1143"/>
    </row>
    <row r="1144" spans="1:2" ht="15.75" x14ac:dyDescent="0.3">
      <c r="A1144"/>
      <c r="B1144"/>
    </row>
    <row r="1145" spans="1:2" ht="15.75" x14ac:dyDescent="0.3">
      <c r="A1145"/>
      <c r="B1145"/>
    </row>
    <row r="1146" spans="1:2" ht="15.75" x14ac:dyDescent="0.3">
      <c r="A1146"/>
      <c r="B1146"/>
    </row>
    <row r="1147" spans="1:2" ht="15.75" x14ac:dyDescent="0.3">
      <c r="A1147"/>
      <c r="B1147"/>
    </row>
    <row r="1148" spans="1:2" ht="15.75" x14ac:dyDescent="0.3">
      <c r="A1148"/>
      <c r="B1148"/>
    </row>
    <row r="1149" spans="1:2" ht="15.75" x14ac:dyDescent="0.3">
      <c r="A1149"/>
      <c r="B1149"/>
    </row>
    <row r="1150" spans="1:2" ht="15.75" x14ac:dyDescent="0.3">
      <c r="A1150"/>
      <c r="B1150"/>
    </row>
    <row r="1151" spans="1:2" ht="15.75" x14ac:dyDescent="0.3">
      <c r="A1151"/>
      <c r="B1151"/>
    </row>
    <row r="1152" spans="1:2" ht="15.75" x14ac:dyDescent="0.3">
      <c r="A1152"/>
      <c r="B1152"/>
    </row>
    <row r="1153" spans="1:2" ht="15.75" x14ac:dyDescent="0.3">
      <c r="A1153"/>
      <c r="B1153"/>
    </row>
    <row r="1154" spans="1:2" ht="15.75" x14ac:dyDescent="0.3">
      <c r="A1154"/>
      <c r="B1154"/>
    </row>
    <row r="1155" spans="1:2" ht="15.75" x14ac:dyDescent="0.3">
      <c r="A1155"/>
      <c r="B1155"/>
    </row>
    <row r="1156" spans="1:2" ht="15.75" x14ac:dyDescent="0.3">
      <c r="A1156"/>
      <c r="B1156"/>
    </row>
    <row r="1157" spans="1:2" ht="15.75" x14ac:dyDescent="0.3">
      <c r="A1157"/>
      <c r="B1157"/>
    </row>
    <row r="1158" spans="1:2" ht="15.75" x14ac:dyDescent="0.3">
      <c r="A1158"/>
      <c r="B1158"/>
    </row>
    <row r="1159" spans="1:2" ht="15.75" x14ac:dyDescent="0.3">
      <c r="A1159"/>
      <c r="B1159"/>
    </row>
    <row r="1160" spans="1:2" ht="15.75" x14ac:dyDescent="0.3">
      <c r="A1160"/>
      <c r="B1160"/>
    </row>
    <row r="1161" spans="1:2" ht="15.75" x14ac:dyDescent="0.3">
      <c r="A1161"/>
      <c r="B1161"/>
    </row>
    <row r="1162" spans="1:2" ht="15.75" x14ac:dyDescent="0.3">
      <c r="A1162"/>
      <c r="B1162"/>
    </row>
    <row r="1163" spans="1:2" ht="15.75" x14ac:dyDescent="0.3">
      <c r="A1163"/>
      <c r="B1163"/>
    </row>
    <row r="1164" spans="1:2" ht="15.75" x14ac:dyDescent="0.3">
      <c r="A1164"/>
      <c r="B1164"/>
    </row>
    <row r="1165" spans="1:2" ht="15.75" x14ac:dyDescent="0.3">
      <c r="A1165"/>
      <c r="B1165"/>
    </row>
    <row r="1166" spans="1:2" ht="15.75" x14ac:dyDescent="0.3">
      <c r="A1166"/>
      <c r="B1166"/>
    </row>
    <row r="1167" spans="1:2" ht="15.75" x14ac:dyDescent="0.3">
      <c r="A1167"/>
      <c r="B1167"/>
    </row>
    <row r="1168" spans="1:2" ht="15.75" x14ac:dyDescent="0.3">
      <c r="A1168"/>
      <c r="B1168"/>
    </row>
  </sheetData>
  <mergeCells count="8">
    <mergeCell ref="F185:I194"/>
    <mergeCell ref="A195:C195"/>
    <mergeCell ref="A1:P1"/>
    <mergeCell ref="A3:P3"/>
    <mergeCell ref="C4:I4"/>
    <mergeCell ref="J4:P4"/>
    <mergeCell ref="A180:D180"/>
    <mergeCell ref="F180:H18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FINAL SHEET</vt:lpstr>
      <vt:lpstr>SMRE</vt:lpstr>
      <vt:lpstr>WASHING</vt:lpstr>
      <vt:lpstr>VAS RAW</vt:lpstr>
      <vt:lpstr>VAS INC</vt:lpstr>
      <vt:lpstr>MCP</vt:lpstr>
      <vt:lpstr>CERAMIC</vt:lpstr>
      <vt:lpstr>OILS &amp; BATTERYS</vt:lpstr>
      <vt:lpstr>ACCESS DMS DATA</vt:lpstr>
      <vt:lpstr>ACCESS SUMMARY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2025-07-30T11:38:25Z</dcterms:modified>
</cp:coreProperties>
</file>