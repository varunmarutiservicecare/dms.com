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MIN\Desktop\"/>
    </mc:Choice>
  </mc:AlternateContent>
  <bookViews>
    <workbookView xWindow="0" yWindow="0" windowWidth="15600" windowHeight="9045"/>
  </bookViews>
  <sheets>
    <sheet name="SHAREEF" sheetId="3" r:id="rId1"/>
    <sheet name="Carry Over Ratio" sheetId="4" r:id="rId2"/>
    <sheet name="Sheet1" sheetId="5" r:id="rId3"/>
    <sheet name="Sheet4" sheetId="8" r:id="rId4"/>
    <sheet name="Sheet2" sheetId="6" r:id="rId5"/>
    <sheet name="Sheet3" sheetId="7" r:id="rId6"/>
  </sheets>
  <functionGroups builtInGroupCount="18"/>
  <definedNames>
    <definedName name="_xlnm._FilterDatabase" localSheetId="1" hidden="1">'Carry Over Ratio'!#REF!</definedName>
    <definedName name="_xlnm.Extract" localSheetId="1">'Carry Over Ratio'!#REF!</definedName>
  </definedNames>
  <calcPr calcId="162913"/>
</workbook>
</file>

<file path=xl/calcChain.xml><?xml version="1.0" encoding="utf-8"?>
<calcChain xmlns="http://schemas.openxmlformats.org/spreadsheetml/2006/main">
  <c r="P3" i="6" l="1"/>
  <c r="F5" i="6"/>
  <c r="Q10" i="6" s="1"/>
  <c r="F6" i="6"/>
  <c r="I5" i="6"/>
  <c r="P10" i="6"/>
  <c r="J16" i="6" l="1"/>
  <c r="F16" i="6" l="1"/>
  <c r="G16" i="6" s="1"/>
  <c r="S16" i="6"/>
  <c r="S6" i="6"/>
  <c r="S5" i="6"/>
  <c r="C11" i="8" l="1"/>
  <c r="H11" i="5" l="1"/>
  <c r="G11" i="5"/>
  <c r="F11" i="5"/>
  <c r="J11" i="5" l="1"/>
  <c r="J6" i="5"/>
  <c r="P9" i="5" s="1"/>
  <c r="R18" i="5" l="1"/>
  <c r="I5" i="5" l="1"/>
  <c r="K5" i="5"/>
  <c r="O6" i="5" l="1"/>
  <c r="P16" i="6" l="1"/>
  <c r="K16" i="6"/>
  <c r="L6" i="6" l="1"/>
  <c r="S17" i="5" l="1"/>
  <c r="P16" i="5" l="1"/>
  <c r="P11" i="6" l="1"/>
  <c r="G10" i="6"/>
  <c r="G11" i="6"/>
  <c r="V9" i="7" l="1"/>
  <c r="W9" i="7" s="1"/>
  <c r="S9" i="7"/>
  <c r="V6" i="7"/>
  <c r="S6" i="7"/>
  <c r="T6" i="7" s="1"/>
  <c r="U8" i="7"/>
  <c r="AB15" i="7"/>
  <c r="AA15" i="7"/>
  <c r="W15" i="7"/>
  <c r="T15" i="7"/>
  <c r="AB14" i="7"/>
  <c r="AA14" i="7"/>
  <c r="W14" i="7"/>
  <c r="T14" i="7"/>
  <c r="AB13" i="7"/>
  <c r="AA13" i="7"/>
  <c r="W13" i="7"/>
  <c r="T13" i="7"/>
  <c r="AB12" i="7"/>
  <c r="AA12" i="7"/>
  <c r="W12" i="7"/>
  <c r="T12" i="7"/>
  <c r="AB11" i="7"/>
  <c r="AA11" i="7"/>
  <c r="W11" i="7"/>
  <c r="T11" i="7"/>
  <c r="AA10" i="7"/>
  <c r="AC10" i="7" s="1"/>
  <c r="W10" i="7"/>
  <c r="T10" i="7"/>
  <c r="AA9" i="7"/>
  <c r="R8" i="7"/>
  <c r="AB7" i="7"/>
  <c r="AA7" i="7"/>
  <c r="W7" i="7"/>
  <c r="T7" i="7"/>
  <c r="AA6" i="7"/>
  <c r="S8" i="7" l="1"/>
  <c r="T8" i="7" s="1"/>
  <c r="AB6" i="7"/>
  <c r="AB8" i="7" s="1"/>
  <c r="AB9" i="7"/>
  <c r="AC9" i="7" s="1"/>
  <c r="W6" i="7"/>
  <c r="V8" i="7"/>
  <c r="W8" i="7" s="1"/>
  <c r="T9" i="7"/>
  <c r="AC12" i="7"/>
  <c r="AA8" i="7"/>
  <c r="AC7" i="7"/>
  <c r="AC15" i="7"/>
  <c r="AC14" i="7"/>
  <c r="AC13" i="7"/>
  <c r="AC11" i="7"/>
  <c r="O6" i="6"/>
  <c r="P6" i="6" s="1"/>
  <c r="O5" i="6"/>
  <c r="P5" i="6" s="1"/>
  <c r="M6" i="6"/>
  <c r="L5" i="6"/>
  <c r="M5" i="6" s="1"/>
  <c r="I6" i="6"/>
  <c r="J6" i="6" s="1"/>
  <c r="J5" i="6"/>
  <c r="Q11" i="6"/>
  <c r="H10" i="6" l="1"/>
  <c r="G5" i="6"/>
  <c r="G6" i="6"/>
  <c r="H11" i="6"/>
  <c r="AC6" i="7"/>
  <c r="R16" i="7"/>
  <c r="U16" i="7"/>
  <c r="AC8" i="7"/>
  <c r="J23" i="5" l="1"/>
  <c r="N11" i="5"/>
  <c r="N12" i="5" l="1"/>
  <c r="N5" i="5" l="1"/>
  <c r="H12" i="5"/>
  <c r="G12" i="5"/>
  <c r="F12" i="5"/>
  <c r="F5" i="5" s="1"/>
  <c r="J12" i="5" l="1"/>
  <c r="J5" i="5" s="1"/>
  <c r="H5" i="5"/>
  <c r="G5" i="5"/>
</calcChain>
</file>

<file path=xl/sharedStrings.xml><?xml version="1.0" encoding="utf-8"?>
<sst xmlns="http://schemas.openxmlformats.org/spreadsheetml/2006/main" count="7099" uniqueCount="2118">
  <si>
    <t>ARENA</t>
  </si>
  <si>
    <t>NEXA</t>
  </si>
  <si>
    <t>FSC</t>
  </si>
  <si>
    <t>PMS</t>
  </si>
  <si>
    <t>RR</t>
  </si>
  <si>
    <t>LOAD</t>
  </si>
  <si>
    <t>FPR</t>
  </si>
  <si>
    <t>ADVISORS</t>
  </si>
  <si>
    <t>SUB</t>
  </si>
  <si>
    <t>APP</t>
  </si>
  <si>
    <t>SUB%</t>
  </si>
  <si>
    <t>APP%</t>
  </si>
  <si>
    <t>TOTAL</t>
  </si>
  <si>
    <t>PERCENTAGE</t>
  </si>
  <si>
    <t xml:space="preserve">TOTAL  =  </t>
  </si>
  <si>
    <t>EARNINGS</t>
  </si>
  <si>
    <t>SPARES EARNED</t>
  </si>
  <si>
    <t>LABOUR EARNED</t>
  </si>
  <si>
    <t>TOTAL EARNINGS</t>
  </si>
  <si>
    <t>MUCHI PRASANTH</t>
  </si>
  <si>
    <t>REDDI RAMU</t>
  </si>
  <si>
    <t>RAMESHREDDY P</t>
  </si>
  <si>
    <t>B/S</t>
  </si>
  <si>
    <t>SC</t>
  </si>
  <si>
    <t>SERVICE</t>
  </si>
  <si>
    <t>FREE</t>
  </si>
  <si>
    <t>PAID</t>
  </si>
  <si>
    <t>others</t>
  </si>
  <si>
    <t>BODY SHOP</t>
  </si>
  <si>
    <t>SHOP LOAD</t>
  </si>
  <si>
    <t>LABOUR</t>
  </si>
  <si>
    <t>SERVICE LOAD</t>
  </si>
  <si>
    <t>BODY SHOP LOAD</t>
  </si>
  <si>
    <t xml:space="preserve">ARENA </t>
  </si>
  <si>
    <t xml:space="preserve">NEXA </t>
  </si>
  <si>
    <t xml:space="preserve">SERVICE </t>
  </si>
  <si>
    <t xml:space="preserve">BODY SHOP </t>
  </si>
  <si>
    <t>OTHERS</t>
  </si>
  <si>
    <t>TOTAL LOAD</t>
  </si>
  <si>
    <t>location activated  on :</t>
  </si>
  <si>
    <t>SA NAME</t>
  </si>
  <si>
    <t>RAMESH REDDY</t>
  </si>
  <si>
    <t>PRASANTH</t>
  </si>
  <si>
    <t>SERVICE 
LOAD TGT</t>
  </si>
  <si>
    <t>SERVICE 
LOAD ACH</t>
  </si>
  <si>
    <t>FREE SERVICE 
TGT</t>
  </si>
  <si>
    <t>FREE SERVICE 
ACH</t>
  </si>
  <si>
    <t>PAID TGT</t>
  </si>
  <si>
    <t>PAID ACH</t>
  </si>
  <si>
    <t>RR TGT</t>
  </si>
  <si>
    <t>TGT ACH</t>
  </si>
  <si>
    <t>ACH %</t>
  </si>
  <si>
    <t>1st round</t>
  </si>
  <si>
    <t>YENDADA WORKSHOP TARGET VS ACHIEVEMENT RANKING REPORT(JAN'24)</t>
  </si>
  <si>
    <t>NAMES</t>
  </si>
  <si>
    <t>RAMESH</t>
  </si>
  <si>
    <t>SAI RAJU</t>
  </si>
  <si>
    <t>CHANNEL</t>
  </si>
  <si>
    <t>TARGET</t>
  </si>
  <si>
    <t>ACH</t>
  </si>
  <si>
    <t>%</t>
  </si>
  <si>
    <t>PER CAR</t>
  </si>
  <si>
    <t>PMS(ARENA+NEXA)</t>
  </si>
  <si>
    <t>CEI</t>
  </si>
  <si>
    <t>CCP(RENEWAL)</t>
  </si>
  <si>
    <t>MCP</t>
  </si>
  <si>
    <t>TYRES</t>
  </si>
  <si>
    <t>BATTERIES</t>
  </si>
  <si>
    <t>SYNTHETIC OIL</t>
  </si>
  <si>
    <t>TOTAL ACHIEVEMENT %</t>
  </si>
  <si>
    <t>RANKING STATUS</t>
  </si>
  <si>
    <t>SERVICE 
LABOUR TGT</t>
  </si>
  <si>
    <t>SERVICE 
LABOUR ACH</t>
  </si>
  <si>
    <t>SERVICE LABOUR ACHIVEMENT</t>
  </si>
  <si>
    <t>V.A.S  LABOUR ACHIVEMENT</t>
  </si>
  <si>
    <t>V.A.S 
LABOUR TGT</t>
  </si>
  <si>
    <t>V.A.S 
LABOUR ACH</t>
  </si>
  <si>
    <t>CCP
WITH PMS</t>
  </si>
  <si>
    <t>PER CAR
LABOUR</t>
  </si>
  <si>
    <t>MCP &amp; CCP WITH PMS</t>
  </si>
  <si>
    <t xml:space="preserve">CCP
</t>
  </si>
  <si>
    <t>BODY SHOP
LOAD TGT</t>
  </si>
  <si>
    <t>BODY SHOP
LOAD ACH</t>
  </si>
  <si>
    <t>BODY SHOP
LABOUR TGT</t>
  </si>
  <si>
    <t>BODY SHOP
LABOUR ACH</t>
  </si>
  <si>
    <t>FULL BODY PAINTING &gt; 15 K</t>
  </si>
  <si>
    <t>FULL BODY
ACH</t>
  </si>
  <si>
    <t>FULL BODY
 TGT</t>
  </si>
  <si>
    <t xml:space="preserve"> </t>
  </si>
  <si>
    <t>PROJECTED LOAD &amp; LABOUR IN JUNE</t>
  </si>
  <si>
    <t>YENDADA LOAD &amp; LBOUR REORT AS ON 04-08-2025</t>
  </si>
  <si>
    <t>YENDADA ARENA &amp; NEXA LOAD REPORT AS ON 04-08-2025</t>
  </si>
  <si>
    <r>
      <t xml:space="preserve">YENDADA ARENA &amp; NEXA </t>
    </r>
    <r>
      <rPr>
        <b/>
        <sz val="14"/>
        <color rgb="FFFF0000"/>
        <rFont val="Calibri"/>
        <family val="2"/>
        <scheme val="minor"/>
      </rPr>
      <t>HOLD UP</t>
    </r>
    <r>
      <rPr>
        <b/>
        <sz val="14"/>
        <color theme="1"/>
        <rFont val="Calibri"/>
        <family val="2"/>
        <scheme val="minor"/>
      </rPr>
      <t xml:space="preserve"> REPORT AS ON 04-08-2025</t>
    </r>
  </si>
  <si>
    <t>MARCH</t>
  </si>
  <si>
    <t>APRIL</t>
  </si>
  <si>
    <t>MAY</t>
  </si>
  <si>
    <t>JUNE</t>
  </si>
  <si>
    <t>JULY</t>
  </si>
  <si>
    <t>MONTH</t>
  </si>
  <si>
    <t xml:space="preserve">B/S 2024-2025 </t>
  </si>
  <si>
    <t>AVERAGE</t>
  </si>
  <si>
    <t>YENDADA  BODY SHOP LOAD &amp; LBOUR REORT AS ON AUG ' 2025</t>
  </si>
  <si>
    <t>CERAMIC
TGT</t>
  </si>
  <si>
    <t>CERAMIC
ACH</t>
  </si>
  <si>
    <t>CERAMIC COATING</t>
  </si>
  <si>
    <t>OCAS</t>
  </si>
  <si>
    <t>ADVISOR WISE JOB CARD OPENING STATUS AS ON 02-09-2025 @ 16:47</t>
  </si>
  <si>
    <t>ADVISOR WISE OCA'S STATUS AS ON 16:47</t>
  </si>
  <si>
    <t xml:space="preserve">SEPTEMBER MONTH ADVISOR WISE TARGET SHEET  </t>
  </si>
  <si>
    <t>JobCard Status Report -</t>
  </si>
  <si>
    <t>From Date :</t>
  </si>
  <si>
    <t>To Date :</t>
  </si>
  <si>
    <t>Job Card Status :</t>
  </si>
  <si>
    <t>Billed</t>
  </si>
  <si>
    <t>TECHNICAL ADVISOR :</t>
  </si>
  <si>
    <t>ALL</t>
  </si>
  <si>
    <t>SERVICE TYPE :</t>
  </si>
  <si>
    <t xml:space="preserve"> All Service Types</t>
  </si>
  <si>
    <t>CUSTOMER CATEGORY :</t>
  </si>
  <si>
    <t xml:space="preserve"> ALL</t>
  </si>
  <si>
    <t>srl no</t>
  </si>
  <si>
    <t xml:space="preserve"> Dealer Name</t>
  </si>
  <si>
    <t xml:space="preserve"> Dealer City</t>
  </si>
  <si>
    <t xml:space="preserve"> Location</t>
  </si>
  <si>
    <t xml:space="preserve"> Job Card No</t>
  </si>
  <si>
    <t xml:space="preserve"> JC Date &amp; Time</t>
  </si>
  <si>
    <t xml:space="preserve"> service type</t>
  </si>
  <si>
    <t>Repeat/Revisit</t>
  </si>
  <si>
    <t>Customer Name</t>
  </si>
  <si>
    <t xml:space="preserve"> Phone </t>
  </si>
  <si>
    <t>Mobile No</t>
  </si>
  <si>
    <t xml:space="preserve">Customer Catg. </t>
  </si>
  <si>
    <t>psf_status</t>
  </si>
  <si>
    <t xml:space="preserve"> registration no</t>
  </si>
  <si>
    <t xml:space="preserve"> CHASSIS</t>
  </si>
  <si>
    <t>ENGINE NUM</t>
  </si>
  <si>
    <t>color</t>
  </si>
  <si>
    <t>variant</t>
  </si>
  <si>
    <t>Model</t>
  </si>
  <si>
    <t>mi_yn</t>
  </si>
  <si>
    <t>Sale Date</t>
  </si>
  <si>
    <t>Group</t>
  </si>
  <si>
    <t>S.A</t>
  </si>
  <si>
    <t xml:space="preserve"> Technician</t>
  </si>
  <si>
    <t xml:space="preserve"> Circular No.</t>
  </si>
  <si>
    <t>Service Type</t>
  </si>
  <si>
    <t>Mileage</t>
  </si>
  <si>
    <t>Est.Lab Amt.</t>
  </si>
  <si>
    <t>Est.Part Amt.</t>
  </si>
  <si>
    <t>Promised Dt</t>
  </si>
  <si>
    <t>Rev. Promised Dt.</t>
  </si>
  <si>
    <t>Ready Date &amp; Time</t>
  </si>
  <si>
    <t>Rev. Est.Part Amt</t>
  </si>
  <si>
    <t>Rev Est Lab Amt</t>
  </si>
  <si>
    <t>JC Source</t>
  </si>
  <si>
    <t>app_sent_date</t>
  </si>
  <si>
    <t>app_REJ_date</t>
  </si>
  <si>
    <t>Approval Status</t>
  </si>
  <si>
    <t>Cust Remarks</t>
  </si>
  <si>
    <t>Dlr Remarks</t>
  </si>
  <si>
    <t>Status</t>
  </si>
  <si>
    <t>Bill No.</t>
  </si>
  <si>
    <t>Bill Date</t>
  </si>
  <si>
    <t>Labour Amt</t>
  </si>
  <si>
    <t>Part Amt</t>
  </si>
  <si>
    <t>Pickup Required</t>
  </si>
  <si>
    <t>Pickup Date</t>
  </si>
  <si>
    <t>Pickup Location</t>
  </si>
  <si>
    <t>Bill Amount</t>
  </si>
  <si>
    <t xml:space="preserve"> Address1</t>
  </si>
  <si>
    <t>Address2</t>
  </si>
  <si>
    <t>Address3</t>
  </si>
  <si>
    <t>City</t>
  </si>
  <si>
    <t>Pin</t>
  </si>
  <si>
    <t>Dob</t>
  </si>
  <si>
    <t>DOA</t>
  </si>
  <si>
    <t>Email</t>
  </si>
  <si>
    <t>CHKIN_DT</t>
  </si>
  <si>
    <t>CHKOUT_DT</t>
  </si>
  <si>
    <t>VARUN MOTORS PVT LTD</t>
  </si>
  <si>
    <t>VISAKHAPATNAM</t>
  </si>
  <si>
    <t>YENDADA-2S</t>
  </si>
  <si>
    <t>JC25001619</t>
  </si>
  <si>
    <t>2ND FREE SERVICE</t>
  </si>
  <si>
    <t>NARLA BHARATH BABU</t>
  </si>
  <si>
    <t>XXXXXX4220</t>
  </si>
  <si>
    <t>SA--RM--SA2</t>
  </si>
  <si>
    <t>AP40HR9888</t>
  </si>
  <si>
    <t>GRANDEUR GREY</t>
  </si>
  <si>
    <t>MARUTI FRONX ISS DELTA+ 1.2L AGS ESP</t>
  </si>
  <si>
    <t>Fronx Domestic P74</t>
  </si>
  <si>
    <t>Y</t>
  </si>
  <si>
    <t>GROUP A</t>
  </si>
  <si>
    <t>K MAHESH</t>
  </si>
  <si>
    <t>FR2</t>
  </si>
  <si>
    <t>MTAB</t>
  </si>
  <si>
    <t>Submitted to Customer</t>
  </si>
  <si>
    <t>BR/25001577</t>
  </si>
  <si>
    <t>No</t>
  </si>
  <si>
    <t>1-58/27 FLAT NUMBER-301 UMA</t>
  </si>
  <si>
    <t>MAHESWARI RESIDENCY</t>
  </si>
  <si>
    <t>TARAKA RAMA NAGAR OPPOSITE</t>
  </si>
  <si>
    <t>JC25001594</t>
  </si>
  <si>
    <t>3RD FREE SERVICE</t>
  </si>
  <si>
    <t>MADENA KIRAN</t>
  </si>
  <si>
    <t>XXXXXX3142</t>
  </si>
  <si>
    <t>SA--CCE--2ND</t>
  </si>
  <si>
    <t>AP39UY1283</t>
  </si>
  <si>
    <t>SUPERIOR WHITE</t>
  </si>
  <si>
    <t>MARUTI SUPER CARRY STD 1.2L 5MT</t>
  </si>
  <si>
    <t>SUPER CARRY PETROL</t>
  </si>
  <si>
    <t>FR3</t>
  </si>
  <si>
    <t>Approved</t>
  </si>
  <si>
    <t>BR/25001581</t>
  </si>
  <si>
    <t xml:space="preserve">#16-475 JAI BEEM NAGAR </t>
  </si>
  <si>
    <t xml:space="preserve">SECTOR - 5  ARILOVA COLONY </t>
  </si>
  <si>
    <t xml:space="preserve">GOVT DAIRY FARM </t>
  </si>
  <si>
    <t>JC25001618</t>
  </si>
  <si>
    <t>PAID SERVICE</t>
  </si>
  <si>
    <t>GANAPATHI RAJU NARASIMHA RAJU</t>
  </si>
  <si>
    <t>XXXXXX6668</t>
  </si>
  <si>
    <t>AP40ET5559</t>
  </si>
  <si>
    <t>E34562</t>
  </si>
  <si>
    <t xml:space="preserve">F RED AND M BLACK </t>
  </si>
  <si>
    <t>MARUTI SWIFT ZXI+ 1.2L AGS</t>
  </si>
  <si>
    <t>NEW SWIFT PETROL</t>
  </si>
  <si>
    <t>BOBBILI PRASAD</t>
  </si>
  <si>
    <t>BR/25001580</t>
  </si>
  <si>
    <t>Anakapalli Bypass Bus Stop</t>
  </si>
  <si>
    <t>Anakapalle</t>
  </si>
  <si>
    <t>JC25001615</t>
  </si>
  <si>
    <t>LAKSHMI DURGA ENTERPRISES</t>
  </si>
  <si>
    <t>XXXXXX7023</t>
  </si>
  <si>
    <t>SA-Satisfied-CCE-Satisfied-2ND</t>
  </si>
  <si>
    <t>AP39US0048</t>
  </si>
  <si>
    <t>PEARL  ARCTIC WHITE</t>
  </si>
  <si>
    <t>MARUTI TOUR M (O) 1.5L 5MT</t>
  </si>
  <si>
    <t>NEW ERTIGA PETROL</t>
  </si>
  <si>
    <t>BR/25001587</t>
  </si>
  <si>
    <t>General</t>
  </si>
  <si>
    <t>D.NO.13-31-18/1</t>
  </si>
  <si>
    <t>LANKADAVARI VEEDHI</t>
  </si>
  <si>
    <t>BHEEMUNIPATNAM VSP</t>
  </si>
  <si>
    <t>JC25001620</t>
  </si>
  <si>
    <t>RUNNING REPAIR</t>
  </si>
  <si>
    <t>JEEVAN TEJA YERNINTI</t>
  </si>
  <si>
    <t>XXXXXX1693</t>
  </si>
  <si>
    <t>AP39CG2566</t>
  </si>
  <si>
    <t>MET.MAGMA GRAY</t>
  </si>
  <si>
    <t>MARUTI BALENO ZETA PETROL</t>
  </si>
  <si>
    <t>MARUTI BALENO PETROL</t>
  </si>
  <si>
    <t>BR/25001575</t>
  </si>
  <si>
    <t>Sagar nagar</t>
  </si>
  <si>
    <t>VISHAKAPATANAM</t>
  </si>
  <si>
    <t>vsp</t>
  </si>
  <si>
    <t>jeevancol.143@gmail.com</t>
  </si>
  <si>
    <t>JC25001627</t>
  </si>
  <si>
    <t>P VARA PRAKASH</t>
  </si>
  <si>
    <t>XXXXXX4825</t>
  </si>
  <si>
    <t>AP35Q9621</t>
  </si>
  <si>
    <t>SILKY SILVER</t>
  </si>
  <si>
    <t>MARUTI WAGON R VXI BS4</t>
  </si>
  <si>
    <t>WAGON-R NEW</t>
  </si>
  <si>
    <t>BR/25001590</t>
  </si>
  <si>
    <t>HNO:301</t>
  </si>
  <si>
    <t>RAJIV NAGAR COLONY</t>
  </si>
  <si>
    <t>varaprakash_pathrudu@gmail.com</t>
  </si>
  <si>
    <t>JC25001616</t>
  </si>
  <si>
    <t>SAHU GOPINATH</t>
  </si>
  <si>
    <t>XXXXXX4003</t>
  </si>
  <si>
    <t>AP30Q3499</t>
  </si>
  <si>
    <t>MET.GRANITE GREY</t>
  </si>
  <si>
    <t>MARUTI ERTIGA VDI BS IV</t>
  </si>
  <si>
    <t>ERTIGA DIESEL</t>
  </si>
  <si>
    <t>BR/25001576</t>
  </si>
  <si>
    <t>R&amp;B QUARTERS</t>
  </si>
  <si>
    <t>OFFICIAL COLONY</t>
  </si>
  <si>
    <t>gopinath_sahu@gmail.com</t>
  </si>
  <si>
    <t>JC25001632</t>
  </si>
  <si>
    <t>WASHING</t>
  </si>
  <si>
    <t>ALLURI RAGHU VARMA</t>
  </si>
  <si>
    <t>XXXXXX5404</t>
  </si>
  <si>
    <t>AP40AW1515</t>
  </si>
  <si>
    <t>NEXA BLUE (CELESTIAL)</t>
  </si>
  <si>
    <t>WASH</t>
  </si>
  <si>
    <t>BR/25001591</t>
  </si>
  <si>
    <t>1-79/1/2 G-2 SAI SADAN APTS</t>
  </si>
  <si>
    <t>OPP SKYLINE APTS</t>
  </si>
  <si>
    <t>YENDADA</t>
  </si>
  <si>
    <t>JC25001628</t>
  </si>
  <si>
    <t>DONAKA DEEPA</t>
  </si>
  <si>
    <t>XXXXXX5556</t>
  </si>
  <si>
    <t>AP40EG0250</t>
  </si>
  <si>
    <t>SPLENDID SILVER</t>
  </si>
  <si>
    <t>MARUTI ERTIGA SMART HYBRID VXI (O) 1.5L 5MT</t>
  </si>
  <si>
    <t>BR/25001592</t>
  </si>
  <si>
    <t>10-157/4 STREET-2 SUBHASH</t>
  </si>
  <si>
    <t>NAGAR NEAR MORF SUPER</t>
  </si>
  <si>
    <t>MARKET SAGAR NAGAR</t>
  </si>
  <si>
    <t>JC25001625</t>
  </si>
  <si>
    <t>NISTALA  SRINIVAS</t>
  </si>
  <si>
    <t>XXXXXX5922</t>
  </si>
  <si>
    <t>AP39GC2012</t>
  </si>
  <si>
    <t>NEXA BLUE (STARGAZE)</t>
  </si>
  <si>
    <t>MARUTI BALENO ZETA (AUTOMATIC) PETROL</t>
  </si>
  <si>
    <t>BR/25001579</t>
  </si>
  <si>
    <t>FLAT NO-11124</t>
  </si>
  <si>
    <t>MVV CITY</t>
  </si>
  <si>
    <t>NEAR PM PALEM</t>
  </si>
  <si>
    <t>srinivasnistala85@gmail.com</t>
  </si>
  <si>
    <t>JC25001630</t>
  </si>
  <si>
    <t>RAKSHA CONSORTS</t>
  </si>
  <si>
    <t>XXXXXX4999</t>
  </si>
  <si>
    <t>AP40ET7475</t>
  </si>
  <si>
    <t>C737604</t>
  </si>
  <si>
    <t>METALLIC GLISTENIG GREY</t>
  </si>
  <si>
    <t>MARUTI CELERIO ZXI+ 1L ISS AGS</t>
  </si>
  <si>
    <t>NEW CELERIO 2021</t>
  </si>
  <si>
    <t>BR/25001583</t>
  </si>
  <si>
    <t xml:space="preserve">3rd floor 43-9-164/2 </t>
  </si>
  <si>
    <t>TSN COLONY DONDAPARTHI</t>
  </si>
  <si>
    <t>rakshaconsorts@gmail.com</t>
  </si>
  <si>
    <t>JC25001622</t>
  </si>
  <si>
    <t>LOPINTI SRI KALYAN</t>
  </si>
  <si>
    <t>XXXXXX6569</t>
  </si>
  <si>
    <t>SA--CCE-Satisfied-2ND</t>
  </si>
  <si>
    <t>AP39QS5209</t>
  </si>
  <si>
    <t>C111055</t>
  </si>
  <si>
    <t>MARUTI WAGON R VXI 1L ISS 5MT</t>
  </si>
  <si>
    <t>NEW WAGON R 1L PETROL</t>
  </si>
  <si>
    <t>BR/25001585</t>
  </si>
  <si>
    <t>10-6-5/7</t>
  </si>
  <si>
    <t>SINDHU VIHAR</t>
  </si>
  <si>
    <t>RAMNAGAR BAZAR  MAHARANIPETA</t>
  </si>
  <si>
    <t>lopinti.kalyan@gmail.com</t>
  </si>
  <si>
    <t>JC25001629</t>
  </si>
  <si>
    <t>SAMANA  RAJU</t>
  </si>
  <si>
    <t>XXXXXX0799</t>
  </si>
  <si>
    <t>AP39KE2589</t>
  </si>
  <si>
    <t>BR/25001582</t>
  </si>
  <si>
    <t>FLAT NO-202</t>
  </si>
  <si>
    <t>RAMA BRINDAVAN APARTMENT</t>
  </si>
  <si>
    <t>YENDADA  SIRIGUDI NAGAR</t>
  </si>
  <si>
    <t>JC25001633</t>
  </si>
  <si>
    <t>D  UMADEVI</t>
  </si>
  <si>
    <t>XXXXXX3003</t>
  </si>
  <si>
    <t>AP39FE3442</t>
  </si>
  <si>
    <t>MARUTI CELERIO VXI 1L AGS</t>
  </si>
  <si>
    <t>CELERIO</t>
  </si>
  <si>
    <t>BR/25001588</t>
  </si>
  <si>
    <t>B3- FLAT 916</t>
  </si>
  <si>
    <t>VAISAKI SKYLINE APPARTMENTS</t>
  </si>
  <si>
    <t>JC25001621</t>
  </si>
  <si>
    <t>V VINODHKUMAR</t>
  </si>
  <si>
    <t>XXXXXX3525</t>
  </si>
  <si>
    <t>AP39RS8144</t>
  </si>
  <si>
    <t>MARUTI BREZZA SMART HYBRID VXI 1.5L 5MT</t>
  </si>
  <si>
    <t>NEW BREZZA</t>
  </si>
  <si>
    <t>BR/25001589</t>
  </si>
  <si>
    <t>sirigudi nagar near polamamba</t>
  </si>
  <si>
    <t>Temple yendada  visakhapatnam</t>
  </si>
  <si>
    <t>Andhra Pradesh</t>
  </si>
  <si>
    <t>vinodhkumarvaddi@yahoo.co.in</t>
  </si>
  <si>
    <t>JC25001617</t>
  </si>
  <si>
    <t>BOGAPURAPU RAVI KUMAR</t>
  </si>
  <si>
    <t>XXXXXX8504</t>
  </si>
  <si>
    <t>AP39SL3889</t>
  </si>
  <si>
    <t>MARUTI BALENO SIGMA 1.2L ISS 5MT</t>
  </si>
  <si>
    <t>NEW BALENO</t>
  </si>
  <si>
    <t>BR/25001586</t>
  </si>
  <si>
    <t>Flat no : 505  Block -C</t>
  </si>
  <si>
    <t>Suvarna Srinivasam Apartment</t>
  </si>
  <si>
    <t>Pedagantyada</t>
  </si>
  <si>
    <t>Ravikumarinvizag@gmail.com</t>
  </si>
  <si>
    <t>JC25001631</t>
  </si>
  <si>
    <t>MRITUNJAY KUMAR</t>
  </si>
  <si>
    <t>XXXXXX1013</t>
  </si>
  <si>
    <t>AP31BD0202</t>
  </si>
  <si>
    <t>ALTO LX BS III (WITH IMMOBILISER)</t>
  </si>
  <si>
    <t>ALTO</t>
  </si>
  <si>
    <t>BR/25001593</t>
  </si>
  <si>
    <t xml:space="preserve">S/O.R.N.SINGH #8-95 </t>
  </si>
  <si>
    <t xml:space="preserve">RAVI NAGAR </t>
  </si>
  <si>
    <t xml:space="preserve">NAIDU THOTA </t>
  </si>
  <si>
    <t>sefoma3107@jxbav.com</t>
  </si>
  <si>
    <t>JC25001623</t>
  </si>
  <si>
    <t>YADARAJU SIVA RAJAKUMARI</t>
  </si>
  <si>
    <t>XXXXXX8865</t>
  </si>
  <si>
    <t>AP39RY1958</t>
  </si>
  <si>
    <t>MARUTI GRAND VITARA SMART HYBRID ALPHA 1.5L 6AT</t>
  </si>
  <si>
    <t>MARUTI GRAND VITARA Smart Hybrid</t>
  </si>
  <si>
    <t>BR/25001574</t>
  </si>
  <si>
    <t>DR NO:5-15-61 16TH WARD</t>
  </si>
  <si>
    <t>DURGADAS STREET</t>
  </si>
  <si>
    <t>dr.yntrao@gmail.com</t>
  </si>
  <si>
    <t>JC25001626</t>
  </si>
  <si>
    <t>TRIBENI  JHA</t>
  </si>
  <si>
    <t>XXXXXX9734</t>
  </si>
  <si>
    <t>AP39WF6370</t>
  </si>
  <si>
    <t>C765363</t>
  </si>
  <si>
    <t>MARUTI CELERIO ZXI+ 1L ISS 5MT</t>
  </si>
  <si>
    <t>BR/25001584</t>
  </si>
  <si>
    <t>17-15 DOCKYAD COLONY</t>
  </si>
  <si>
    <t>NEAR HDFC ATM</t>
  </si>
  <si>
    <t>MADHURAWADA</t>
  </si>
  <si>
    <t>JC25001624</t>
  </si>
  <si>
    <t>KILARI KRISHNA RAO</t>
  </si>
  <si>
    <t>XXXXXX5163</t>
  </si>
  <si>
    <t>SA-Satisfied-RM--SA2</t>
  </si>
  <si>
    <t>AP39QT1435</t>
  </si>
  <si>
    <t>MARUTI IGNIS ZETA 1.2L 5MT</t>
  </si>
  <si>
    <t>IGNIS-PETROL</t>
  </si>
  <si>
    <t>BR/25001578</t>
  </si>
  <si>
    <t>Yes</t>
  </si>
  <si>
    <t xml:space="preserve">Lig-11 phase-1 </t>
  </si>
  <si>
    <t>Madhavadhara vuda</t>
  </si>
  <si>
    <t>Visakhapatnam</t>
  </si>
  <si>
    <t>Chandana.kilari449@gmail.com</t>
  </si>
  <si>
    <t>JC25001634</t>
  </si>
  <si>
    <t>VICTOR  PAULSINGH</t>
  </si>
  <si>
    <t>XXXXXX1068</t>
  </si>
  <si>
    <t>AP40BH9058</t>
  </si>
  <si>
    <t>MARUTI CIAZ SMART HYBRID ALPHA 1.5L 5MT</t>
  </si>
  <si>
    <t>NEW CIAZ PETROL</t>
  </si>
  <si>
    <t>BR/25001595</t>
  </si>
  <si>
    <t>FLAT NO -101</t>
  </si>
  <si>
    <t>VIVEKANANDA COLONY</t>
  </si>
  <si>
    <t>Vickstings@yahoo.com</t>
  </si>
  <si>
    <t>JC25001635</t>
  </si>
  <si>
    <t>L-1</t>
  </si>
  <si>
    <t>VIDYA YERRA</t>
  </si>
  <si>
    <t>XXXXXX9020</t>
  </si>
  <si>
    <t>AP31CU5977</t>
  </si>
  <si>
    <t>PASSION RED</t>
  </si>
  <si>
    <t>BR/25001594</t>
  </si>
  <si>
    <t>#B-12 BLOCK-1</t>
  </si>
  <si>
    <t>PRINCE APTS</t>
  </si>
  <si>
    <t>NH-5 MARRIPALEM</t>
  </si>
  <si>
    <t>yvs1527@gmail.com</t>
  </si>
  <si>
    <t>JC25001639</t>
  </si>
  <si>
    <t>SRINIVASA RAO G G S</t>
  </si>
  <si>
    <t>XXXXXX3903</t>
  </si>
  <si>
    <t>AP31CK2677</t>
  </si>
  <si>
    <t>METBREEZEB</t>
  </si>
  <si>
    <t>MARUTI WAGON R DUO LXI BSIV</t>
  </si>
  <si>
    <t>BR/25001600</t>
  </si>
  <si>
    <t>FLAT NO 810 BLOCK 1 8TH FLOOR</t>
  </si>
  <si>
    <t>MVV GREEN FIELD</t>
  </si>
  <si>
    <t>ggssrao@gmail.com</t>
  </si>
  <si>
    <t>JC25001645</t>
  </si>
  <si>
    <t>GARIMELLA  LAXMI</t>
  </si>
  <si>
    <t>XXXXXX0009</t>
  </si>
  <si>
    <t>AP39NH9779</t>
  </si>
  <si>
    <t>MARUTI BALENO ALPHA 1.2L ISS AGS</t>
  </si>
  <si>
    <t>N</t>
  </si>
  <si>
    <t>BR/25001599</t>
  </si>
  <si>
    <t>C/O:VENKATA DHANANJAYA KUMAR</t>
  </si>
  <si>
    <t>D NO:4-45-18 FLAT NO:201</t>
  </si>
  <si>
    <t>SAI KIRAN APPARTMENTS</t>
  </si>
  <si>
    <t>akashgarimella@gmail.com</t>
  </si>
  <si>
    <t>JC25001644</t>
  </si>
  <si>
    <t>CHUKKA DILEEP</t>
  </si>
  <si>
    <t>XXXXXX5866</t>
  </si>
  <si>
    <t>AP39SL4700</t>
  </si>
  <si>
    <t>MIDNIGHT BLACK</t>
  </si>
  <si>
    <t>MARUTI BALENO ZETA 1.2L ISS 5MT</t>
  </si>
  <si>
    <t>BR/25001598</t>
  </si>
  <si>
    <t>2-28-52 RAMALAYAM STREET</t>
  </si>
  <si>
    <t>NEAR RAMALAYAM MINDI</t>
  </si>
  <si>
    <t>cekona2996@inilas.com</t>
  </si>
  <si>
    <t>JC25001643</t>
  </si>
  <si>
    <t>R / V</t>
  </si>
  <si>
    <t>D CHELLA RAO</t>
  </si>
  <si>
    <t>XXXXXX1182</t>
  </si>
  <si>
    <t>AP31BE5169</t>
  </si>
  <si>
    <t>ALTO LXI BS III (WITH IMMOBILISER)</t>
  </si>
  <si>
    <t>BR/25001597</t>
  </si>
  <si>
    <t>GF-*2   MVP  ENCLAVE</t>
  </si>
  <si>
    <t>VIVEKANANDA NAGAR</t>
  </si>
  <si>
    <t>JC25001636</t>
  </si>
  <si>
    <t>ANALA SRINIVASA RAO</t>
  </si>
  <si>
    <t>XXXXXX3296</t>
  </si>
  <si>
    <t>AP39UW7181</t>
  </si>
  <si>
    <t>MARUTI DZIRE VXI 1.2L 5MT</t>
  </si>
  <si>
    <t>New Dzire Petrol</t>
  </si>
  <si>
    <t>BR/25001596</t>
  </si>
  <si>
    <t>5-77  VIVEKANANDA  NAGAR</t>
  </si>
  <si>
    <t xml:space="preserve">OLD DAIRY FARM </t>
  </si>
  <si>
    <t>NEAR VINAYAKA  TEMPLE</t>
  </si>
  <si>
    <t>jahopen165@gotemv.com</t>
  </si>
  <si>
    <t>JC25001647</t>
  </si>
  <si>
    <t>PILLA NOOKA RAJU</t>
  </si>
  <si>
    <t>XXXXXX1151</t>
  </si>
  <si>
    <t>AP39WG9187</t>
  </si>
  <si>
    <t>A75253</t>
  </si>
  <si>
    <t>MARUTI ERTIGA SMART HYBRID VXI 1.5L 5MT</t>
  </si>
  <si>
    <t>BR/25001602</t>
  </si>
  <si>
    <t>16-38-19</t>
  </si>
  <si>
    <t>KOTHA JALARI PETA</t>
  </si>
  <si>
    <t>PILLA APPAYYA SANGAM</t>
  </si>
  <si>
    <t>JC25001637</t>
  </si>
  <si>
    <t>KOLLABATHULA PRASADA RAO</t>
  </si>
  <si>
    <t>XXXXXX9988</t>
  </si>
  <si>
    <t>AP31DA8647</t>
  </si>
  <si>
    <t>MARUTI SWIFT DZIRE VXI BS IV</t>
  </si>
  <si>
    <t>SWIFT NEW / DZIRE NEW PETROL</t>
  </si>
  <si>
    <t>BR/25001601</t>
  </si>
  <si>
    <t>#55-1-17/2/17 FNO:302</t>
  </si>
  <si>
    <t>4TH FLOOR PEELA HOMES</t>
  </si>
  <si>
    <t>VENKOJIPALEM HB COLONY ROAD</t>
  </si>
  <si>
    <t>JC25001646</t>
  </si>
  <si>
    <t>L VIJAYA BHARAT REDDY</t>
  </si>
  <si>
    <t>XXXXXX2223</t>
  </si>
  <si>
    <t>AP39FV1888</t>
  </si>
  <si>
    <t>MARUTI CELERIOX ZXI (O) 1L AGS</t>
  </si>
  <si>
    <t>BR/25001603</t>
  </si>
  <si>
    <t>F NO 507  MVV PALLAVI</t>
  </si>
  <si>
    <t xml:space="preserve">APARTMENTS  LB COLONY </t>
  </si>
  <si>
    <t xml:space="preserve">PEDA WALTAIR </t>
  </si>
  <si>
    <t>tefata6303@lorkex.com</t>
  </si>
  <si>
    <t>JC25001649</t>
  </si>
  <si>
    <t>VEMALA CHANDRA SHEKHAR</t>
  </si>
  <si>
    <t>XXXXXX4567</t>
  </si>
  <si>
    <t>AP40EF7312</t>
  </si>
  <si>
    <t>A88613</t>
  </si>
  <si>
    <t>MARUTI WAGON R ZXI 1.2L ISS 5MT</t>
  </si>
  <si>
    <t>NEW WAGON R 1.2L PETROL</t>
  </si>
  <si>
    <t>BR/25001606</t>
  </si>
  <si>
    <t>S/O V.GOVINDA 3-121/29 FLAT NO</t>
  </si>
  <si>
    <t>-302 SAI DIVYA RESIDENCY SAGAR</t>
  </si>
  <si>
    <t>NAGAR THATICHETLAPALEM.</t>
  </si>
  <si>
    <t>vcs2887@gmail.com</t>
  </si>
  <si>
    <t>JC25001648</t>
  </si>
  <si>
    <t>BODY  REPAIR</t>
  </si>
  <si>
    <t>N RAVI KIRAN</t>
  </si>
  <si>
    <t>XXXXXX0650</t>
  </si>
  <si>
    <t>AP39FD1211</t>
  </si>
  <si>
    <t>MARUTI IGNIS ALPHA 1.2L AGS</t>
  </si>
  <si>
    <t>BANDP</t>
  </si>
  <si>
    <t>BR/25001604</t>
  </si>
  <si>
    <t>D NO: 47-3-5  SREENILAYAM</t>
  </si>
  <si>
    <t>NEHRU BAZAR ROAD</t>
  </si>
  <si>
    <t>5TH LINE DWARAKANAGAR</t>
  </si>
  <si>
    <t>ravikirannudurupati@gmail.com</t>
  </si>
  <si>
    <t>JC25001650</t>
  </si>
  <si>
    <t>SATYARAJU B</t>
  </si>
  <si>
    <t>XXXXXX6626</t>
  </si>
  <si>
    <t>AP39SP2499</t>
  </si>
  <si>
    <t>MARUTI BREZZA SMART HYBRID ZXI (O) 1.5L 5MT</t>
  </si>
  <si>
    <t>BR/25001605</t>
  </si>
  <si>
    <t>S/O.B SURYANARAYANA</t>
  </si>
  <si>
    <t>FLATNO 401 3-129/46.MK ARENA</t>
  </si>
  <si>
    <t>SIRIGUDINAGAR.YANDADA</t>
  </si>
  <si>
    <t>tijeho5273@aupvs.com</t>
  </si>
  <si>
    <t>JC25001642</t>
  </si>
  <si>
    <t>M LAVEEN BABU</t>
  </si>
  <si>
    <t>XXXXXX4515</t>
  </si>
  <si>
    <t>AP40BG1594</t>
  </si>
  <si>
    <t>B</t>
  </si>
  <si>
    <t>ABDULAFROZ KHAN</t>
  </si>
  <si>
    <t>BI/25000194</t>
  </si>
  <si>
    <t>D.NO-3-45  YANDADA</t>
  </si>
  <si>
    <t>SAGAR MARUTHI NIVAS</t>
  </si>
  <si>
    <t>3RD FLOOR F N SF-4</t>
  </si>
  <si>
    <t>laveen@gmail.com</t>
  </si>
  <si>
    <t>JC25001656</t>
  </si>
  <si>
    <t>GIDDI  VIJAYA</t>
  </si>
  <si>
    <t>XXXXXX0826</t>
  </si>
  <si>
    <t>AP39EX7097</t>
  </si>
  <si>
    <t>MARUTI WAGON R VXI 1L 5MT</t>
  </si>
  <si>
    <t>BR/25001612</t>
  </si>
  <si>
    <t>D NO 1-28  VARAHA NAGAR</t>
  </si>
  <si>
    <t xml:space="preserve">COLONY  YANDADA </t>
  </si>
  <si>
    <t xml:space="preserve">GITAM POST </t>
  </si>
  <si>
    <t>g.vijaya@gmail.com</t>
  </si>
  <si>
    <t>JC25001660</t>
  </si>
  <si>
    <t>MAHADASU GANESH</t>
  </si>
  <si>
    <t>XXXXXX7905</t>
  </si>
  <si>
    <t>AP39UW3525</t>
  </si>
  <si>
    <t>BR/25001609</t>
  </si>
  <si>
    <t>SUBHASH NAGAR</t>
  </si>
  <si>
    <t>NEAR MORE SUPER MARKET</t>
  </si>
  <si>
    <t>SAGARNAGAR</t>
  </si>
  <si>
    <t>JC25001655</t>
  </si>
  <si>
    <t>TRUEVALUE 2ND SERVICE</t>
  </si>
  <si>
    <t>D TEJESWAR</t>
  </si>
  <si>
    <t>XXXXXX6109</t>
  </si>
  <si>
    <t>AP39JW2349</t>
  </si>
  <si>
    <t>MARUTI SWIFT VXI 1.2L ISS 5MT</t>
  </si>
  <si>
    <t>TV2</t>
  </si>
  <si>
    <t>BR/25001610</t>
  </si>
  <si>
    <t>D NO 26-188   FLAT NO 302</t>
  </si>
  <si>
    <t>RAHUL RSIDENCY RTC</t>
  </si>
  <si>
    <t>COMPLEX  MADHURAWADA</t>
  </si>
  <si>
    <t>JC25001662</t>
  </si>
  <si>
    <t>ACCESSORIES FITMENT</t>
  </si>
  <si>
    <t>VARUN MOTORS PVT.LTD</t>
  </si>
  <si>
    <t>XXXXXX4400</t>
  </si>
  <si>
    <t>AP39C9345</t>
  </si>
  <si>
    <t>SLD.FIRE RED</t>
  </si>
  <si>
    <t>MARUTI SWIFT VDI</t>
  </si>
  <si>
    <t>NEW SWIFT DIESEL</t>
  </si>
  <si>
    <t>ACC</t>
  </si>
  <si>
    <t>BR/25001611</t>
  </si>
  <si>
    <t>KASTURBA MARG</t>
  </si>
  <si>
    <t>SIRIPURAM</t>
  </si>
  <si>
    <t>torexef347@daupload.com</t>
  </si>
  <si>
    <t>JC25001659</t>
  </si>
  <si>
    <t>CVN SIVA KUMAR</t>
  </si>
  <si>
    <t>XXXXXX9017</t>
  </si>
  <si>
    <t>AP31BK9585</t>
  </si>
  <si>
    <t>AZURE GREY</t>
  </si>
  <si>
    <t>MARUTI SWIFT VXI (BHARAT STAGE IV)</t>
  </si>
  <si>
    <t>SWIFT</t>
  </si>
  <si>
    <t>BR/25001608</t>
  </si>
  <si>
    <t>40-1-45   KASTHURI NAGAR</t>
  </si>
  <si>
    <t>KAILASAPURAM</t>
  </si>
  <si>
    <t>JC25001658</t>
  </si>
  <si>
    <t>BAYI VARAHALA PATRUDU</t>
  </si>
  <si>
    <t>XXXXXX3809</t>
  </si>
  <si>
    <t>AP39ST3589</t>
  </si>
  <si>
    <t>MARUTI WAGON R ZXI+ 1.2L ISS AGS</t>
  </si>
  <si>
    <t>BR/25001607</t>
  </si>
  <si>
    <t>DNO 3-60/1  FNO 504</t>
  </si>
  <si>
    <t>PRATIMA ROYAL PALACE</t>
  </si>
  <si>
    <t>LALITHA ANGAR YENDADA</t>
  </si>
  <si>
    <t>BAYIVARAHALA@GMAIL.COM</t>
  </si>
  <si>
    <t>JC25001483</t>
  </si>
  <si>
    <t>KATTA NAGA SURYA CHAKRAVARTI</t>
  </si>
  <si>
    <t>XXXXXX9884</t>
  </si>
  <si>
    <t>AP39GK8156</t>
  </si>
  <si>
    <t>MARUTI S-PRESSO VXI(O) AGS</t>
  </si>
  <si>
    <t>S-PRESSO</t>
  </si>
  <si>
    <t>BI/25000195</t>
  </si>
  <si>
    <t xml:space="preserve"> DR NO. 1-1</t>
  </si>
  <si>
    <t>PAYAKARAOPETA. MANGAVARAM</t>
  </si>
  <si>
    <t>PAYAKARAOPETA. MNDL</t>
  </si>
  <si>
    <t>Kattasrinivasrao@gmail.com</t>
  </si>
  <si>
    <t>BR/25001616</t>
  </si>
  <si>
    <t>JC25001673</t>
  </si>
  <si>
    <t>D V RAMESH</t>
  </si>
  <si>
    <t>XXXXXX6433</t>
  </si>
  <si>
    <t>OD07G4649</t>
  </si>
  <si>
    <t>FROST BLUE</t>
  </si>
  <si>
    <t>MARUTI ALTO 800 LXI BS IV</t>
  </si>
  <si>
    <t>ALTO 800</t>
  </si>
  <si>
    <t>BR/25001620</t>
  </si>
  <si>
    <t xml:space="preserve">AT - DEVLOPMENT OFFICER </t>
  </si>
  <si>
    <t>L I C OF INDIA   ASKA</t>
  </si>
  <si>
    <t>dvramesh@licindia.com</t>
  </si>
  <si>
    <t>JC25001666</t>
  </si>
  <si>
    <t>1ST FREE SERVICE</t>
  </si>
  <si>
    <t>DODDI RAMESH BABU</t>
  </si>
  <si>
    <t>XXXXXX6568</t>
  </si>
  <si>
    <t>AP40HT2469</t>
  </si>
  <si>
    <t>METALLIC SIZZLING RED</t>
  </si>
  <si>
    <t>MARUTI SWIFT LXI 1.2L ISS 5MT</t>
  </si>
  <si>
    <t>EPIC NEW SWIFT</t>
  </si>
  <si>
    <t>FR1</t>
  </si>
  <si>
    <t>BR/25001619</t>
  </si>
  <si>
    <t>H NO : 14-10-25</t>
  </si>
  <si>
    <t>BOTCHAVARI STREET</t>
  </si>
  <si>
    <t>GAVARAPALEM</t>
  </si>
  <si>
    <t>JC25001672</t>
  </si>
  <si>
    <t>REDDY SATYAVANI</t>
  </si>
  <si>
    <t>XXXXXX5222</t>
  </si>
  <si>
    <t>AP39QU1223</t>
  </si>
  <si>
    <t>MARUTI DZIRE VXI 1.2L AGS</t>
  </si>
  <si>
    <t>BR/25001615</t>
  </si>
  <si>
    <t xml:space="preserve">HNO 6-298/3 SF-1 </t>
  </si>
  <si>
    <t xml:space="preserve">RAVINDRANAGAR OLD DAIRY FORM </t>
  </si>
  <si>
    <t>VISAKHAPATNAM URBAN</t>
  </si>
  <si>
    <t>JC25001657</t>
  </si>
  <si>
    <t>PAILA NARASINGA RAO</t>
  </si>
  <si>
    <t>XXXXXX1924</t>
  </si>
  <si>
    <t>AP39CT3348</t>
  </si>
  <si>
    <t>MARUTI SWIFT VXI</t>
  </si>
  <si>
    <t>BR/25001613</t>
  </si>
  <si>
    <t>58-20-30/2</t>
  </si>
  <si>
    <t>ALEKHYAENCLAVE</t>
  </si>
  <si>
    <t>APSEB COLONY BUCHIRAJUPALEM</t>
  </si>
  <si>
    <t>haripaila69@gmail.com</t>
  </si>
  <si>
    <t>JC25001667</t>
  </si>
  <si>
    <t>CHINTHALAPATI SURYANARAYANARAJU</t>
  </si>
  <si>
    <t>XXXXXX8738</t>
  </si>
  <si>
    <t>AP31EL55</t>
  </si>
  <si>
    <t>MARUTI S-CROSS SMART HYBRID ALPHA</t>
  </si>
  <si>
    <t>S-CROSS (D13)</t>
  </si>
  <si>
    <t>BR/25001617</t>
  </si>
  <si>
    <t>#1-73</t>
  </si>
  <si>
    <t>RAMBILLI POST</t>
  </si>
  <si>
    <t>RAMBILLI</t>
  </si>
  <si>
    <t>yexewah594@noidos.com</t>
  </si>
  <si>
    <t>JC25001671</t>
  </si>
  <si>
    <t>KELLA  APPARAO</t>
  </si>
  <si>
    <t>XXXXXX2322</t>
  </si>
  <si>
    <t>AP39WC6501</t>
  </si>
  <si>
    <t>MARUTI ERTIGA VXI (O) CNG 1.5L 5MT</t>
  </si>
  <si>
    <t>BR/25001618</t>
  </si>
  <si>
    <t>9-137/22/18</t>
  </si>
  <si>
    <t>SRI SRI NILAYAM</t>
  </si>
  <si>
    <t>TEACHERS LAYOUT</t>
  </si>
  <si>
    <t>JC25001669</t>
  </si>
  <si>
    <t>T SATYANARAYANA</t>
  </si>
  <si>
    <t>XXXXXX7411</t>
  </si>
  <si>
    <t>AP39ED1401</t>
  </si>
  <si>
    <t>Blazing Red</t>
  </si>
  <si>
    <t>MARUTI CELERIO ZXI 1L AGS</t>
  </si>
  <si>
    <t>RAMU S</t>
  </si>
  <si>
    <t>BR/25001614</t>
  </si>
  <si>
    <t xml:space="preserve">D NO 6-22-9/20  F NO 504 </t>
  </si>
  <si>
    <t xml:space="preserve">C-BLOCK  SUN N SEA APTS </t>
  </si>
  <si>
    <t xml:space="preserve">EAST POINT COLONY </t>
  </si>
  <si>
    <t>vososi8751@dawhe.com</t>
  </si>
  <si>
    <t>JC25001664</t>
  </si>
  <si>
    <t>BEULAH SUSAN BURRI</t>
  </si>
  <si>
    <t>XXXXXX2386</t>
  </si>
  <si>
    <t>AP31EM9658</t>
  </si>
  <si>
    <t>MARUTI SWIFT VXI AMT</t>
  </si>
  <si>
    <t>BR/25001621</t>
  </si>
  <si>
    <t>FLAT NO:-3A</t>
  </si>
  <si>
    <t>#50-11-17/2/4</t>
  </si>
  <si>
    <t>SREE NIVAS SEETHAMMADHARA</t>
  </si>
  <si>
    <t>beulah.burri@sbi.co.in</t>
  </si>
  <si>
    <t>JC25001677</t>
  </si>
  <si>
    <t>BR/25001625</t>
  </si>
  <si>
    <t>JC25001676</t>
  </si>
  <si>
    <t>BR/25001623</t>
  </si>
  <si>
    <t>JC25001678</t>
  </si>
  <si>
    <t>INGETI SUNITA SATYANARAYAN</t>
  </si>
  <si>
    <t>XXXXXX8166</t>
  </si>
  <si>
    <t>MH46DA1756</t>
  </si>
  <si>
    <t>MARUTI BALENO ZETA CNG 1.2L 5MT</t>
  </si>
  <si>
    <t>NEW BALENO CNG</t>
  </si>
  <si>
    <t>BR/25001622</t>
  </si>
  <si>
    <t>FLAT NO 103 MAJESTIC EMPIRE</t>
  </si>
  <si>
    <t>PLOT NO 127 SECTOR 15</t>
  </si>
  <si>
    <t>DRONAGIRI FUNDE URAN</t>
  </si>
  <si>
    <t>metole2159@noidos.com</t>
  </si>
  <si>
    <t>JC25001675</t>
  </si>
  <si>
    <t>BEHARA SURESH</t>
  </si>
  <si>
    <t>XXXXXX6813</t>
  </si>
  <si>
    <t>AP39EG8721</t>
  </si>
  <si>
    <t>BR/25001624</t>
  </si>
  <si>
    <t>FLAT NO : 303  SIDDARDHA NAGAR</t>
  </si>
  <si>
    <t>ROSHINI FORT APPARTMENT</t>
  </si>
  <si>
    <t>BITS ENG COLLEGE   PM PALEM</t>
  </si>
  <si>
    <t>JC25001687</t>
  </si>
  <si>
    <t>D JAYALAKSHMI</t>
  </si>
  <si>
    <t>XXXXXX3945</t>
  </si>
  <si>
    <t>AP31DC9369</t>
  </si>
  <si>
    <t>MARUTI S-CROSS DELTA</t>
  </si>
  <si>
    <t>BR/25001628</t>
  </si>
  <si>
    <t>W/O D VENKATA SUBBA RAJU</t>
  </si>
  <si>
    <t>#PLAT NO:202 SECTOR-2</t>
  </si>
  <si>
    <t>MVP COLONY</t>
  </si>
  <si>
    <t>JC25001684</t>
  </si>
  <si>
    <t>CH VENKATA RAMA RAO</t>
  </si>
  <si>
    <t>XXXXXX8929</t>
  </si>
  <si>
    <t>AP39FQ7668</t>
  </si>
  <si>
    <t>MARUTI CELERIOX ZXI (O) 1L 5MT</t>
  </si>
  <si>
    <t>BR/25001632</t>
  </si>
  <si>
    <t xml:space="preserve">D NO 31-18-7 </t>
  </si>
  <si>
    <t xml:space="preserve">KURMANAPALEM </t>
  </si>
  <si>
    <t xml:space="preserve">GAJUWAKA </t>
  </si>
  <si>
    <t>ramaraochippada71@gmail.com</t>
  </si>
  <si>
    <t>JC25001683</t>
  </si>
  <si>
    <t>PULARI MOHAN RAO</t>
  </si>
  <si>
    <t>XXXXXX9128</t>
  </si>
  <si>
    <t>SA--RM-Dissatisfied-SA2</t>
  </si>
  <si>
    <t>AP39HG6849</t>
  </si>
  <si>
    <t>BR/25001633</t>
  </si>
  <si>
    <t>VSP</t>
  </si>
  <si>
    <t>vrao2442@gmail.com</t>
  </si>
  <si>
    <t>JC25001681</t>
  </si>
  <si>
    <t>BR/25001629</t>
  </si>
  <si>
    <t>JC25001679</t>
  </si>
  <si>
    <t>KVSB CHANDRA SEKHAR</t>
  </si>
  <si>
    <t>XXXXXX1714</t>
  </si>
  <si>
    <t>AP39DH7079</t>
  </si>
  <si>
    <t>PRIME OXFORD BLUE</t>
  </si>
  <si>
    <t>MARUTI DZIRE VXI</t>
  </si>
  <si>
    <t>BR/25001626</t>
  </si>
  <si>
    <t>PLOT NO:-19  100FT RING ROAD</t>
  </si>
  <si>
    <t>M S N COLONY</t>
  </si>
  <si>
    <t>JC25001689</t>
  </si>
  <si>
    <t>KARANAM CHANDRA MOULI</t>
  </si>
  <si>
    <t>XXXXXX0292</t>
  </si>
  <si>
    <t>AP39WE2753</t>
  </si>
  <si>
    <t>F072879</t>
  </si>
  <si>
    <t>MARUTI DZIRE VXI 1.2L ISS 5MT</t>
  </si>
  <si>
    <t>DAZZLING NEW DZIRE</t>
  </si>
  <si>
    <t>BR/25001631</t>
  </si>
  <si>
    <t>CHINNA RUSHIKONDA</t>
  </si>
  <si>
    <t>VADAPALEM GITAM ENGG COLLEGE</t>
  </si>
  <si>
    <t>JC25001682</t>
  </si>
  <si>
    <t>VASANTHA APARNA</t>
  </si>
  <si>
    <t>AP40HB1108</t>
  </si>
  <si>
    <t>MARUTI BREZZA SMART HYBRID ZXI 1.5L 5MT</t>
  </si>
  <si>
    <t>BR/25001627</t>
  </si>
  <si>
    <t>SERI AMARAVARAM</t>
  </si>
  <si>
    <t>KRISHNA NTR DIST</t>
  </si>
  <si>
    <t>hirirek563@lorkex.com</t>
  </si>
  <si>
    <t>JC25001670</t>
  </si>
  <si>
    <t>SHAIK  ANSAR BASHA</t>
  </si>
  <si>
    <t>XXXXXX1506</t>
  </si>
  <si>
    <t>AP31TV6825</t>
  </si>
  <si>
    <t>MARUTI SWIFT DZIRE VDI BS IV</t>
  </si>
  <si>
    <t>SWIFT NEW/  DZIRE NEW DIESEL</t>
  </si>
  <si>
    <t>BR/25001630</t>
  </si>
  <si>
    <t>#1-41-9/3</t>
  </si>
  <si>
    <t>ADABSH NAGAR</t>
  </si>
  <si>
    <t>PEDA WALTAIR</t>
  </si>
  <si>
    <t>JC25001651</t>
  </si>
  <si>
    <t>BI/25000196</t>
  </si>
  <si>
    <t>BR/25001634</t>
  </si>
  <si>
    <t>JC25001694</t>
  </si>
  <si>
    <t>DINESH THAKUR</t>
  </si>
  <si>
    <t>XXXXXX1410</t>
  </si>
  <si>
    <t>AP40DU0564</t>
  </si>
  <si>
    <t>MARUTI BREZZA LXI 1.5L 5MT</t>
  </si>
  <si>
    <t>BR/25001636</t>
  </si>
  <si>
    <t>7-1-67/2</t>
  </si>
  <si>
    <t>SIVA NARAYANI NLAYAM</t>
  </si>
  <si>
    <t>CHINNAWALTAIR</t>
  </si>
  <si>
    <t>JC25001693</t>
  </si>
  <si>
    <t>VENKATA RAMANA K</t>
  </si>
  <si>
    <t>XXXXXX9407</t>
  </si>
  <si>
    <t>AP40DG8260</t>
  </si>
  <si>
    <t>MARUTI SWIFT VXI (O) 1.2L ISS AGS</t>
  </si>
  <si>
    <t>BR/25001638</t>
  </si>
  <si>
    <t>FLAT NO 306</t>
  </si>
  <si>
    <t>3 rd FLOOR</t>
  </si>
  <si>
    <t>SRINIVASA NAGAR</t>
  </si>
  <si>
    <t>bohotav778@lorkex.com</t>
  </si>
  <si>
    <t>JC25001692</t>
  </si>
  <si>
    <t>A  SATYAVATHI</t>
  </si>
  <si>
    <t>XXXXXX3883</t>
  </si>
  <si>
    <t>AP31DB4005</t>
  </si>
  <si>
    <t>MARUTI S-CROSS ZETA</t>
  </si>
  <si>
    <t>BR/25001639</t>
  </si>
  <si>
    <t>P NO:21</t>
  </si>
  <si>
    <t>SARADA COLONY</t>
  </si>
  <si>
    <t>ANAKAPALLI</t>
  </si>
  <si>
    <t>Satyavathi@gmail.com</t>
  </si>
  <si>
    <t>JC25001661</t>
  </si>
  <si>
    <t>V SURESH CHANDRA</t>
  </si>
  <si>
    <t>XXXXXX2999</t>
  </si>
  <si>
    <t>AP04BX7777</t>
  </si>
  <si>
    <t>MARUTI VITARA BREZZA ZDI+ AMT</t>
  </si>
  <si>
    <t>VITARA BREZZA 1.3D</t>
  </si>
  <si>
    <t>BR/25001635</t>
  </si>
  <si>
    <t>SBI COLONY</t>
  </si>
  <si>
    <t>JC25001686</t>
  </si>
  <si>
    <t>NAGAMANI  CHODAVARAPU</t>
  </si>
  <si>
    <t>XXXXXX9484</t>
  </si>
  <si>
    <t>AP31DJ8983</t>
  </si>
  <si>
    <t>MARUTI BALENO SIGMA PETROL</t>
  </si>
  <si>
    <t>BR/25001637</t>
  </si>
  <si>
    <t>W/OSANYASIRAO MATAM#16-8-2/2</t>
  </si>
  <si>
    <t>official colony</t>
  </si>
  <si>
    <t>Old employeement office</t>
  </si>
  <si>
    <t>svkumarpr@gmail.com</t>
  </si>
  <si>
    <t>JC25001698</t>
  </si>
  <si>
    <t>NAGABATHULA SUJATHA</t>
  </si>
  <si>
    <t>XXXXXX6972</t>
  </si>
  <si>
    <t>AP31DY0247</t>
  </si>
  <si>
    <t>MARUTI CELERIO ZXI</t>
  </si>
  <si>
    <t>BR/25001642</t>
  </si>
  <si>
    <t># 3 -52-12  FLAT NO-403</t>
  </si>
  <si>
    <t>BRUNDAVAN PRADISE</t>
  </si>
  <si>
    <t>JC25001700</t>
  </si>
  <si>
    <t>M.O.S.</t>
  </si>
  <si>
    <t>SINGIREDDY VASANTHA NAIDU</t>
  </si>
  <si>
    <t>XXXXXX8062</t>
  </si>
  <si>
    <t>AP39UD1342</t>
  </si>
  <si>
    <t>MARUTI ERTIGA VXI CNG 1.5L 5MT</t>
  </si>
  <si>
    <t>WMOS</t>
  </si>
  <si>
    <t>BR/25001643</t>
  </si>
  <si>
    <t>53-41-49/2/1 BHANU NAGAR</t>
  </si>
  <si>
    <t>NEAR KRISHNA COLLEGE</t>
  </si>
  <si>
    <t>MADDILAPALEM</t>
  </si>
  <si>
    <t>nepopo3404@anysilo.com</t>
  </si>
  <si>
    <t>JC25001691</t>
  </si>
  <si>
    <t>RAJESH P</t>
  </si>
  <si>
    <t>XXXXXX0606</t>
  </si>
  <si>
    <t>AP39FW1113</t>
  </si>
  <si>
    <t>MARUTI SWIFT ZXI</t>
  </si>
  <si>
    <t>BR/25001644</t>
  </si>
  <si>
    <t>kkd</t>
  </si>
  <si>
    <t>rajeshcapturz@gmail.com</t>
  </si>
  <si>
    <t>JC25001697</t>
  </si>
  <si>
    <t>MAJJI ASHOK KUMAR</t>
  </si>
  <si>
    <t>XXXXXX1170</t>
  </si>
  <si>
    <t>AP39SQ4486</t>
  </si>
  <si>
    <t>MARUTI DZIRE ZXI 1.2L 5MT</t>
  </si>
  <si>
    <t>BR/25001640</t>
  </si>
  <si>
    <t>#26-332   INDIRA COLONY</t>
  </si>
  <si>
    <t>PARVATHIPURAM</t>
  </si>
  <si>
    <t>VIZIANAGARAM</t>
  </si>
  <si>
    <t>legoy73173@mirarmax.com</t>
  </si>
  <si>
    <t>JC25001680</t>
  </si>
  <si>
    <t>N  PARVATHI</t>
  </si>
  <si>
    <t>XXXXXX2324</t>
  </si>
  <si>
    <t>SA--RM-Satisfied-SA2</t>
  </si>
  <si>
    <t>AP35AL1468</t>
  </si>
  <si>
    <t>BR/25001641</t>
  </si>
  <si>
    <t>MARUTHI COLONY</t>
  </si>
  <si>
    <t>GANDHI STATUE JUNCTION</t>
  </si>
  <si>
    <t>RAMABHADRAPURAM</t>
  </si>
  <si>
    <t>JC25001706</t>
  </si>
  <si>
    <t>VADDADI VIJAYA KUMARI</t>
  </si>
  <si>
    <t>XXXXXX1348</t>
  </si>
  <si>
    <t>TEMPA315855</t>
  </si>
  <si>
    <t>MARUTI GRAND VITARA SMTHYBRID ZETA(O) 1.5L 5MT</t>
  </si>
  <si>
    <t>BR/25001647</t>
  </si>
  <si>
    <t>19-135</t>
  </si>
  <si>
    <t>SAIMADAVA NAGAR</t>
  </si>
  <si>
    <t>PENDURTHI</t>
  </si>
  <si>
    <t>JC25001707</t>
  </si>
  <si>
    <t>Y R AMBEDKAR</t>
  </si>
  <si>
    <t>XXXXXX3322</t>
  </si>
  <si>
    <t>AP39DH1751</t>
  </si>
  <si>
    <t>BR/25001648</t>
  </si>
  <si>
    <t>CVSC   GARIVIDI</t>
  </si>
  <si>
    <t>JC25001702</t>
  </si>
  <si>
    <t>YERNINTI  RAVIKUMAR</t>
  </si>
  <si>
    <t>XXXXXX6869</t>
  </si>
  <si>
    <t>AP40ES5972</t>
  </si>
  <si>
    <t>MARUTI GRAND VITARA SMART HYBRID ALPHA 1.5L 5MT</t>
  </si>
  <si>
    <t>BR/25001654</t>
  </si>
  <si>
    <t>11-29-119/2</t>
  </si>
  <si>
    <t>NALLI STREET</t>
  </si>
  <si>
    <t>BHEEMUNIPATNAM</t>
  </si>
  <si>
    <t>wosoki1186@gta5hx.com</t>
  </si>
  <si>
    <t>JC25001703</t>
  </si>
  <si>
    <t>MALLAVARAPU  VAMSIKRISHNA</t>
  </si>
  <si>
    <t>XXXXXX3653</t>
  </si>
  <si>
    <t>AP39NH9508</t>
  </si>
  <si>
    <t>MARUTI SWIFT DZIRE LXI</t>
  </si>
  <si>
    <t>BR/25001656</t>
  </si>
  <si>
    <t>BLOCK C   101   AYAPPA NAGAR</t>
  </si>
  <si>
    <t>GREEN AMBICA APPARTMENTS</t>
  </si>
  <si>
    <t>SHIVASHAKRTHI NAGAR ROAD</t>
  </si>
  <si>
    <t>vovareh792@amirei.com</t>
  </si>
  <si>
    <t>JC25001641</t>
  </si>
  <si>
    <t>VEMULA  RAMESH</t>
  </si>
  <si>
    <t>XXXXXX3344</t>
  </si>
  <si>
    <t>AP39JE2622</t>
  </si>
  <si>
    <t>BI/25000198</t>
  </si>
  <si>
    <t>F NO-201 SAI ENCLAVE</t>
  </si>
  <si>
    <t>kaloka6367@frisbook.com</t>
  </si>
  <si>
    <t>BR/25001653</t>
  </si>
  <si>
    <t>JC25001652</t>
  </si>
  <si>
    <t>SHAIK RAJIYA BEGUM</t>
  </si>
  <si>
    <t>XXXXXX8649</t>
  </si>
  <si>
    <t>AP39LS9501</t>
  </si>
  <si>
    <t>BI/25000197</t>
  </si>
  <si>
    <t xml:space="preserve">D NO 14-75/1/R  TF-404 </t>
  </si>
  <si>
    <t xml:space="preserve">VARAPRASAD ENCLAVE </t>
  </si>
  <si>
    <t xml:space="preserve">MAHARANIPETA </t>
  </si>
  <si>
    <t>BR/25001652</t>
  </si>
  <si>
    <t>JC25001699</t>
  </si>
  <si>
    <t>CHODAVARAPU SWATHI</t>
  </si>
  <si>
    <t>XXXXXX1097</t>
  </si>
  <si>
    <t>AP39GJ9944</t>
  </si>
  <si>
    <t>BR/25001657</t>
  </si>
  <si>
    <t>F NO:501</t>
  </si>
  <si>
    <t>LAKSHMI RESIDENCY</t>
  </si>
  <si>
    <t>JC25001705</t>
  </si>
  <si>
    <t>MUDUNURI  VENKATA SATYANARAYANA RAJU</t>
  </si>
  <si>
    <t>XXXXXX0747</t>
  </si>
  <si>
    <t>SA--CCE-Dissatisfied-2ND</t>
  </si>
  <si>
    <t>AP05DT1268</t>
  </si>
  <si>
    <t>B31555</t>
  </si>
  <si>
    <t>MARUTI WAGON R VXI</t>
  </si>
  <si>
    <t>BR/25001649</t>
  </si>
  <si>
    <t>D.NO: 4-81</t>
  </si>
  <si>
    <t>RANGAPURAM SAMANASA POST</t>
  </si>
  <si>
    <t>AMALAPURAM MANDAL</t>
  </si>
  <si>
    <t>JC25001685</t>
  </si>
  <si>
    <t>BR/25001650</t>
  </si>
  <si>
    <t>JC25001701</t>
  </si>
  <si>
    <t>S R SRINIVAS</t>
  </si>
  <si>
    <t>XXXXXX4329</t>
  </si>
  <si>
    <t>OD02AR4031</t>
  </si>
  <si>
    <t>D40363</t>
  </si>
  <si>
    <t>METALLIC BAKERS CHOCOLATE</t>
  </si>
  <si>
    <t>MARUTI WAGON R VXI AMT</t>
  </si>
  <si>
    <t>BR/25001651</t>
  </si>
  <si>
    <t>3-135/76/4   FLAT NO 504</t>
  </si>
  <si>
    <t>SRIKRISHNA RESIDENCY</t>
  </si>
  <si>
    <t>SIRIGUDA NAGAR YENDADA</t>
  </si>
  <si>
    <t>JC25001690</t>
  </si>
  <si>
    <t>K USHA VARMA</t>
  </si>
  <si>
    <t>XXXXXX1441</t>
  </si>
  <si>
    <t>AP31BY2346</t>
  </si>
  <si>
    <t>MARUTI SWIFT DZIRE VDI</t>
  </si>
  <si>
    <t>BR/25001645</t>
  </si>
  <si>
    <t>#103   GROUND FLOOR</t>
  </si>
  <si>
    <t>SRINIVASA TOWER</t>
  </si>
  <si>
    <t>JC25001708</t>
  </si>
  <si>
    <t>VILLAPU  SIMHACHALAM</t>
  </si>
  <si>
    <t>XXXXXX8355</t>
  </si>
  <si>
    <t>TEMPB12661</t>
  </si>
  <si>
    <t>B12661</t>
  </si>
  <si>
    <t>Next-Gen ERTIGA CNG</t>
  </si>
  <si>
    <t>BR/25001655</t>
  </si>
  <si>
    <t>SANTHOSH NAGAR</t>
  </si>
  <si>
    <t>VAMBAY COLONY</t>
  </si>
  <si>
    <t>MADHURUWADA</t>
  </si>
  <si>
    <t>JC25001696</t>
  </si>
  <si>
    <t>SERVICE CAMP</t>
  </si>
  <si>
    <t>AMMA GRAPHICS</t>
  </si>
  <si>
    <t>XXXXXX1555</t>
  </si>
  <si>
    <t>AP39UW2056</t>
  </si>
  <si>
    <t>BR/25001646</t>
  </si>
  <si>
    <t xml:space="preserve">D NO 30-7-33 </t>
  </si>
  <si>
    <t>SATYA RESIDENCY SHOP 2</t>
  </si>
  <si>
    <t>DABAGARDENS</t>
  </si>
  <si>
    <t>saraloh503@daupload.com</t>
  </si>
  <si>
    <t>JC25001721</t>
  </si>
  <si>
    <t>Y VIJAYA LAKSHMI</t>
  </si>
  <si>
    <t>XXXXXX7929</t>
  </si>
  <si>
    <t>AP31DJ2459</t>
  </si>
  <si>
    <t>Maruti Ertiga VDI SHVS</t>
  </si>
  <si>
    <t>BR/25001664</t>
  </si>
  <si>
    <t>P R R GANDNAS</t>
  </si>
  <si>
    <t>vizag</t>
  </si>
  <si>
    <t>JC25001711</t>
  </si>
  <si>
    <t>PNENKATESHWARARAO</t>
  </si>
  <si>
    <t>XXXXXX5999</t>
  </si>
  <si>
    <t>AP39FQ3434</t>
  </si>
  <si>
    <t>WAGONR ZXI 1.2L</t>
  </si>
  <si>
    <t>BR/25001661</t>
  </si>
  <si>
    <t>JC25001713</t>
  </si>
  <si>
    <t>TANGUDU KRISHNA RAO</t>
  </si>
  <si>
    <t>XXXXXX5806</t>
  </si>
  <si>
    <t>AP40HR6271</t>
  </si>
  <si>
    <t>BR/25001659</t>
  </si>
  <si>
    <t>FLAT NO-403 13-49/2/54 MK</t>
  </si>
  <si>
    <t>PRESIDENCY GAYATRI NAGAR</t>
  </si>
  <si>
    <t>NEAR POST OFFICE P M PALEM</t>
  </si>
  <si>
    <t>pededi5368@noidem.com</t>
  </si>
  <si>
    <t>JC25001720</t>
  </si>
  <si>
    <t>SRI SWARNA TRANSPORT AND LOGISTICS</t>
  </si>
  <si>
    <t>XXXXXX6313</t>
  </si>
  <si>
    <t>AP40DU2949</t>
  </si>
  <si>
    <t>BR/25001662</t>
  </si>
  <si>
    <t>REP BY MRS SUNKARA LAKSHMI</t>
  </si>
  <si>
    <t>Flat No1-219 Anandapuram</t>
  </si>
  <si>
    <t>Mandalam Bantupalli vari</t>
  </si>
  <si>
    <t>JC25001709</t>
  </si>
  <si>
    <t>BR/25001660</t>
  </si>
  <si>
    <t>JC25001714</t>
  </si>
  <si>
    <t>PILLA  SITARAMPATRUDU</t>
  </si>
  <si>
    <t>XXXXXX2357</t>
  </si>
  <si>
    <t>AP39UC5470</t>
  </si>
  <si>
    <t>BR/25001666</t>
  </si>
  <si>
    <t xml:space="preserve">H NO 2-134 </t>
  </si>
  <si>
    <t xml:space="preserve">PURUSOTTAPURAM </t>
  </si>
  <si>
    <t>SRINIVASA PUBLIC SCHOOL</t>
  </si>
  <si>
    <t>JC25001710</t>
  </si>
  <si>
    <t>VYSYARAJU JEWELLERSPRIVATELIMITED</t>
  </si>
  <si>
    <t>XXXXXX1309</t>
  </si>
  <si>
    <t>AP40EJ7738</t>
  </si>
  <si>
    <t>D30400</t>
  </si>
  <si>
    <t>MARUTI EECO 5 STR AC 1.2L 5MT</t>
  </si>
  <si>
    <t>EECO K12N 2022</t>
  </si>
  <si>
    <t>BR/25001663</t>
  </si>
  <si>
    <t>Plot no.73  block no.46</t>
  </si>
  <si>
    <t>Flat no.10-1-35  near sampath</t>
  </si>
  <si>
    <t>vinayaka temple  asilmetta</t>
  </si>
  <si>
    <t>JC25001668</t>
  </si>
  <si>
    <t>SHEETAL KIRAN B</t>
  </si>
  <si>
    <t>XXXXXX2010</t>
  </si>
  <si>
    <t>KA03MN4020</t>
  </si>
  <si>
    <t>MARUTI RITZ VXI BSIV</t>
  </si>
  <si>
    <t>RITZ</t>
  </si>
  <si>
    <t>BR/25001658</t>
  </si>
  <si>
    <t>#3   321/A 4TH CROSS</t>
  </si>
  <si>
    <t>KAGGADASAPURA</t>
  </si>
  <si>
    <t>C.V RAMAN NAGAR</t>
  </si>
  <si>
    <t>sheetalkiran@yahoo.com</t>
  </si>
  <si>
    <t>JC25001717</t>
  </si>
  <si>
    <t>MADDILA  SURYALAKSHMI</t>
  </si>
  <si>
    <t>XXXXXX1059</t>
  </si>
  <si>
    <t>AP31CU2297</t>
  </si>
  <si>
    <t>BR/25001665</t>
  </si>
  <si>
    <t>#GOWTHAM RESIDENCY F.NO:T/2</t>
  </si>
  <si>
    <t>PLOT NO:124</t>
  </si>
  <si>
    <t>VISALAKSHI NAGAR</t>
  </si>
  <si>
    <t>JC25001724</t>
  </si>
  <si>
    <t>V PRUDHVI</t>
  </si>
  <si>
    <t>XXXXXX5758</t>
  </si>
  <si>
    <t>AP39UA9765</t>
  </si>
  <si>
    <t>C82315</t>
  </si>
  <si>
    <t>MARUTI TOUR S STD 1.2L 5MT</t>
  </si>
  <si>
    <t>NEW SWIFT DZIRE TOUR S PETROL</t>
  </si>
  <si>
    <t>BR/25001669</t>
  </si>
  <si>
    <t>D NO 8-102  SWARNA BHARATHI</t>
  </si>
  <si>
    <t xml:space="preserve">NAGAR  PEDDA RUSHIKONDA </t>
  </si>
  <si>
    <t>tejoso4122@lorkex.com</t>
  </si>
  <si>
    <t>JC25001727</t>
  </si>
  <si>
    <t>BR/25001672</t>
  </si>
  <si>
    <t>JC25001725</t>
  </si>
  <si>
    <t>BETHA LAKSHMI</t>
  </si>
  <si>
    <t>XXXXXX8517</t>
  </si>
  <si>
    <t>AP40DD5043</t>
  </si>
  <si>
    <t>MARUTI SWIFT ZXI+ 1.2L ISS AGS</t>
  </si>
  <si>
    <t>BR/25001671</t>
  </si>
  <si>
    <t>H.NO.11-29-79/1SMITH STREET</t>
  </si>
  <si>
    <t>NR SAI BABA TEMPLE</t>
  </si>
  <si>
    <t>JC25001723</t>
  </si>
  <si>
    <t>BANDARU  VENKATESH</t>
  </si>
  <si>
    <t>XXXXXX1866</t>
  </si>
  <si>
    <t>AP39GW5228</t>
  </si>
  <si>
    <t>METALLIC PREMIUM SILVER</t>
  </si>
  <si>
    <t>BR/25001667</t>
  </si>
  <si>
    <t>6-45-218</t>
  </si>
  <si>
    <t>TAGARAPUVALASA</t>
  </si>
  <si>
    <t>JC25001722</t>
  </si>
  <si>
    <t>PEMMASANI RAMA DEVI</t>
  </si>
  <si>
    <t>XXXXXX3701</t>
  </si>
  <si>
    <t>AP31DY5112</t>
  </si>
  <si>
    <t>C61221</t>
  </si>
  <si>
    <t>BR/25001668</t>
  </si>
  <si>
    <t>#2-119/22 F NO-306</t>
  </si>
  <si>
    <t>SAI TIRUMALA ARCADE</t>
  </si>
  <si>
    <t>RAMMALAYAM VEEDHI YENDADA</t>
  </si>
  <si>
    <t>JC25001726</t>
  </si>
  <si>
    <t>NELLIKONDA  RAVI</t>
  </si>
  <si>
    <t>XXXXXX8333</t>
  </si>
  <si>
    <t>RM--SA--SA2</t>
  </si>
  <si>
    <t>AP31DJ7137</t>
  </si>
  <si>
    <t>MARUTI BALENO DELTA (AUTOMATIC) PETROL</t>
  </si>
  <si>
    <t>BR/25001670</t>
  </si>
  <si>
    <t>S/O BHAGAVANTHU GOUD</t>
  </si>
  <si>
    <t xml:space="preserve">#9-444/5 ASHOK APARTMENT </t>
  </si>
  <si>
    <t>VISALAKSHINAGAR</t>
  </si>
  <si>
    <t>JC25001732</t>
  </si>
  <si>
    <t>PANDA DILIPKUMAR</t>
  </si>
  <si>
    <t>XXXXXX9082</t>
  </si>
  <si>
    <t>TEMPB05021</t>
  </si>
  <si>
    <t>B05021</t>
  </si>
  <si>
    <t>BR/25001675</t>
  </si>
  <si>
    <t xml:space="preserve">7-69  Revallapalem temple </t>
  </si>
  <si>
    <t>Near bhulokamata temple</t>
  </si>
  <si>
    <t>Visakhapatnam   madhurawada</t>
  </si>
  <si>
    <t>JC25001729</t>
  </si>
  <si>
    <t>RAMANA RAVINDRA NATH REDDY</t>
  </si>
  <si>
    <t>XXXXXX0977</t>
  </si>
  <si>
    <t>AP39SC4341</t>
  </si>
  <si>
    <t>BR/25001680</t>
  </si>
  <si>
    <t xml:space="preserve">D.NO:-1/124-1 RAMA RAJU PALLE </t>
  </si>
  <si>
    <t xml:space="preserve">RAMALAYAM STREET BOGGALAPALLE </t>
  </si>
  <si>
    <t>RAVINDRA NAGAR KADAPA.</t>
  </si>
  <si>
    <t>JC25001733</t>
  </si>
  <si>
    <t>LAGUDU SIVA</t>
  </si>
  <si>
    <t>XXXXXX6321</t>
  </si>
  <si>
    <t>AP40EF2882</t>
  </si>
  <si>
    <t>MARUTI SWIFT ZXI+ 1.2L ISS 5MT</t>
  </si>
  <si>
    <t>BR/25001679</t>
  </si>
  <si>
    <t>#D NO-7-86C  SALI VEEDHI</t>
  </si>
  <si>
    <t>ALAMANDA JAMI</t>
  </si>
  <si>
    <t>JC25001731</t>
  </si>
  <si>
    <t>MOHAMMED HUSSAIN RAJ</t>
  </si>
  <si>
    <t>XXXXXX5152</t>
  </si>
  <si>
    <t>AP39QD0053</t>
  </si>
  <si>
    <t>A42061</t>
  </si>
  <si>
    <t>MARUTI EECO 5 STR AC (O) 1.2L 5MT</t>
  </si>
  <si>
    <t>MARUTI EECO PETROL</t>
  </si>
  <si>
    <t>BR/25001673</t>
  </si>
  <si>
    <t>FNO:A1</t>
  </si>
  <si>
    <t>FLOOR TASKEEN MANTION</t>
  </si>
  <si>
    <t>MUBARAK COLONY</t>
  </si>
  <si>
    <t>JC25001638</t>
  </si>
  <si>
    <t>BI/25000201</t>
  </si>
  <si>
    <t>BR/25001677</t>
  </si>
  <si>
    <t>JC25001688</t>
  </si>
  <si>
    <t>KURUBA LAXMI DEVI</t>
  </si>
  <si>
    <t>XXXXXX3959</t>
  </si>
  <si>
    <t>AP63CTR4370</t>
  </si>
  <si>
    <t>BI/25000200</t>
  </si>
  <si>
    <t>F NO 401</t>
  </si>
  <si>
    <t>YELLAMATHOTA</t>
  </si>
  <si>
    <t>OPP BRINDA LODGE</t>
  </si>
  <si>
    <t>JC25001728</t>
  </si>
  <si>
    <t>G RAVI KUMAR</t>
  </si>
  <si>
    <t>XXXXXX8579</t>
  </si>
  <si>
    <t>AP31AY3663</t>
  </si>
  <si>
    <t>BLAZING RED + MIDNIGHT BLACK</t>
  </si>
  <si>
    <t>MARUTI VITARA BREZZA ZDI+</t>
  </si>
  <si>
    <t>BR/25001676</t>
  </si>
  <si>
    <t>D.NO.21-76</t>
  </si>
  <si>
    <t>KAKANI NAGAR</t>
  </si>
  <si>
    <t>NEAR NAD POST</t>
  </si>
  <si>
    <t>JC25001718</t>
  </si>
  <si>
    <t>ANASURI NAGESWARA RAO</t>
  </si>
  <si>
    <t>XXXXXX4336</t>
  </si>
  <si>
    <t>AP39SX6897</t>
  </si>
  <si>
    <t>BI/25000199</t>
  </si>
  <si>
    <t>waltair</t>
  </si>
  <si>
    <t>vishakapatnam</t>
  </si>
  <si>
    <t>BR/25001674</t>
  </si>
  <si>
    <t>JC25001715</t>
  </si>
  <si>
    <t>BENDI SUNITHA</t>
  </si>
  <si>
    <t>XXXXXX0049</t>
  </si>
  <si>
    <t>AP39RT8335</t>
  </si>
  <si>
    <t>MARUTI BALENO ALPHA 1.2L ISS 5MT</t>
  </si>
  <si>
    <t>BR/25001678</t>
  </si>
  <si>
    <t>DR NO:65-3-101</t>
  </si>
  <si>
    <t>NEHRU NAGAR</t>
  </si>
  <si>
    <t>sunithabendi@gmail.com</t>
  </si>
  <si>
    <t>BI/25000202</t>
  </si>
  <si>
    <t>JC25001735</t>
  </si>
  <si>
    <t xml:space="preserve">M/S VARUN MOTORS LTD. </t>
  </si>
  <si>
    <t>XXXXXX7344</t>
  </si>
  <si>
    <t>AP39AS3456</t>
  </si>
  <si>
    <t>MARUTI SWIFT VDI AMT</t>
  </si>
  <si>
    <t>BR/25001683</t>
  </si>
  <si>
    <t>REP BY : N.SRINIVASA REDDY</t>
  </si>
  <si>
    <t>D-25  INDUSTRIAL ESTATE</t>
  </si>
  <si>
    <t>MARRIPALEM</t>
  </si>
  <si>
    <t>bijoj31958@percyfx.com</t>
  </si>
  <si>
    <t>JC25001737</t>
  </si>
  <si>
    <t>MILAN KUMAR DHOLEY</t>
  </si>
  <si>
    <t>XXXXXX9010</t>
  </si>
  <si>
    <t>SA--CCE--2ND--SA--CCE--2ND</t>
  </si>
  <si>
    <t>WB15J5339</t>
  </si>
  <si>
    <t>K008827</t>
  </si>
  <si>
    <t>SIZZLING RED(BLU. BLACK ROOF)</t>
  </si>
  <si>
    <t>BR/25001687</t>
  </si>
  <si>
    <t>8/A PULIN BIHARI DUTTA LANE</t>
  </si>
  <si>
    <t>TRIBENI</t>
  </si>
  <si>
    <t>HOOGHLY</t>
  </si>
  <si>
    <t>milan.dholey@gmail.com</t>
  </si>
  <si>
    <t>JC25001734</t>
  </si>
  <si>
    <t>YERRAMSETTI YERRAYYAMMA</t>
  </si>
  <si>
    <t>XXXXXX5200</t>
  </si>
  <si>
    <t>AP40HK0444</t>
  </si>
  <si>
    <t>MARUTI BREZZA VXI 1.5L 5MT</t>
  </si>
  <si>
    <t>BR/25001682</t>
  </si>
  <si>
    <t>D.NO.8-63-224 CHILLA PETA</t>
  </si>
  <si>
    <t>coyew54979@ncien.com</t>
  </si>
  <si>
    <t>JC25001736</t>
  </si>
  <si>
    <t>BSM  RAJU</t>
  </si>
  <si>
    <t>XXXXXX5666</t>
  </si>
  <si>
    <t>AP39AW5556</t>
  </si>
  <si>
    <t>MARUTI DZIRE VDI</t>
  </si>
  <si>
    <t>New Dzire Diesel</t>
  </si>
  <si>
    <t>BR/25001684</t>
  </si>
  <si>
    <t>rajula veedhi</t>
  </si>
  <si>
    <t>venkampeta</t>
  </si>
  <si>
    <t>vzm</t>
  </si>
  <si>
    <t>conit85232@protonza.com</t>
  </si>
  <si>
    <t>JC25001738</t>
  </si>
  <si>
    <t>Pudu vasanta naidu</t>
  </si>
  <si>
    <t>XXXXXX3165</t>
  </si>
  <si>
    <t>TG09E5256</t>
  </si>
  <si>
    <t>MARUTI BALENO ZETA 1.2L ISS AGS</t>
  </si>
  <si>
    <t>BR/25001686</t>
  </si>
  <si>
    <t>78/a vengalrao</t>
  </si>
  <si>
    <t>Nagar Hyd</t>
  </si>
  <si>
    <t>moxave7663@lovleo.com</t>
  </si>
  <si>
    <t>JC25001712</t>
  </si>
  <si>
    <t>ADARSH CHINTALAPATI</t>
  </si>
  <si>
    <t>XXXXXX2046</t>
  </si>
  <si>
    <t>AP39DH6280</t>
  </si>
  <si>
    <t>PRL.SNOW WHITE 3</t>
  </si>
  <si>
    <t>MARUTI CIAZ SMART HYBRID DELTA</t>
  </si>
  <si>
    <t>BR/25001681</t>
  </si>
  <si>
    <t>3-58 RAJA VEEDI</t>
  </si>
  <si>
    <t>YELAMANCHILI MANDALAM</t>
  </si>
  <si>
    <t>BI/25000203</t>
  </si>
  <si>
    <t>JC25001730</t>
  </si>
  <si>
    <t>BR/25001685</t>
  </si>
  <si>
    <t>JC25001654</t>
  </si>
  <si>
    <t>K SAI SUDHA</t>
  </si>
  <si>
    <t>XXXXXX3200</t>
  </si>
  <si>
    <t>TS09FZ7304</t>
  </si>
  <si>
    <t>BR/25001689</t>
  </si>
  <si>
    <t>6-3-863</t>
  </si>
  <si>
    <t>PADMAVATHI  APARTMENTS</t>
  </si>
  <si>
    <t>AMEERPET</t>
  </si>
  <si>
    <t>honoko8505@keevle.com</t>
  </si>
  <si>
    <t>BI/25000204</t>
  </si>
  <si>
    <t>JC25001741</t>
  </si>
  <si>
    <t>BR/25001690</t>
  </si>
  <si>
    <t>JC25001739</t>
  </si>
  <si>
    <t>PADALA VENKATA RAMANA REDDY</t>
  </si>
  <si>
    <t>XXXXXX4607</t>
  </si>
  <si>
    <t>AP39CQ7215</t>
  </si>
  <si>
    <t>MARUTI DZIRE ZXI AMT</t>
  </si>
  <si>
    <t>BR/25001688</t>
  </si>
  <si>
    <t>3-65/38 FF502</t>
  </si>
  <si>
    <t>SARAYU RESIDENCY</t>
  </si>
  <si>
    <t>padala.1967@gmail.com</t>
  </si>
  <si>
    <t>JC25001743</t>
  </si>
  <si>
    <t>BR/25001691</t>
  </si>
  <si>
    <t>BI/25000205</t>
  </si>
  <si>
    <t>JC25001740</t>
  </si>
  <si>
    <t>BR/25001692</t>
  </si>
  <si>
    <t>JC25001744</t>
  </si>
  <si>
    <t>SANTOSH KUMAR MISHRA</t>
  </si>
  <si>
    <t>XXXXXX8386</t>
  </si>
  <si>
    <t>OD02Y6652</t>
  </si>
  <si>
    <t>MARUTI SWIFT VDI BSIV</t>
  </si>
  <si>
    <t>BR/25001693</t>
  </si>
  <si>
    <t>PLOT NO-ME-08</t>
  </si>
  <si>
    <t>MOHANDAS ENCLAVE</t>
  </si>
  <si>
    <t>KOLATHIA  KHANDAGIRI</t>
  </si>
  <si>
    <t>viwenar930@nrlord.com</t>
  </si>
  <si>
    <t>JC25001747</t>
  </si>
  <si>
    <t>DALLI VENKATA PARANDHAMA REDDY</t>
  </si>
  <si>
    <t>XXXXXX2396</t>
  </si>
  <si>
    <t>AP39CM4284</t>
  </si>
  <si>
    <t>MET. PREMIUM SILVER</t>
  </si>
  <si>
    <t>MARUTI VITARA BREZZA VDI</t>
  </si>
  <si>
    <t>BR/25001695</t>
  </si>
  <si>
    <t xml:space="preserve">39-7-56/8  SRINIVAS APRTS </t>
  </si>
  <si>
    <t xml:space="preserve">MURALI NAGAR </t>
  </si>
  <si>
    <t xml:space="preserve">VISHAKHAPATNAM </t>
  </si>
  <si>
    <t>reddy@gmail.com</t>
  </si>
  <si>
    <t>JC25001751</t>
  </si>
  <si>
    <t>ALUGOLU MANJU</t>
  </si>
  <si>
    <t>XXXXXX4441</t>
  </si>
  <si>
    <t>AP31CM4040</t>
  </si>
  <si>
    <t>MARUTI ERTIGA ZDI BS IV</t>
  </si>
  <si>
    <t>BR/25001698</t>
  </si>
  <si>
    <t xml:space="preserve">D/NO:-4-59-183 </t>
  </si>
  <si>
    <t xml:space="preserve">VELAM PETA  </t>
  </si>
  <si>
    <t>loyeki9077@mardiek.com</t>
  </si>
  <si>
    <t>JC25001753</t>
  </si>
  <si>
    <t>BR/25001701</t>
  </si>
  <si>
    <t>JC25001748</t>
  </si>
  <si>
    <t>ACHYUTHA RAMAIAH G</t>
  </si>
  <si>
    <t>XXXXXX9449</t>
  </si>
  <si>
    <t>TS07GE9399</t>
  </si>
  <si>
    <t>Maruti CIAZ Automatic Delta</t>
  </si>
  <si>
    <t>CIAZ PETROL</t>
  </si>
  <si>
    <t>BR/25001702</t>
  </si>
  <si>
    <t>MATHRUSRI NAGAR SRADHA</t>
  </si>
  <si>
    <t>APARTMENTS GATE NO-3</t>
  </si>
  <si>
    <t>MIYAPUR</t>
  </si>
  <si>
    <t>Achyuthg@gmail.com</t>
  </si>
  <si>
    <t>JC25001750</t>
  </si>
  <si>
    <t>DHARMENDHRA SRIHARI SHANKARTETALI</t>
  </si>
  <si>
    <t>XXXXXX6645</t>
  </si>
  <si>
    <t>AP39SH1545</t>
  </si>
  <si>
    <t>BR/25001697</t>
  </si>
  <si>
    <t>FLAT NO 305 TSR NRI COUNTY 2</t>
  </si>
  <si>
    <t>NEAR RAMALAYAM YENDADA</t>
  </si>
  <si>
    <t>srihari1982@gmail.com</t>
  </si>
  <si>
    <t>JC25001752</t>
  </si>
  <si>
    <t>RAMESH VEERA VENKATA KONDUGARI</t>
  </si>
  <si>
    <t>XXXXXX3241</t>
  </si>
  <si>
    <t>AP31VXTR1815</t>
  </si>
  <si>
    <t>BR/25001703</t>
  </si>
  <si>
    <t xml:space="preserve">PLOT NO.12  MSN COLONY </t>
  </si>
  <si>
    <t xml:space="preserve">NEAR OM MANDIRAM </t>
  </si>
  <si>
    <t>LANKA VEEDHI.</t>
  </si>
  <si>
    <t>hemanth799@gmail.com</t>
  </si>
  <si>
    <t>JC25001745</t>
  </si>
  <si>
    <t>CHINTALAPATI SUJATHA</t>
  </si>
  <si>
    <t>XXXXXX5173</t>
  </si>
  <si>
    <t>AP39FT3491</t>
  </si>
  <si>
    <t>BR/25001700</t>
  </si>
  <si>
    <t>F NO 201</t>
  </si>
  <si>
    <t>MVV PRESIDENCY</t>
  </si>
  <si>
    <t>OLD VENKOJIPALEM HBCOLONY</t>
  </si>
  <si>
    <t>JC25001742</t>
  </si>
  <si>
    <t>MEESALA ASWANI</t>
  </si>
  <si>
    <t>XXXXXX8905</t>
  </si>
  <si>
    <t>AP39UV4618</t>
  </si>
  <si>
    <t>MARUTI DZIRE VXI CNG 1.2L 5MT</t>
  </si>
  <si>
    <t>Dzire CNG</t>
  </si>
  <si>
    <t>BR/25001694</t>
  </si>
  <si>
    <t>2-6 DOLAPETA</t>
  </si>
  <si>
    <t>VENAKM PETA REGIDI</t>
  </si>
  <si>
    <t>SRIKAKULAM</t>
  </si>
  <si>
    <t>JC25001749</t>
  </si>
  <si>
    <t>BR/25001696</t>
  </si>
  <si>
    <t>JC25001746</t>
  </si>
  <si>
    <t>P. HARI PRAKASH (R.S.I)</t>
  </si>
  <si>
    <t>XXXXXX1113</t>
  </si>
  <si>
    <t>AP10AS6781</t>
  </si>
  <si>
    <t>WAGON R VXI BS III (WITH IMMOBILISER)</t>
  </si>
  <si>
    <t>WAGON R</t>
  </si>
  <si>
    <t>BR/25001699</t>
  </si>
  <si>
    <t>FLAT NO:504 JAGHUTHI</t>
  </si>
  <si>
    <t xml:space="preserve">TOWERS SHYAMLAL BUILDING </t>
  </si>
  <si>
    <t>BEGUMPET HYDERABAD</t>
  </si>
  <si>
    <t>JC25001756</t>
  </si>
  <si>
    <t>KAKARLAPUDI VENKATA SATYA SANKARA VARMA</t>
  </si>
  <si>
    <t>XXXXXX3500</t>
  </si>
  <si>
    <t>T1025AP5080BR</t>
  </si>
  <si>
    <t>B01759</t>
  </si>
  <si>
    <t>BLUISH BLACK</t>
  </si>
  <si>
    <t>BR/25001706</t>
  </si>
  <si>
    <t>GF-2/10-16/2  BAK SAI PRASAD</t>
  </si>
  <si>
    <t>ENCLAVE VISAKHAPATNAM</t>
  </si>
  <si>
    <t xml:space="preserve"> GAYATRI NAGAR ROAD 7 REVENUE</t>
  </si>
  <si>
    <t>balivo4639@fogdiver.com</t>
  </si>
  <si>
    <t>JC25001754</t>
  </si>
  <si>
    <t>VENKATA MAHA LAKSHMI SAMANCHI</t>
  </si>
  <si>
    <t>XXXXXX8329</t>
  </si>
  <si>
    <t>AP39CM4554</t>
  </si>
  <si>
    <t>MARUTI ERTIGA ZDI</t>
  </si>
  <si>
    <t>ERTIGA DIESEL 1.5L</t>
  </si>
  <si>
    <t>BR/25001714</t>
  </si>
  <si>
    <t>FLaT NO:55  SRIVALLI PALACE</t>
  </si>
  <si>
    <t>UNDAVALLI APARTMENT</t>
  </si>
  <si>
    <t>PATHEBAD  ELURU</t>
  </si>
  <si>
    <t>satyanarayana.murthy@gmailc.om</t>
  </si>
  <si>
    <t>JC25001773</t>
  </si>
  <si>
    <t>ILLA MANIKANTA</t>
  </si>
  <si>
    <t>XXXXXX0626</t>
  </si>
  <si>
    <t>AP39WB4286</t>
  </si>
  <si>
    <t>BR/25001716</t>
  </si>
  <si>
    <t>2-2-4/5</t>
  </si>
  <si>
    <t>SEC-9 MVP COLONY</t>
  </si>
  <si>
    <t>GOLLA VEEDHI</t>
  </si>
  <si>
    <t>dhanusandhya6@gmail.com</t>
  </si>
  <si>
    <t>JC25001771</t>
  </si>
  <si>
    <t>DAMAROTHU SAMBA MURTHY</t>
  </si>
  <si>
    <t>XXXXXX3890</t>
  </si>
  <si>
    <t>AP40EC1181</t>
  </si>
  <si>
    <t>BR/25001709</t>
  </si>
  <si>
    <t>3-23/1</t>
  </si>
  <si>
    <t>KASIMKOTA</t>
  </si>
  <si>
    <t>BAYYAVARAM</t>
  </si>
  <si>
    <t>JC25001758</t>
  </si>
  <si>
    <t>BR/25001705</t>
  </si>
  <si>
    <t>JC25001763</t>
  </si>
  <si>
    <t>BR/25001707</t>
  </si>
  <si>
    <t>JC25001760</t>
  </si>
  <si>
    <t>GUNTUBOINA YASODHA</t>
  </si>
  <si>
    <t>XXXXXX4449</t>
  </si>
  <si>
    <t>AP40CB3344</t>
  </si>
  <si>
    <t>BR/25001712</t>
  </si>
  <si>
    <t>8-42-27 TAMIL STREET NEAR</t>
  </si>
  <si>
    <t>RAMALAYAM CHINAWALTAIR</t>
  </si>
  <si>
    <t>LB COLONY VISAKHAPATNAM</t>
  </si>
  <si>
    <t>naseyeh248@nrlord.com</t>
  </si>
  <si>
    <t>JC25001757</t>
  </si>
  <si>
    <t>NERELLA SAI KUMAR</t>
  </si>
  <si>
    <t>XXXXXX9155</t>
  </si>
  <si>
    <t>AP39WG8141</t>
  </si>
  <si>
    <t>BR/25001704</t>
  </si>
  <si>
    <t>7-93 RH COLONY P M PALEM</t>
  </si>
  <si>
    <t>JC25001772</t>
  </si>
  <si>
    <t>BR/25001711</t>
  </si>
  <si>
    <t>JC25001770</t>
  </si>
  <si>
    <t>P V V JAGADEESH</t>
  </si>
  <si>
    <t>AP05DA6212</t>
  </si>
  <si>
    <t>BR/25001708</t>
  </si>
  <si>
    <t xml:space="preserve">D.NO.15-11-24A </t>
  </si>
  <si>
    <t>TIMMARAJU PETA OPP.RADHAM SHED</t>
  </si>
  <si>
    <t>PEDDAPURAM</t>
  </si>
  <si>
    <t>JC25001755</t>
  </si>
  <si>
    <t>VANGAPANDU ANEEL NAIDU</t>
  </si>
  <si>
    <t>XXXXXX3512</t>
  </si>
  <si>
    <t>AP39RZ1873</t>
  </si>
  <si>
    <t>PRME. AUBURN RED</t>
  </si>
  <si>
    <t>BR/25001715</t>
  </si>
  <si>
    <t>BC COLONY GOBHYAM</t>
  </si>
  <si>
    <t>DATTIRAJERU GOBHYAM</t>
  </si>
  <si>
    <t>Naidu760@gmail.com</t>
  </si>
  <si>
    <t>JC25001768</t>
  </si>
  <si>
    <t>BR/25001710</t>
  </si>
  <si>
    <t>JC25001764</t>
  </si>
  <si>
    <t>JAGILENKI LAKSHMI</t>
  </si>
  <si>
    <t>XXXXXX6482</t>
  </si>
  <si>
    <t>AP31DY5864</t>
  </si>
  <si>
    <t>MARUTI VITARA BREZZA VDI (O)</t>
  </si>
  <si>
    <t>BR/25001717</t>
  </si>
  <si>
    <t>#TF1 SRISAI SAHA SRI APRTS</t>
  </si>
  <si>
    <t>OPP:NRI IIT ACADEMY</t>
  </si>
  <si>
    <t>JR COLLEGE YANDDADA</t>
  </si>
  <si>
    <t>jmrao9999@gmail.com</t>
  </si>
  <si>
    <t>JC25001781</t>
  </si>
  <si>
    <t>BR/25001724</t>
  </si>
  <si>
    <t>JC25001776</t>
  </si>
  <si>
    <t>SRILAKSHMI  SAKHARI</t>
  </si>
  <si>
    <t>XXXXXX7999</t>
  </si>
  <si>
    <t>AP39JF2215</t>
  </si>
  <si>
    <t>MARUTI S-PRESSO VXI</t>
  </si>
  <si>
    <t>BR/25001726</t>
  </si>
  <si>
    <t>black no b4  flat no 209</t>
  </si>
  <si>
    <t>vaishashi sky line appt</t>
  </si>
  <si>
    <t>yendada</t>
  </si>
  <si>
    <t>saxipo6181@nrlord.com</t>
  </si>
  <si>
    <t>JC25001778</t>
  </si>
  <si>
    <t>ALLU SURYA RAVI</t>
  </si>
  <si>
    <t>XXXXXX9137</t>
  </si>
  <si>
    <t>AP40CR3760</t>
  </si>
  <si>
    <t>D99531</t>
  </si>
  <si>
    <t>MARUTI SWIFT VXI 1.2L AGS</t>
  </si>
  <si>
    <t>BR/25001723</t>
  </si>
  <si>
    <t>BHEEMASINGI</t>
  </si>
  <si>
    <t>KORUKONDA</t>
  </si>
  <si>
    <t>KUMARAM</t>
  </si>
  <si>
    <t>JC25001774</t>
  </si>
  <si>
    <t>P SITA RAMARAJU</t>
  </si>
  <si>
    <t>XXXXXX7356</t>
  </si>
  <si>
    <t>AP39MA2728</t>
  </si>
  <si>
    <t>MARUTI VITARA BREZZA SMART HYBRID ZXI+ 1.5L AT</t>
  </si>
  <si>
    <t>VITARA BREZZA K15B BS-VI</t>
  </si>
  <si>
    <t>BR/25001730</t>
  </si>
  <si>
    <t xml:space="preserve">FLOTNO-402 </t>
  </si>
  <si>
    <t xml:space="preserve">SRI PARVATHI NIVAS  </t>
  </si>
  <si>
    <t>VIVEKANANDA NAGAR.</t>
  </si>
  <si>
    <t>JC25001784</t>
  </si>
  <si>
    <t>BR/25001725</t>
  </si>
  <si>
    <t>JC25001762</t>
  </si>
  <si>
    <t>POLURU RAJENDRA PRASAD</t>
  </si>
  <si>
    <t>XXXXXX9991</t>
  </si>
  <si>
    <t>AP39RQ5377</t>
  </si>
  <si>
    <t>BR/25001722</t>
  </si>
  <si>
    <t>D NO 48-8-6/5  P NO 303</t>
  </si>
  <si>
    <t>SRI SAI PLAZA</t>
  </si>
  <si>
    <t>BASAVAPUNNAIAH ST</t>
  </si>
  <si>
    <t>polururajendraprasad@gmail.com</t>
  </si>
  <si>
    <t>BI/25000208</t>
  </si>
  <si>
    <t>JC25001783</t>
  </si>
  <si>
    <t>G.PRABHAKAR</t>
  </si>
  <si>
    <t>XXXXXX3523</t>
  </si>
  <si>
    <t>AP03AG9776</t>
  </si>
  <si>
    <t>PEARL SILVER</t>
  </si>
  <si>
    <t>ZEN VXI - ESTILO (BS III WITH IMMOBILISER)</t>
  </si>
  <si>
    <t>ZEN ESTILO</t>
  </si>
  <si>
    <t>BR/25001729</t>
  </si>
  <si>
    <t>S/O.G.JAGGA RAO</t>
  </si>
  <si>
    <t>19-8-180/101  ANNAMAYYA TOWERS</t>
  </si>
  <si>
    <t>YADAVACOLONY</t>
  </si>
  <si>
    <t>JC25001695</t>
  </si>
  <si>
    <t>PAVAN KUMAR BEHERA</t>
  </si>
  <si>
    <t>XXXXXX1910</t>
  </si>
  <si>
    <t>AP39NA6063</t>
  </si>
  <si>
    <t>MARUTI VITARA BREZZA ZXI 1.5L 5MT</t>
  </si>
  <si>
    <t>BR/25001719</t>
  </si>
  <si>
    <t>D.no :-1-57/6   SF-302</t>
  </si>
  <si>
    <t>GOVINDA NILAYAM</t>
  </si>
  <si>
    <t>SANDIPINI NAGAR</t>
  </si>
  <si>
    <t>BI/25000206</t>
  </si>
  <si>
    <t>JC25001777</t>
  </si>
  <si>
    <t>GANDUPALLI YUGANDHAR</t>
  </si>
  <si>
    <t>XXXXXX1229</t>
  </si>
  <si>
    <t>AP31DK5428</t>
  </si>
  <si>
    <t>MARUTI CELERIO ZXI AMT</t>
  </si>
  <si>
    <t>BR/25001727</t>
  </si>
  <si>
    <t>HIGH SCHOOL ROAD</t>
  </si>
  <si>
    <t>GAJUWAKA</t>
  </si>
  <si>
    <t>yugandhar0909@gmail.com</t>
  </si>
  <si>
    <t>JC25001761</t>
  </si>
  <si>
    <t>PALLA LOKESH PAVAN</t>
  </si>
  <si>
    <t>XXXXXX1299</t>
  </si>
  <si>
    <t>AP40EX6079</t>
  </si>
  <si>
    <t>C738790</t>
  </si>
  <si>
    <t>BR/25001721</t>
  </si>
  <si>
    <t>PRAKASHA RAO PETA</t>
  </si>
  <si>
    <t>DISTRICT COURT</t>
  </si>
  <si>
    <t>MAHARANIPETA</t>
  </si>
  <si>
    <t>lokeshpavanpalla143@gmail.com</t>
  </si>
  <si>
    <t>BI/25000207</t>
  </si>
  <si>
    <t>JC25001775</t>
  </si>
  <si>
    <t>R RAJESWARAMMA</t>
  </si>
  <si>
    <t>XXXXXX0109</t>
  </si>
  <si>
    <t>AP35S8568</t>
  </si>
  <si>
    <t>BR/25001720</t>
  </si>
  <si>
    <t xml:space="preserve">LIG-90 BABAMETTA </t>
  </si>
  <si>
    <t xml:space="preserve">NEAR-7 TEMPLES </t>
  </si>
  <si>
    <t>VUDACOLONY.9490106690</t>
  </si>
  <si>
    <t>JC25001785</t>
  </si>
  <si>
    <t>BR/25001728</t>
  </si>
  <si>
    <t>JC25001779</t>
  </si>
  <si>
    <t>SREEKANTH MATCHA</t>
  </si>
  <si>
    <t>XXXXXX7788</t>
  </si>
  <si>
    <t>TN09BW2674</t>
  </si>
  <si>
    <t>MARUTI SWIFT DZIRE ZDI BS IV</t>
  </si>
  <si>
    <t>BR/25001718</t>
  </si>
  <si>
    <t>FLAT NO 1/20 MPLE TOWERS</t>
  </si>
  <si>
    <t>WANOWRIE</t>
  </si>
  <si>
    <t>PUNE</t>
  </si>
  <si>
    <t>doniv45962@nrlord.com</t>
  </si>
  <si>
    <t>JC25001640</t>
  </si>
  <si>
    <t>KKUMARVARMA</t>
  </si>
  <si>
    <t>XXXXXX7623</t>
  </si>
  <si>
    <t>AP35P1122</t>
  </si>
  <si>
    <t>BR/25001734</t>
  </si>
  <si>
    <t>S/O K.SUBBARAJU DNO-1-15-48.</t>
  </si>
  <si>
    <t>KUSUMUPALAM   sold</t>
  </si>
  <si>
    <t>PH-9440000005 &amp; 9618647099</t>
  </si>
  <si>
    <t>JC25001789</t>
  </si>
  <si>
    <t>BR/25001733</t>
  </si>
  <si>
    <t>JC25001786</t>
  </si>
  <si>
    <t>K   RAMANI</t>
  </si>
  <si>
    <t>XXXXXX5397</t>
  </si>
  <si>
    <t>AP31DZ6016</t>
  </si>
  <si>
    <t>PRME.RAY BLUE</t>
  </si>
  <si>
    <t>MARUTI BALENO ALPHA</t>
  </si>
  <si>
    <t>MARUTI BALENO DIESEL</t>
  </si>
  <si>
    <t>BR/25001738</t>
  </si>
  <si>
    <t>VILLA NO111</t>
  </si>
  <si>
    <t>VPL GREEN CITY</t>
  </si>
  <si>
    <t>VADLAPUDI POST</t>
  </si>
  <si>
    <t>JC25001792</t>
  </si>
  <si>
    <t>BONI SHYAM KUMAR</t>
  </si>
  <si>
    <t>XXXXXX7347</t>
  </si>
  <si>
    <t>AP39WH9181</t>
  </si>
  <si>
    <t>F132383</t>
  </si>
  <si>
    <t>MARUTI DZIRE ZXI CNG 1.2L 5MT</t>
  </si>
  <si>
    <t>DAZZLING NEW DZIRE CNG</t>
  </si>
  <si>
    <t>BR/25001736</t>
  </si>
  <si>
    <t xml:space="preserve">BONI </t>
  </si>
  <si>
    <t>JC25001759</t>
  </si>
  <si>
    <t>BR/25001735</t>
  </si>
  <si>
    <t>JC25001793</t>
  </si>
  <si>
    <t>KADAVALA APPALA SATYANARAYANA</t>
  </si>
  <si>
    <t>XXXXXX4898</t>
  </si>
  <si>
    <t>AP39RY7810</t>
  </si>
  <si>
    <t>BR/25001740</t>
  </si>
  <si>
    <t>27-16-1/1 KALLUPAKALU</t>
  </si>
  <si>
    <t>NR DURGALAMMA TEMPLE</t>
  </si>
  <si>
    <t>POORNA MARKET</t>
  </si>
  <si>
    <t>tarunkadavala130@gmail.com</t>
  </si>
  <si>
    <t>JC25001790</t>
  </si>
  <si>
    <t>SHARFUNNISA  BEGUM</t>
  </si>
  <si>
    <t>XXXXXX2434</t>
  </si>
  <si>
    <t>AP39QM0581</t>
  </si>
  <si>
    <t>B-PG RED &amp; R-MN BLACK</t>
  </si>
  <si>
    <t>BR/25001731</t>
  </si>
  <si>
    <t>203  SR SAGAR SOUDHA</t>
  </si>
  <si>
    <t>APTS  YENDADA</t>
  </si>
  <si>
    <t>bashaddf@gmail.com</t>
  </si>
  <si>
    <t>JC25001791</t>
  </si>
  <si>
    <t>AVANAPU MUTYALA RAO</t>
  </si>
  <si>
    <t>XXXXXX1887</t>
  </si>
  <si>
    <t>AP31DT7558</t>
  </si>
  <si>
    <t>MARUTI VITARA BREZZA ZDI</t>
  </si>
  <si>
    <t>BR/25001737</t>
  </si>
  <si>
    <t>D NO 5-386 (1)</t>
  </si>
  <si>
    <t>PRAMALAYAM (V) SIG NAGAR</t>
  </si>
  <si>
    <t>CHINAGADHILI</t>
  </si>
  <si>
    <t>JC25001794</t>
  </si>
  <si>
    <t>S LAXMAN RAO</t>
  </si>
  <si>
    <t>XXXXXX4457</t>
  </si>
  <si>
    <t>AP31BW8926</t>
  </si>
  <si>
    <t>MARUTI SWIFT DZIRE VXI</t>
  </si>
  <si>
    <t>BR/25001739</t>
  </si>
  <si>
    <t>Flat No - 301 D9-28/9  4 Th</t>
  </si>
  <si>
    <t>Ashiana AppTs  FCI LAYAO</t>
  </si>
  <si>
    <t>PM PALEM</t>
  </si>
  <si>
    <t>tadax32640@coasah.com</t>
  </si>
  <si>
    <t>JC25001653</t>
  </si>
  <si>
    <t>CHINTHAPALLI ADITHYA SIVANAND</t>
  </si>
  <si>
    <t>XXXXXX5587</t>
  </si>
  <si>
    <t>AP39LB9794</t>
  </si>
  <si>
    <t>BR/25001732</t>
  </si>
  <si>
    <t>36-92-339/1</t>
  </si>
  <si>
    <t>BARMA CAMP</t>
  </si>
  <si>
    <t>BI/25000209</t>
  </si>
  <si>
    <t>JC25001704</t>
  </si>
  <si>
    <t>V  SIMHACHALAM</t>
  </si>
  <si>
    <t>XXXXXX9136</t>
  </si>
  <si>
    <t>AP39GC6378</t>
  </si>
  <si>
    <t>MARUTI CELERIO VXI 1L 5MT</t>
  </si>
  <si>
    <t>BR/25001749</t>
  </si>
  <si>
    <t>10-146/7  SUBHASH NAGAR</t>
  </si>
  <si>
    <t>CHINNAGADILI</t>
  </si>
  <si>
    <t>GEETAM</t>
  </si>
  <si>
    <t>vallam.chalam@gmail.com</t>
  </si>
  <si>
    <t>BI/25000212</t>
  </si>
  <si>
    <t>JC25001796</t>
  </si>
  <si>
    <t>T  PURUSHOTHAM</t>
  </si>
  <si>
    <t>XXXXXX7572</t>
  </si>
  <si>
    <t>AP39SB5262</t>
  </si>
  <si>
    <t>MARUTI ALTO K10 VXI+ 1L AGS</t>
  </si>
  <si>
    <t>ALTO K10C</t>
  </si>
  <si>
    <t>BR/25001744</t>
  </si>
  <si>
    <t xml:space="preserve">D NO:45-51-3/3 </t>
  </si>
  <si>
    <t>ABID NAGAR</t>
  </si>
  <si>
    <t>AKKAYYAPALEM</t>
  </si>
  <si>
    <t>ravi23kiran@yahoo.com</t>
  </si>
  <si>
    <t>JC25001767</t>
  </si>
  <si>
    <t>MATCHA SARASWATHI SURYAKUMARI</t>
  </si>
  <si>
    <t>XXXXXX6662</t>
  </si>
  <si>
    <t>TEMP393232</t>
  </si>
  <si>
    <t>MARUTI SWIFT VXI CNG 1.2L 5MT</t>
  </si>
  <si>
    <t>EPIC NEW SWIFT CNG</t>
  </si>
  <si>
    <t>BI/25000213</t>
  </si>
  <si>
    <t>AMRUTHA NILAYAM  A.P.S.E.B.</t>
  </si>
  <si>
    <t xml:space="preserve">COLONY 55-14-64/10 </t>
  </si>
  <si>
    <t>SEETHAMMADHARA  P&amp;T COLONY</t>
  </si>
  <si>
    <t>JC25001797</t>
  </si>
  <si>
    <t>SANTOSH KUMAR DANDAPAT</t>
  </si>
  <si>
    <t>XXXXXX8714</t>
  </si>
  <si>
    <t>AP39QG0631</t>
  </si>
  <si>
    <t>BR/25001748</t>
  </si>
  <si>
    <t>Q NO 10E  HPCL</t>
  </si>
  <si>
    <t xml:space="preserve">HOUSING COMPLEX </t>
  </si>
  <si>
    <t xml:space="preserve">SIRIPURAM </t>
  </si>
  <si>
    <t>JC25001798</t>
  </si>
  <si>
    <t>BR/25001752</t>
  </si>
  <si>
    <t>JC25001799</t>
  </si>
  <si>
    <t>G PRASANTHI KUMARI</t>
  </si>
  <si>
    <t>XXXXXX5679</t>
  </si>
  <si>
    <t>AP31DC1279</t>
  </si>
  <si>
    <t>MARUTI ALTO 800 VXI BS IV</t>
  </si>
  <si>
    <t>BR/25001745</t>
  </si>
  <si>
    <t>DNO:8-17/1</t>
  </si>
  <si>
    <t>THOTA GARUVU</t>
  </si>
  <si>
    <t>Z P HIGH SCHOOL  ARILOVA</t>
  </si>
  <si>
    <t>JC25001788</t>
  </si>
  <si>
    <t>MVRAVIKUMAR</t>
  </si>
  <si>
    <t>XXXXXX4944</t>
  </si>
  <si>
    <t>AP31DJ6998</t>
  </si>
  <si>
    <t>PRME.DIGNITY BROWN</t>
  </si>
  <si>
    <t>MARUTI CIAZ SHVS VDI+</t>
  </si>
  <si>
    <t>CIAZ DIESEL</t>
  </si>
  <si>
    <t>BR/25001742</t>
  </si>
  <si>
    <t>D NO:6-55/4 SANTHIPETA</t>
  </si>
  <si>
    <t>NEAR OLD POST OFFICE</t>
  </si>
  <si>
    <t>THAGARAPUVALASA</t>
  </si>
  <si>
    <t>JC25001765</t>
  </si>
  <si>
    <t>KORRA LATCHANNA</t>
  </si>
  <si>
    <t>XXXXXX8114</t>
  </si>
  <si>
    <t>AP39GP1634</t>
  </si>
  <si>
    <t>MN BLUE</t>
  </si>
  <si>
    <t>MARUTI SWIFT ZXI+ AMT</t>
  </si>
  <si>
    <t>BI/25000210</t>
  </si>
  <si>
    <t>8-30/2/5/17</t>
  </si>
  <si>
    <t>SURYA NAGAR</t>
  </si>
  <si>
    <t>tagil24131@keevle.com</t>
  </si>
  <si>
    <t>BR/25001741</t>
  </si>
  <si>
    <t>JC25001766</t>
  </si>
  <si>
    <t>TEMP879219</t>
  </si>
  <si>
    <t>BR/25001747</t>
  </si>
  <si>
    <t>BI/25000211</t>
  </si>
  <si>
    <t>JC25001801</t>
  </si>
  <si>
    <t>BONU SUJATHA</t>
  </si>
  <si>
    <t>XXXXXX1937</t>
  </si>
  <si>
    <t>TEMPB00492</t>
  </si>
  <si>
    <t>B00492</t>
  </si>
  <si>
    <t>BR/25001746</t>
  </si>
  <si>
    <t>Rajupeta post</t>
  </si>
  <si>
    <t>Seethayya peta</t>
  </si>
  <si>
    <t>Bobbili bazar</t>
  </si>
  <si>
    <t>JC25001795</t>
  </si>
  <si>
    <t>RAMACHANDRAN  AKASH</t>
  </si>
  <si>
    <t>XXXXXX2107</t>
  </si>
  <si>
    <t>TEMPBA75684</t>
  </si>
  <si>
    <t>A75684</t>
  </si>
  <si>
    <t>BR/25001743</t>
  </si>
  <si>
    <t>FLAT NO 401 V K SATYA</t>
  </si>
  <si>
    <t>KESAVA PLAZA VIVEKANANDA</t>
  </si>
  <si>
    <t>NAGAR YENDADA</t>
  </si>
  <si>
    <t>JC25001803</t>
  </si>
  <si>
    <t>E V S SIVA KUMAR</t>
  </si>
  <si>
    <t>XXXXXX8108</t>
  </si>
  <si>
    <t>AP39GY1033</t>
  </si>
  <si>
    <t>MARUTI BALENO DELTA PETROL</t>
  </si>
  <si>
    <t>BR/25001750</t>
  </si>
  <si>
    <t>DR NO:1-61 LIG</t>
  </si>
  <si>
    <t>SECTOR - 5</t>
  </si>
  <si>
    <t>sivakumarevs@gmail.com</t>
  </si>
  <si>
    <t>JC25001787</t>
  </si>
  <si>
    <t>GG N K YADAV</t>
  </si>
  <si>
    <t>XXXXXX5855</t>
  </si>
  <si>
    <t>AP31DJ0660</t>
  </si>
  <si>
    <t>MARUTI SWIFT ZDI BSIV</t>
  </si>
  <si>
    <t>BR/25001751</t>
  </si>
  <si>
    <t>DNO 13-7-65</t>
  </si>
  <si>
    <t>GOLLAVEEDHI</t>
  </si>
  <si>
    <t>JC25001804</t>
  </si>
  <si>
    <t>SANKARARAO CH</t>
  </si>
  <si>
    <t>XXXXXX9687</t>
  </si>
  <si>
    <t>AP35AF5996</t>
  </si>
  <si>
    <t>B71183</t>
  </si>
  <si>
    <t>MARUTI ALTO 800 LXI</t>
  </si>
  <si>
    <t>BR/25001753</t>
  </si>
  <si>
    <t>somago9142@dwakm.com</t>
  </si>
  <si>
    <t>JC25001808</t>
  </si>
  <si>
    <t>B VAMSIKRISHNA</t>
  </si>
  <si>
    <t>AP39US8844</t>
  </si>
  <si>
    <t>BR/25001754</t>
  </si>
  <si>
    <t>DNO 29-32-1</t>
  </si>
  <si>
    <t>GOLLALAPALEM</t>
  </si>
  <si>
    <t>JC25001810</t>
  </si>
  <si>
    <t>BR/25001757</t>
  </si>
  <si>
    <t>JC25001812</t>
  </si>
  <si>
    <t>BR/25001759</t>
  </si>
  <si>
    <t>JC25001811</t>
  </si>
  <si>
    <t>BR/25001758</t>
  </si>
  <si>
    <t>JC25001780</t>
  </si>
  <si>
    <t>KOMBATHULA SURYANARAYANA</t>
  </si>
  <si>
    <t>XXXXXX7118</t>
  </si>
  <si>
    <t>AP31EV7969</t>
  </si>
  <si>
    <t>MARUTI CIAZ SMART HYBRID ALPHA DIESEL</t>
  </si>
  <si>
    <t>BR/25001760</t>
  </si>
  <si>
    <t>FLAT NO-2012</t>
  </si>
  <si>
    <t>KRISHNA BRUNDHAVANAM APARTMENT</t>
  </si>
  <si>
    <t>NEAR ARCHEAN MARBLE YENDADA</t>
  </si>
  <si>
    <t>kombathula@gmail.com</t>
  </si>
  <si>
    <t>BI/25000215</t>
  </si>
  <si>
    <t>JC25001769</t>
  </si>
  <si>
    <t>DALIBOYINA VENKATA SRINIVASA RAO</t>
  </si>
  <si>
    <t>XXXXXX4671</t>
  </si>
  <si>
    <t>AP31DT969</t>
  </si>
  <si>
    <t>MARUTI BALENO ALPHA PETROL</t>
  </si>
  <si>
    <t>BI/25000214</t>
  </si>
  <si>
    <t>S/O D ATCHANNA</t>
  </si>
  <si>
    <t>#58-1-423 SANTHINAGAR</t>
  </si>
  <si>
    <t>NAD KOTHAROAD</t>
  </si>
  <si>
    <t>JC25001809</t>
  </si>
  <si>
    <t>KROTHA VENKATA SATISH</t>
  </si>
  <si>
    <t>XXXXXXX4959</t>
  </si>
  <si>
    <t>XXXXXX7019</t>
  </si>
  <si>
    <t>AP39JZ0620</t>
  </si>
  <si>
    <t>BR/25001755</t>
  </si>
  <si>
    <t>10-2-3/8 F NO: 204</t>
  </si>
  <si>
    <t>TIRUMALA HEIGHTS</t>
  </si>
  <si>
    <t>BALAJI NAGAR NR SIRIPURAM</t>
  </si>
  <si>
    <t>JC25001805</t>
  </si>
  <si>
    <t>BR/25001756</t>
  </si>
  <si>
    <t>JC25001823</t>
  </si>
  <si>
    <t>XXXXXX4517</t>
  </si>
  <si>
    <t>AP39FP6655</t>
  </si>
  <si>
    <t>BR/25001768</t>
  </si>
  <si>
    <t xml:space="preserve">D NO 3-1 </t>
  </si>
  <si>
    <t xml:space="preserve">PEDA NARAVA </t>
  </si>
  <si>
    <t xml:space="preserve">PENDURTHI </t>
  </si>
  <si>
    <t>JC25001817</t>
  </si>
  <si>
    <t>Y RAJESH</t>
  </si>
  <si>
    <t>XXXXXX4566</t>
  </si>
  <si>
    <t>AP31DT1179</t>
  </si>
  <si>
    <t>A00602</t>
  </si>
  <si>
    <t>BR/25001763</t>
  </si>
  <si>
    <t>F.NO:A1</t>
  </si>
  <si>
    <t>SRINIVASA ARCADE</t>
  </si>
  <si>
    <t>VIVEKANANDA NAGAR YENDADA</t>
  </si>
  <si>
    <t>JC25001813</t>
  </si>
  <si>
    <t>SAI ANJANI PUTHRAA INFRA PROJECT</t>
  </si>
  <si>
    <t>XXXXXX9298</t>
  </si>
  <si>
    <t>AP39AA2326</t>
  </si>
  <si>
    <t>MARUTI S-CROSS SMART HYBRID DELTA</t>
  </si>
  <si>
    <t>BR/25001761</t>
  </si>
  <si>
    <t>76/97-V-R-17 VASUNDARA</t>
  </si>
  <si>
    <t>BUNGLOWS</t>
  </si>
  <si>
    <t>ULCHALA ROAD</t>
  </si>
  <si>
    <t>JC25001815</t>
  </si>
  <si>
    <t>KANEKE SANTOSH KUMAR</t>
  </si>
  <si>
    <t>XXXXXX3033</t>
  </si>
  <si>
    <t>TEMP649669</t>
  </si>
  <si>
    <t>MARUTI FRONX ISS DELTA+ 1.2L 5MT ESP</t>
  </si>
  <si>
    <t>BR/25001762</t>
  </si>
  <si>
    <t>H NO 4/18 REBAKA GURAJADA</t>
  </si>
  <si>
    <t>COLONY ANAKAPALLI MANDALAM</t>
  </si>
  <si>
    <t>REBAKA VISAKHAPATNAM</t>
  </si>
  <si>
    <t>JC25001821</t>
  </si>
  <si>
    <t>BALLANKI NAGAMANI</t>
  </si>
  <si>
    <t>XXXXXX2853</t>
  </si>
  <si>
    <t>AP39UX7365</t>
  </si>
  <si>
    <t>BR/25001773</t>
  </si>
  <si>
    <t xml:space="preserve">HNO C118 PATHA SUNKARAPALEM </t>
  </si>
  <si>
    <t xml:space="preserve">ARDHANNAPALEM </t>
  </si>
  <si>
    <t>KOTHAVALASA</t>
  </si>
  <si>
    <t>JC25001824</t>
  </si>
  <si>
    <t>UPPULURI VENKATA RAO</t>
  </si>
  <si>
    <t>XXXXXX6677</t>
  </si>
  <si>
    <t>AP39WE7189</t>
  </si>
  <si>
    <t>A04225</t>
  </si>
  <si>
    <t>BR/25001771</t>
  </si>
  <si>
    <t>1-160 B C COLONY YENDADA</t>
  </si>
  <si>
    <t>GEETHAM COLLEGE POST</t>
  </si>
  <si>
    <t>VISAKHAPATNAM (RURAL)</t>
  </si>
  <si>
    <t>JC25001818</t>
  </si>
  <si>
    <t>SUNKARA HARIBABU</t>
  </si>
  <si>
    <t>XXXXXX2339</t>
  </si>
  <si>
    <t>TEMPA669759</t>
  </si>
  <si>
    <t>K024608</t>
  </si>
  <si>
    <t>MARUTI BREZZA LXI CNG 1.5L 5MT</t>
  </si>
  <si>
    <t>BREZZA S-CNG</t>
  </si>
  <si>
    <t>BR/25001766</t>
  </si>
  <si>
    <t>1-149</t>
  </si>
  <si>
    <t>BC COLONY</t>
  </si>
  <si>
    <t>JC25001814</t>
  </si>
  <si>
    <t>SHAIK JILANI</t>
  </si>
  <si>
    <t>XXXXXX8867</t>
  </si>
  <si>
    <t>AP31CC2348</t>
  </si>
  <si>
    <t>MARUTI SWIFT DZIRE ZDI</t>
  </si>
  <si>
    <t>BR/25001764</t>
  </si>
  <si>
    <t>#33-24-36</t>
  </si>
  <si>
    <t>TARAKARAMA COLONY</t>
  </si>
  <si>
    <t>SRMT RESIDENCE</t>
  </si>
  <si>
    <t>JC25001816</t>
  </si>
  <si>
    <t>BODDI PRAMEELA</t>
  </si>
  <si>
    <t>XXXXXX1851</t>
  </si>
  <si>
    <t>AP40DT5225</t>
  </si>
  <si>
    <t>BR/25001769</t>
  </si>
  <si>
    <t>10-72/5</t>
  </si>
  <si>
    <t>SAI RAM COLONY</t>
  </si>
  <si>
    <t>KOMMADI</t>
  </si>
  <si>
    <t>JC25001807</t>
  </si>
  <si>
    <t>SRINIVASARAJU  KALIDINDI</t>
  </si>
  <si>
    <t>XXXXXX8886</t>
  </si>
  <si>
    <t>AP31EF1477</t>
  </si>
  <si>
    <t>BI/25000216</t>
  </si>
  <si>
    <t>49-22-2</t>
  </si>
  <si>
    <t xml:space="preserve">Lalitha nagar  </t>
  </si>
  <si>
    <t>Sankaramatham road</t>
  </si>
  <si>
    <t>noemail@gmail.com</t>
  </si>
  <si>
    <t>BR/25001767</t>
  </si>
  <si>
    <t>JC25001822</t>
  </si>
  <si>
    <t>CH RAMU</t>
  </si>
  <si>
    <t>XXXXXX5566</t>
  </si>
  <si>
    <t>AP39JK1950</t>
  </si>
  <si>
    <t>BR/25001772</t>
  </si>
  <si>
    <t>DOOR NO 2-154  YENDADA</t>
  </si>
  <si>
    <t>RAMALAYAM STREET</t>
  </si>
  <si>
    <t>VSKP</t>
  </si>
  <si>
    <t>JC25001782</t>
  </si>
  <si>
    <t>CH PADMAKUMARI</t>
  </si>
  <si>
    <t>XXXXXX8656</t>
  </si>
  <si>
    <t>AP31ET4076</t>
  </si>
  <si>
    <t>E69294</t>
  </si>
  <si>
    <t>BR/25001770</t>
  </si>
  <si>
    <t xml:space="preserve">MIG-1B-41 SECTOR-IX </t>
  </si>
  <si>
    <t xml:space="preserve">MVP COLONY </t>
  </si>
  <si>
    <t xml:space="preserve">L.B. COLONY </t>
  </si>
  <si>
    <t>madhukar_gvp@yahoo.co.in</t>
  </si>
  <si>
    <t>BI/25000217</t>
  </si>
  <si>
    <t>JC25001819</t>
  </si>
  <si>
    <t>Y SHOBA DEVI</t>
  </si>
  <si>
    <t>XXXXXX5978</t>
  </si>
  <si>
    <t>AP39KQ3249</t>
  </si>
  <si>
    <t>MARUTI ERTIGA SMART HYBRID ZXI+ 1.5L 5MT</t>
  </si>
  <si>
    <t>BR/25001765</t>
  </si>
  <si>
    <t xml:space="preserve">17-12-3/A </t>
  </si>
  <si>
    <t xml:space="preserve">RELLI VEEDHI </t>
  </si>
  <si>
    <t>JONNAGUDDI.</t>
  </si>
  <si>
    <t>JC25001829</t>
  </si>
  <si>
    <t>THOTA BHARAT KUMAR</t>
  </si>
  <si>
    <t>XXXXXX2582</t>
  </si>
  <si>
    <t>AP39KH0933</t>
  </si>
  <si>
    <t>MARUTI XL6 SMART HYBRID ZETA</t>
  </si>
  <si>
    <t>XL6</t>
  </si>
  <si>
    <t>BR/25001774</t>
  </si>
  <si>
    <t>QTR NO-315A SECTOR-9</t>
  </si>
  <si>
    <t>NR CWC -2</t>
  </si>
  <si>
    <t>UKKUNAGARAM</t>
  </si>
  <si>
    <t>drbharatkumarthota@gmail.com</t>
  </si>
  <si>
    <t>JC25001826</t>
  </si>
  <si>
    <t>TATISETTI KUMARI</t>
  </si>
  <si>
    <t>XXXXXX2660</t>
  </si>
  <si>
    <t>AP39WH2938</t>
  </si>
  <si>
    <t>A31547</t>
  </si>
  <si>
    <t>BR/25001775</t>
  </si>
  <si>
    <t>DNO : 10-139   SUBHASH NAGAR</t>
  </si>
  <si>
    <t xml:space="preserve">SAGARNAGAR  </t>
  </si>
  <si>
    <t>JC25001830</t>
  </si>
  <si>
    <t>THATICHETLA VENKAT GURUNADH</t>
  </si>
  <si>
    <t>XXXXXX6373</t>
  </si>
  <si>
    <t>TEMPB13030</t>
  </si>
  <si>
    <t>B13030</t>
  </si>
  <si>
    <t>BR/25001777</t>
  </si>
  <si>
    <t>10-133 SUBAS NAGAR</t>
  </si>
  <si>
    <t>SAGAR NAGAR</t>
  </si>
  <si>
    <t>JC25001825</t>
  </si>
  <si>
    <t>KANAKALA RAMARAO</t>
  </si>
  <si>
    <t>AP30AD5518</t>
  </si>
  <si>
    <t>BR/25001781</t>
  </si>
  <si>
    <t>10-2 ADITYA NAGAR COLONY</t>
  </si>
  <si>
    <t>ARASAVALLI</t>
  </si>
  <si>
    <t>JC25001832</t>
  </si>
  <si>
    <t>KALIDINDI VISWANADHA RAJU</t>
  </si>
  <si>
    <t>XXXXXX4105</t>
  </si>
  <si>
    <t>AP40HZ0549</t>
  </si>
  <si>
    <t>BR/25001782</t>
  </si>
  <si>
    <t xml:space="preserve">12-2-248 mantena vari street </t>
  </si>
  <si>
    <t xml:space="preserve">Rajula colony </t>
  </si>
  <si>
    <t>Jangareddigudem</t>
  </si>
  <si>
    <t>JC25001828</t>
  </si>
  <si>
    <t>DAMARASINGI APPALARAJU</t>
  </si>
  <si>
    <t>XXXXXX8587</t>
  </si>
  <si>
    <t>AP39UX5343</t>
  </si>
  <si>
    <t>BR/25001783</t>
  </si>
  <si>
    <t>VENKATARAJU PALEM</t>
  </si>
  <si>
    <t>JAMI</t>
  </si>
  <si>
    <t>arenagajuwaka@gmail.com</t>
  </si>
  <si>
    <t>JC25001827</t>
  </si>
  <si>
    <t>BR/25001779</t>
  </si>
  <si>
    <t>JC25001831</t>
  </si>
  <si>
    <t>PYDIPALLI VIDYA SAGAR</t>
  </si>
  <si>
    <t>XXXXXX1411</t>
  </si>
  <si>
    <t>AP40JA2475</t>
  </si>
  <si>
    <t>C826226</t>
  </si>
  <si>
    <t>MARUTI S-PRESSO VXI+ (O) 1L ISS 5MT</t>
  </si>
  <si>
    <t>BR/25001776</t>
  </si>
  <si>
    <t xml:space="preserve">FLAT 401 MK SAPPHIRE </t>
  </si>
  <si>
    <t>D.NO-10-7/20/13 ROAD NO-5</t>
  </si>
  <si>
    <t>GAYATHRI NAGAR BAKKAVANIPALEM</t>
  </si>
  <si>
    <t>JC25001806</t>
  </si>
  <si>
    <t>LENKA SRINU</t>
  </si>
  <si>
    <t>XXXXXX2519</t>
  </si>
  <si>
    <t>AP31ER5356</t>
  </si>
  <si>
    <t>BR/25001780</t>
  </si>
  <si>
    <t>4-365</t>
  </si>
  <si>
    <t>CHINANADIPALLI</t>
  </si>
  <si>
    <t>JC25001800</t>
  </si>
  <si>
    <t>BR/25001778</t>
  </si>
  <si>
    <t>BI/25000218</t>
  </si>
  <si>
    <t>JC25001845</t>
  </si>
  <si>
    <t>BR/25001791</t>
  </si>
  <si>
    <t>JC25001833</t>
  </si>
  <si>
    <t>XXXXXX9777</t>
  </si>
  <si>
    <t>AP31CQ5598</t>
  </si>
  <si>
    <t>MARUTI SWIFT VXI BS IV</t>
  </si>
  <si>
    <t>BR/25001793</t>
  </si>
  <si>
    <t>D NO: 48</t>
  </si>
  <si>
    <t>PITAPURAM BEACH QTRS</t>
  </si>
  <si>
    <t>VISHAKHAPATNAM</t>
  </si>
  <si>
    <t>coyome2379@keevle.com</t>
  </si>
  <si>
    <t>BI/25000219</t>
  </si>
  <si>
    <t>JC25001839</t>
  </si>
  <si>
    <t>DIKKALA  GOUTAMI</t>
  </si>
  <si>
    <t>XXXXXX3888</t>
  </si>
  <si>
    <t>AP39SV1224</t>
  </si>
  <si>
    <t>MARUTI BREZZA SMART HYBRID ZXI+ 1.5L 5MT</t>
  </si>
  <si>
    <t>BR/25001787</t>
  </si>
  <si>
    <t>13-63</t>
  </si>
  <si>
    <t>B GONAPAPUTTUGA</t>
  </si>
  <si>
    <t>KAVITI</t>
  </si>
  <si>
    <t>yohalon292@lovleo.com</t>
  </si>
  <si>
    <t>JC25001848</t>
  </si>
  <si>
    <t>BR/25001799</t>
  </si>
  <si>
    <t>JC25001844</t>
  </si>
  <si>
    <t>KANNAJI PRASADA RAO</t>
  </si>
  <si>
    <t>XXXXXX6555</t>
  </si>
  <si>
    <t>AP40CU9889</t>
  </si>
  <si>
    <t>MCP25000015</t>
  </si>
  <si>
    <t>5-25/1 GF A1</t>
  </si>
  <si>
    <t>Y L P LAYOUT  GOLLALA</t>
  </si>
  <si>
    <t>BR/25001786</t>
  </si>
  <si>
    <t>JC25001852</t>
  </si>
  <si>
    <t>GULLAPUDI RAJENDRA PRASAD</t>
  </si>
  <si>
    <t>XXXXXX8449</t>
  </si>
  <si>
    <t>AP39BC0333</t>
  </si>
  <si>
    <t>BR/25001801</t>
  </si>
  <si>
    <t>visakhapatnam</t>
  </si>
  <si>
    <t>near hp petrol bunk</t>
  </si>
  <si>
    <t>gullapudirajendra@yahoo.in</t>
  </si>
  <si>
    <t>JC25001802</t>
  </si>
  <si>
    <t>PAIDI DHARMARAO</t>
  </si>
  <si>
    <t>XXXXXX0653</t>
  </si>
  <si>
    <t>AP31CY1124</t>
  </si>
  <si>
    <t>SERENE BLU</t>
  </si>
  <si>
    <t>BR/25001796</t>
  </si>
  <si>
    <t>2-57 CHINNA VEEDHI</t>
  </si>
  <si>
    <t>BODEEPALLI PONDURU</t>
  </si>
  <si>
    <t>JC25001851</t>
  </si>
  <si>
    <t>BR/25001803</t>
  </si>
  <si>
    <t>JC25001841</t>
  </si>
  <si>
    <t>BR/25001784</t>
  </si>
  <si>
    <t>JC25001840</t>
  </si>
  <si>
    <t>BR/25001800</t>
  </si>
  <si>
    <t>JC25001842</t>
  </si>
  <si>
    <t>YERRAMSETTY UDAYKUMAR</t>
  </si>
  <si>
    <t>XXXXXX6414</t>
  </si>
  <si>
    <t>AP39LN7013</t>
  </si>
  <si>
    <t>BR/25001792</t>
  </si>
  <si>
    <t>2-44-51-4</t>
  </si>
  <si>
    <t>PORT QUARTERS</t>
  </si>
  <si>
    <t>JC25001834</t>
  </si>
  <si>
    <t>BR/25001788</t>
  </si>
  <si>
    <t>JC25001835</t>
  </si>
  <si>
    <t>L-2</t>
  </si>
  <si>
    <t>BR/25001795</t>
  </si>
  <si>
    <t>JC25001843</t>
  </si>
  <si>
    <t>BR/25001789</t>
  </si>
  <si>
    <t>JC25001836</t>
  </si>
  <si>
    <t>MOSES JOSEPH MUNNANGI</t>
  </si>
  <si>
    <t>XXXXXX4636</t>
  </si>
  <si>
    <t>AP40ER0856</t>
  </si>
  <si>
    <t>BR/25001790</t>
  </si>
  <si>
    <t>D NO 1-8-23 SAMADHANA PETA</t>
  </si>
  <si>
    <t>CONTONMENT</t>
  </si>
  <si>
    <t>MCP25000016</t>
  </si>
  <si>
    <t>JC25001838</t>
  </si>
  <si>
    <t>BR/25001802</t>
  </si>
  <si>
    <t>JC25001849</t>
  </si>
  <si>
    <t>BR/25001798</t>
  </si>
  <si>
    <t>JC25001820</t>
  </si>
  <si>
    <t>KUDITEERI PAVAN KALYAN</t>
  </si>
  <si>
    <t>XXXXXX6767</t>
  </si>
  <si>
    <t>AP40HE2543</t>
  </si>
  <si>
    <t>BR/25001794</t>
  </si>
  <si>
    <t>44-13-9</t>
  </si>
  <si>
    <t>THATICHETLA PALEM</t>
  </si>
  <si>
    <t>NER VENKATESWARA SWAMY TEMPLE</t>
  </si>
  <si>
    <t>BI/25000220</t>
  </si>
  <si>
    <t>JC25001837</t>
  </si>
  <si>
    <t>MOHAMMED  PARVEZ</t>
  </si>
  <si>
    <t>XXXXXX1736</t>
  </si>
  <si>
    <t>AP40ES6012</t>
  </si>
  <si>
    <t>F011086</t>
  </si>
  <si>
    <t>BR/25001785</t>
  </si>
  <si>
    <t>8-92/10 F/NO-402</t>
  </si>
  <si>
    <t>GOLDEN RESIDENCY</t>
  </si>
  <si>
    <t>HPCL LAYOUT</t>
  </si>
  <si>
    <t>JC25001850</t>
  </si>
  <si>
    <t>BR/25001797</t>
  </si>
  <si>
    <t>Service Advisor</t>
  </si>
  <si>
    <t>Total Jobs Opened During(Excluding Cancelled</t>
  </si>
  <si>
    <t>Total Jobs Billed On Same Day Of Job Card Opening</t>
  </si>
  <si>
    <t>Total JobsCarry Over</t>
  </si>
  <si>
    <t>Carry Over Ratio 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</si>
</sst>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&quot;₹&quot;\ #,##0"/>
    <numFmt numFmtId="165" formatCode="&quot;₹&quot;\ #,##0.00"/>
  </numFmts>
  <fonts count="37">
    <font>
      <sz val="11"/>
      <color indexed="8"/>
      <name val="Calibri"/>
      <family val="2"/>
      <scheme val="minor"/>
    </font>
    <font>
      <b/>
      <sz val="14"/>
      <color indexed="8"/>
      <name val="Bookman Old Style"/>
      <family val="1"/>
    </font>
    <font>
      <sz val="14"/>
      <color indexed="8"/>
      <name val="Bookman Old Style"/>
      <family val="1"/>
    </font>
    <font>
      <b/>
      <sz val="13"/>
      <color indexed="8"/>
      <name val="Bookman Old Style"/>
      <family val="1"/>
    </font>
    <font>
      <b/>
      <sz val="16"/>
      <color indexed="8"/>
      <name val="Bookman Old Style"/>
      <family val="1"/>
    </font>
    <font>
      <b/>
      <sz val="26"/>
      <color theme="0"/>
      <name val="Bookman Old Style"/>
      <family val="1"/>
    </font>
    <font>
      <b/>
      <sz val="12"/>
      <color indexed="8"/>
      <name val="Bookman Old Style"/>
      <family val="1"/>
    </font>
    <font>
      <b/>
      <sz val="14"/>
      <color theme="1"/>
      <name val="Bookman Old Style"/>
      <family val="1"/>
    </font>
    <font>
      <b/>
      <sz val="32"/>
      <color indexed="8"/>
      <name val="Bookman Old Style"/>
      <family val="1"/>
    </font>
    <font>
      <b/>
      <sz val="16"/>
      <color theme="0"/>
      <name val="Bookman Old Style"/>
      <family val="1"/>
    </font>
    <font>
      <sz val="18"/>
      <color indexed="8"/>
      <name val="Calibri"/>
      <family val="2"/>
      <scheme val="minor"/>
    </font>
    <font>
      <b/>
      <sz val="18"/>
      <color indexed="8"/>
      <name val="Bookman Old Style"/>
      <family val="1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18"/>
      <color indexed="8"/>
      <name val="Calibri"/>
      <family val="2"/>
      <scheme val="minor"/>
    </font>
    <font>
      <b/>
      <sz val="12"/>
      <color theme="0"/>
      <name val="Bookman Old Style"/>
      <family val="1"/>
    </font>
    <font>
      <sz val="11"/>
      <color indexed="8"/>
      <name val="Calibri"/>
      <family val="2"/>
      <scheme val="minor"/>
    </font>
    <font>
      <b/>
      <sz val="36"/>
      <color theme="1"/>
      <name val="Calibri"/>
      <charset val="134"/>
      <scheme val="minor"/>
    </font>
    <font>
      <b/>
      <sz val="22"/>
      <color theme="1"/>
      <name val="Calibri"/>
      <charset val="134"/>
      <scheme val="minor"/>
    </font>
    <font>
      <b/>
      <sz val="11"/>
      <color theme="1"/>
      <name val="Calibri"/>
      <charset val="134"/>
      <scheme val="minor"/>
    </font>
    <font>
      <b/>
      <sz val="16"/>
      <color theme="1"/>
      <name val="Calibri"/>
      <charset val="134"/>
      <scheme val="minor"/>
    </font>
    <font>
      <b/>
      <sz val="14"/>
      <color theme="1"/>
      <name val="Calibri"/>
      <charset val="134"/>
      <scheme val="minor"/>
    </font>
    <font>
      <b/>
      <sz val="12"/>
      <color theme="1"/>
      <name val="Calibri"/>
      <charset val="134"/>
      <scheme val="minor"/>
    </font>
    <font>
      <b/>
      <sz val="13"/>
      <name val="Calibri"/>
      <charset val="134"/>
      <scheme val="minor"/>
    </font>
    <font>
      <b/>
      <sz val="13"/>
      <color rgb="FFFF0000"/>
      <name val="Calibri"/>
      <charset val="134"/>
      <scheme val="minor"/>
    </font>
    <font>
      <b/>
      <sz val="13"/>
      <color theme="1"/>
      <name val="Calibri"/>
      <charset val="134"/>
      <scheme val="minor"/>
    </font>
    <font>
      <b/>
      <sz val="22"/>
      <name val="Calibri"/>
      <charset val="134"/>
      <scheme val="minor"/>
    </font>
    <font>
      <b/>
      <sz val="36"/>
      <color theme="1"/>
      <name val="Calibri"/>
      <family val="2"/>
      <scheme val="minor"/>
    </font>
    <font>
      <b/>
      <sz val="16"/>
      <color indexed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4"/>
      <color indexed="8"/>
      <name val="Calibri"/>
      <family val="2"/>
      <scheme val="minor"/>
    </font>
    <font>
      <b/>
      <sz val="26"/>
      <color theme="1"/>
      <name val="Calibri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3333FF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79998168889431442"/>
        <bgColor indexed="64"/>
      </patternFill>
    </fill>
  </fills>
  <borders count="66">
    <border>
      <left/>
      <right/>
      <top/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 style="medium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auto="1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auto="1"/>
      </right>
      <top/>
      <bottom/>
      <diagonal/>
    </border>
  </borders>
  <cellStyleXfs count="2">
    <xf numFmtId="0" fontId="0" fillId="0" borderId="0"/>
    <xf numFmtId="9" fontId="21" fillId="0" borderId="0" applyFont="0" applyFill="0" applyBorder="0" applyAlignment="0" applyProtection="0"/>
  </cellStyleXfs>
  <cellXfs count="383">
    <xf numFmtId="0" fontId="0" fillId="0" borderId="0" xfId="0"/>
    <xf numFmtId="0" fontId="0" fillId="0" borderId="0" xfId="0"/>
    <xf numFmtId="0" fontId="0" fillId="0" borderId="0" xfId="0" applyNumberFormat="1"/>
    <xf numFmtId="0" fontId="1" fillId="0" borderId="20" xfId="0" applyFont="1" applyFill="1" applyBorder="1" applyAlignment="1" applyProtection="1">
      <alignment horizontal="center" vertical="center"/>
    </xf>
    <xf numFmtId="0" fontId="1" fillId="0" borderId="23" xfId="0" applyFont="1" applyFill="1" applyBorder="1" applyAlignment="1" applyProtection="1">
      <alignment horizontal="center" vertical="center"/>
    </xf>
    <xf numFmtId="0" fontId="2" fillId="3" borderId="19" xfId="0" applyFont="1" applyFill="1" applyBorder="1" applyAlignment="1" applyProtection="1">
      <alignment horizontal="left" vertical="center"/>
    </xf>
    <xf numFmtId="0" fontId="2" fillId="3" borderId="20" xfId="0" applyFont="1" applyFill="1" applyBorder="1" applyAlignment="1" applyProtection="1">
      <alignment horizontal="left" vertical="center"/>
    </xf>
    <xf numFmtId="0" fontId="3" fillId="11" borderId="4" xfId="0" applyFont="1" applyFill="1" applyBorder="1" applyAlignment="1" applyProtection="1">
      <alignment horizontal="center" vertical="center"/>
    </xf>
    <xf numFmtId="0" fontId="3" fillId="11" borderId="13" xfId="0" applyFont="1" applyFill="1" applyBorder="1" applyAlignment="1" applyProtection="1">
      <alignment horizontal="center" vertical="center"/>
    </xf>
    <xf numFmtId="0" fontId="3" fillId="11" borderId="5" xfId="0" applyNumberFormat="1" applyFont="1" applyFill="1" applyBorder="1" applyAlignment="1" applyProtection="1">
      <alignment horizontal="center" vertical="center"/>
    </xf>
    <xf numFmtId="0" fontId="3" fillId="11" borderId="21" xfId="0" applyFont="1" applyFill="1" applyBorder="1" applyAlignment="1" applyProtection="1">
      <alignment horizontal="center" vertical="center"/>
    </xf>
    <xf numFmtId="0" fontId="3" fillId="11" borderId="14" xfId="0" applyFont="1" applyFill="1" applyBorder="1" applyAlignment="1" applyProtection="1">
      <alignment horizontal="center" vertical="center"/>
    </xf>
    <xf numFmtId="0" fontId="3" fillId="11" borderId="24" xfId="0" applyNumberFormat="1" applyFont="1" applyFill="1" applyBorder="1" applyAlignment="1" applyProtection="1">
      <alignment horizontal="center" vertical="center"/>
    </xf>
    <xf numFmtId="0" fontId="1" fillId="11" borderId="12" xfId="0" applyFont="1" applyFill="1" applyBorder="1" applyAlignment="1" applyProtection="1">
      <alignment horizontal="center" vertical="center"/>
    </xf>
    <xf numFmtId="0" fontId="1" fillId="11" borderId="4" xfId="0" applyFont="1" applyFill="1" applyBorder="1" applyAlignment="1" applyProtection="1">
      <alignment horizontal="center" vertical="center"/>
    </xf>
    <xf numFmtId="0" fontId="1" fillId="11" borderId="11" xfId="0" applyFont="1" applyFill="1" applyBorder="1" applyAlignment="1">
      <alignment horizontal="center" vertical="center"/>
    </xf>
    <xf numFmtId="0" fontId="1" fillId="11" borderId="5" xfId="0" applyFont="1" applyFill="1" applyBorder="1" applyAlignment="1">
      <alignment horizontal="center" vertical="center"/>
    </xf>
    <xf numFmtId="0" fontId="1" fillId="11" borderId="12" xfId="0" applyFont="1" applyFill="1" applyBorder="1" applyAlignment="1">
      <alignment horizontal="center" vertical="center"/>
    </xf>
    <xf numFmtId="0" fontId="1" fillId="11" borderId="4" xfId="0" applyFont="1" applyFill="1" applyBorder="1" applyAlignment="1">
      <alignment horizontal="center" vertical="center"/>
    </xf>
    <xf numFmtId="2" fontId="0" fillId="0" borderId="0" xfId="0" applyNumberFormat="1"/>
    <xf numFmtId="0" fontId="0" fillId="0" borderId="0" xfId="0" applyFill="1" applyBorder="1"/>
    <xf numFmtId="0" fontId="0" fillId="0" borderId="0" xfId="0" applyAlignment="1"/>
    <xf numFmtId="164" fontId="1" fillId="11" borderId="13" xfId="0" applyNumberFormat="1" applyFont="1" applyFill="1" applyBorder="1" applyAlignment="1">
      <alignment horizontal="center" vertical="center"/>
    </xf>
    <xf numFmtId="164" fontId="1" fillId="11" borderId="5" xfId="0" applyNumberFormat="1" applyFont="1" applyFill="1" applyBorder="1" applyAlignment="1">
      <alignment horizontal="center" vertical="center"/>
    </xf>
    <xf numFmtId="0" fontId="3" fillId="11" borderId="34" xfId="0" applyFont="1" applyFill="1" applyBorder="1" applyAlignment="1" applyProtection="1">
      <alignment horizontal="center" vertical="center"/>
    </xf>
    <xf numFmtId="164" fontId="1" fillId="11" borderId="34" xfId="0" applyNumberFormat="1" applyFont="1" applyFill="1" applyBorder="1" applyAlignment="1">
      <alignment horizontal="center" vertical="center"/>
    </xf>
    <xf numFmtId="164" fontId="1" fillId="11" borderId="11" xfId="0" applyNumberFormat="1" applyFont="1" applyFill="1" applyBorder="1" applyAlignment="1">
      <alignment horizontal="center" vertical="center"/>
    </xf>
    <xf numFmtId="0" fontId="3" fillId="11" borderId="37" xfId="0" applyFont="1" applyFill="1" applyBorder="1" applyAlignment="1" applyProtection="1">
      <alignment horizontal="center" vertical="center"/>
    </xf>
    <xf numFmtId="0" fontId="3" fillId="11" borderId="38" xfId="0" applyFont="1" applyFill="1" applyBorder="1" applyAlignment="1" applyProtection="1">
      <alignment horizontal="center" vertical="center"/>
    </xf>
    <xf numFmtId="0" fontId="1" fillId="0" borderId="19" xfId="0" applyFont="1" applyFill="1" applyBorder="1" applyAlignment="1" applyProtection="1">
      <alignment horizontal="center" vertical="center"/>
    </xf>
    <xf numFmtId="0" fontId="3" fillId="11" borderId="39" xfId="0" applyFont="1" applyFill="1" applyBorder="1" applyAlignment="1" applyProtection="1">
      <alignment horizontal="center" vertical="center"/>
    </xf>
    <xf numFmtId="0" fontId="3" fillId="11" borderId="40" xfId="0" applyFont="1" applyFill="1" applyBorder="1" applyAlignment="1" applyProtection="1">
      <alignment horizontal="center" vertical="center"/>
    </xf>
    <xf numFmtId="0" fontId="3" fillId="11" borderId="12" xfId="0" applyFont="1" applyFill="1" applyBorder="1" applyAlignment="1" applyProtection="1">
      <alignment horizontal="center" vertical="center"/>
    </xf>
    <xf numFmtId="0" fontId="3" fillId="11" borderId="11" xfId="0" applyNumberFormat="1" applyFont="1" applyFill="1" applyBorder="1" applyAlignment="1" applyProtection="1">
      <alignment horizontal="center" vertical="center"/>
    </xf>
    <xf numFmtId="0" fontId="1" fillId="11" borderId="37" xfId="0" applyFont="1" applyFill="1" applyBorder="1" applyAlignment="1">
      <alignment horizontal="center" vertical="center"/>
    </xf>
    <xf numFmtId="0" fontId="1" fillId="11" borderId="38" xfId="0" applyFont="1" applyFill="1" applyBorder="1" applyAlignment="1">
      <alignment horizontal="center" vertical="center"/>
    </xf>
    <xf numFmtId="0" fontId="1" fillId="11" borderId="39" xfId="0" applyFont="1" applyFill="1" applyBorder="1" applyAlignment="1">
      <alignment horizontal="center" vertical="center"/>
    </xf>
    <xf numFmtId="0" fontId="1" fillId="11" borderId="40" xfId="0" applyFont="1" applyFill="1" applyBorder="1" applyAlignment="1">
      <alignment horizontal="center" vertical="center"/>
    </xf>
    <xf numFmtId="164" fontId="1" fillId="11" borderId="37" xfId="0" applyNumberFormat="1" applyFont="1" applyFill="1" applyBorder="1" applyAlignment="1">
      <alignment horizontal="center" vertical="center"/>
    </xf>
    <xf numFmtId="164" fontId="1" fillId="11" borderId="38" xfId="0" applyNumberFormat="1" applyFont="1" applyFill="1" applyBorder="1" applyAlignment="1">
      <alignment horizontal="center" vertical="center"/>
    </xf>
    <xf numFmtId="9" fontId="1" fillId="11" borderId="12" xfId="0" applyNumberFormat="1" applyFont="1" applyFill="1" applyBorder="1" applyAlignment="1">
      <alignment horizontal="center" vertical="center"/>
    </xf>
    <xf numFmtId="9" fontId="1" fillId="0" borderId="11" xfId="0" applyNumberFormat="1" applyFont="1" applyBorder="1" applyAlignment="1">
      <alignment horizontal="center" vertical="center"/>
    </xf>
    <xf numFmtId="9" fontId="1" fillId="11" borderId="4" xfId="0" applyNumberFormat="1" applyFont="1" applyFill="1" applyBorder="1" applyAlignment="1">
      <alignment horizontal="center" vertical="center"/>
    </xf>
    <xf numFmtId="9" fontId="1" fillId="0" borderId="5" xfId="0" applyNumberFormat="1" applyFont="1" applyBorder="1" applyAlignment="1">
      <alignment horizontal="center" vertical="center"/>
    </xf>
    <xf numFmtId="0" fontId="6" fillId="6" borderId="41" xfId="0" applyFont="1" applyFill="1" applyBorder="1" applyAlignment="1" applyProtection="1">
      <alignment horizontal="center" vertical="center"/>
    </xf>
    <xf numFmtId="0" fontId="6" fillId="6" borderId="28" xfId="0" applyFont="1" applyFill="1" applyBorder="1" applyAlignment="1" applyProtection="1">
      <alignment horizontal="center" vertical="center"/>
    </xf>
    <xf numFmtId="0" fontId="6" fillId="6" borderId="42" xfId="0" applyFont="1" applyFill="1" applyBorder="1" applyAlignment="1" applyProtection="1">
      <alignment horizontal="center" vertical="center"/>
    </xf>
    <xf numFmtId="0" fontId="6" fillId="6" borderId="27" xfId="0" applyFont="1" applyFill="1" applyBorder="1" applyAlignment="1" applyProtection="1">
      <alignment horizontal="center" vertical="center"/>
    </xf>
    <xf numFmtId="0" fontId="6" fillId="6" borderId="29" xfId="0" applyFont="1" applyFill="1" applyBorder="1" applyAlignment="1" applyProtection="1">
      <alignment horizontal="center" vertical="center"/>
    </xf>
    <xf numFmtId="0" fontId="2" fillId="3" borderId="23" xfId="0" applyFont="1" applyFill="1" applyBorder="1" applyAlignment="1" applyProtection="1">
      <alignment horizontal="left" vertical="center"/>
    </xf>
    <xf numFmtId="0" fontId="3" fillId="11" borderId="44" xfId="0" applyFont="1" applyFill="1" applyBorder="1" applyAlignment="1" applyProtection="1">
      <alignment horizontal="center" vertical="center"/>
    </xf>
    <xf numFmtId="0" fontId="3" fillId="11" borderId="45" xfId="0" applyFont="1" applyFill="1" applyBorder="1" applyAlignment="1" applyProtection="1">
      <alignment horizontal="center" vertical="center"/>
    </xf>
    <xf numFmtId="0" fontId="1" fillId="11" borderId="21" xfId="0" applyFont="1" applyFill="1" applyBorder="1" applyAlignment="1" applyProtection="1">
      <alignment horizontal="center" vertical="center"/>
    </xf>
    <xf numFmtId="0" fontId="1" fillId="11" borderId="24" xfId="0" applyFont="1" applyFill="1" applyBorder="1" applyAlignment="1">
      <alignment horizontal="center" vertical="center"/>
    </xf>
    <xf numFmtId="0" fontId="1" fillId="11" borderId="44" xfId="0" applyFont="1" applyFill="1" applyBorder="1" applyAlignment="1">
      <alignment horizontal="center" vertical="center"/>
    </xf>
    <xf numFmtId="0" fontId="1" fillId="11" borderId="45" xfId="0" applyFont="1" applyFill="1" applyBorder="1" applyAlignment="1">
      <alignment horizontal="center" vertical="center"/>
    </xf>
    <xf numFmtId="0" fontId="1" fillId="11" borderId="21" xfId="0" applyFont="1" applyFill="1" applyBorder="1" applyAlignment="1">
      <alignment horizontal="center" vertical="center"/>
    </xf>
    <xf numFmtId="9" fontId="1" fillId="11" borderId="21" xfId="0" applyNumberFormat="1" applyFont="1" applyFill="1" applyBorder="1" applyAlignment="1">
      <alignment horizontal="center" vertical="center"/>
    </xf>
    <xf numFmtId="9" fontId="1" fillId="0" borderId="24" xfId="0" applyNumberFormat="1" applyFont="1" applyBorder="1" applyAlignment="1">
      <alignment horizontal="center" vertical="center"/>
    </xf>
    <xf numFmtId="164" fontId="1" fillId="11" borderId="44" xfId="0" applyNumberFormat="1" applyFont="1" applyFill="1" applyBorder="1" applyAlignment="1">
      <alignment horizontal="center" vertical="center"/>
    </xf>
    <xf numFmtId="164" fontId="1" fillId="11" borderId="14" xfId="0" applyNumberFormat="1" applyFont="1" applyFill="1" applyBorder="1" applyAlignment="1">
      <alignment horizontal="center" vertical="center"/>
    </xf>
    <xf numFmtId="164" fontId="1" fillId="11" borderId="24" xfId="0" applyNumberFormat="1" applyFont="1" applyFill="1" applyBorder="1" applyAlignment="1">
      <alignment horizontal="center" vertical="center"/>
    </xf>
    <xf numFmtId="0" fontId="10" fillId="0" borderId="0" xfId="0" applyFont="1"/>
    <xf numFmtId="0" fontId="11" fillId="7" borderId="30" xfId="0" applyFont="1" applyFill="1" applyBorder="1" applyAlignment="1" applyProtection="1">
      <alignment horizontal="center" vertical="center"/>
    </xf>
    <xf numFmtId="0" fontId="11" fillId="7" borderId="43" xfId="0" applyFont="1" applyFill="1" applyBorder="1" applyAlignment="1" applyProtection="1">
      <alignment horizontal="center" vertical="center"/>
    </xf>
    <xf numFmtId="0" fontId="11" fillId="7" borderId="17" xfId="0" applyFont="1" applyFill="1" applyBorder="1" applyAlignment="1" applyProtection="1">
      <alignment horizontal="center" vertical="center"/>
    </xf>
    <xf numFmtId="0" fontId="11" fillId="7" borderId="25" xfId="0" applyFont="1" applyFill="1" applyBorder="1" applyAlignment="1" applyProtection="1">
      <alignment horizontal="center" vertical="center"/>
    </xf>
    <xf numFmtId="0" fontId="11" fillId="7" borderId="16" xfId="0" applyFont="1" applyFill="1" applyBorder="1" applyAlignment="1" applyProtection="1">
      <alignment horizontal="center" vertical="center"/>
    </xf>
    <xf numFmtId="0" fontId="11" fillId="7" borderId="18" xfId="0" applyFont="1" applyFill="1" applyBorder="1" applyAlignment="1" applyProtection="1">
      <alignment horizontal="center" vertical="center"/>
    </xf>
    <xf numFmtId="0" fontId="11" fillId="4" borderId="16" xfId="0" applyFont="1" applyFill="1" applyBorder="1" applyAlignment="1" applyProtection="1">
      <alignment horizontal="center" vertical="center"/>
    </xf>
    <xf numFmtId="0" fontId="11" fillId="4" borderId="18" xfId="0" applyFont="1" applyFill="1" applyBorder="1" applyAlignment="1">
      <alignment horizontal="center" vertical="center"/>
    </xf>
    <xf numFmtId="0" fontId="11" fillId="4" borderId="43" xfId="0" applyFont="1" applyFill="1" applyBorder="1" applyAlignment="1">
      <alignment horizontal="center" vertical="center"/>
    </xf>
    <xf numFmtId="0" fontId="11" fillId="4" borderId="25" xfId="0" applyFont="1" applyFill="1" applyBorder="1" applyAlignment="1">
      <alignment horizontal="center" vertical="center"/>
    </xf>
    <xf numFmtId="0" fontId="11" fillId="4" borderId="16" xfId="0" applyFont="1" applyFill="1" applyBorder="1" applyAlignment="1">
      <alignment horizontal="center" vertical="center"/>
    </xf>
    <xf numFmtId="9" fontId="11" fillId="4" borderId="16" xfId="0" applyNumberFormat="1" applyFont="1" applyFill="1" applyBorder="1" applyAlignment="1">
      <alignment horizontal="center" vertical="center"/>
    </xf>
    <xf numFmtId="9" fontId="11" fillId="4" borderId="18" xfId="0" applyNumberFormat="1" applyFont="1" applyFill="1" applyBorder="1" applyAlignment="1">
      <alignment horizontal="center" vertical="center"/>
    </xf>
    <xf numFmtId="164" fontId="11" fillId="4" borderId="43" xfId="0" applyNumberFormat="1" applyFont="1" applyFill="1" applyBorder="1" applyAlignment="1">
      <alignment horizontal="center" vertical="center"/>
    </xf>
    <xf numFmtId="164" fontId="11" fillId="4" borderId="17" xfId="0" applyNumberFormat="1" applyFont="1" applyFill="1" applyBorder="1" applyAlignment="1">
      <alignment horizontal="center" vertical="center"/>
    </xf>
    <xf numFmtId="164" fontId="11" fillId="4" borderId="18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2" fillId="12" borderId="30" xfId="0" applyFont="1" applyFill="1" applyBorder="1" applyAlignment="1">
      <alignment horizontal="center" vertical="center"/>
    </xf>
    <xf numFmtId="0" fontId="12" fillId="12" borderId="43" xfId="0" applyFont="1" applyFill="1" applyBorder="1" applyAlignment="1">
      <alignment horizontal="center" vertical="center"/>
    </xf>
    <xf numFmtId="0" fontId="12" fillId="12" borderId="17" xfId="0" applyFont="1" applyFill="1" applyBorder="1" applyAlignment="1">
      <alignment horizontal="center" vertical="center"/>
    </xf>
    <xf numFmtId="0" fontId="12" fillId="12" borderId="25" xfId="0" applyFont="1" applyFill="1" applyBorder="1" applyAlignment="1">
      <alignment horizontal="center" vertical="center"/>
    </xf>
    <xf numFmtId="0" fontId="12" fillId="12" borderId="19" xfId="0" applyFont="1" applyFill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4" xfId="0" applyFont="1" applyBorder="1" applyAlignment="1">
      <alignment horizontal="center" vertical="center"/>
    </xf>
    <xf numFmtId="0" fontId="12" fillId="0" borderId="39" xfId="0" applyFont="1" applyBorder="1" applyAlignment="1">
      <alignment horizontal="center" vertical="center"/>
    </xf>
    <xf numFmtId="0" fontId="12" fillId="12" borderId="51" xfId="0" applyFont="1" applyFill="1" applyBorder="1" applyAlignment="1">
      <alignment horizontal="center" vertical="center"/>
    </xf>
    <xf numFmtId="0" fontId="12" fillId="0" borderId="15" xfId="0" applyFont="1" applyBorder="1" applyAlignment="1">
      <alignment horizontal="center" vertical="center"/>
    </xf>
    <xf numFmtId="0" fontId="12" fillId="12" borderId="9" xfId="0" applyFont="1" applyFill="1" applyBorder="1" applyAlignment="1">
      <alignment horizontal="center" vertical="center"/>
    </xf>
    <xf numFmtId="0" fontId="12" fillId="0" borderId="36" xfId="0" applyFont="1" applyBorder="1" applyAlignment="1">
      <alignment horizontal="center" vertical="center"/>
    </xf>
    <xf numFmtId="0" fontId="12" fillId="0" borderId="32" xfId="0" applyFont="1" applyBorder="1" applyAlignment="1">
      <alignment horizontal="center" vertical="center"/>
    </xf>
    <xf numFmtId="165" fontId="14" fillId="0" borderId="32" xfId="0" applyNumberFormat="1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12" borderId="54" xfId="0" applyFont="1" applyFill="1" applyBorder="1" applyAlignment="1">
      <alignment horizontal="center" vertical="center"/>
    </xf>
    <xf numFmtId="165" fontId="12" fillId="0" borderId="9" xfId="0" applyNumberFormat="1" applyFont="1" applyBorder="1" applyAlignment="1">
      <alignment horizontal="center" vertical="center"/>
    </xf>
    <xf numFmtId="165" fontId="12" fillId="0" borderId="30" xfId="0" applyNumberFormat="1" applyFont="1" applyBorder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0" fontId="12" fillId="13" borderId="15" xfId="0" applyFont="1" applyFill="1" applyBorder="1" applyAlignment="1">
      <alignment horizontal="center" vertical="center"/>
    </xf>
    <xf numFmtId="0" fontId="12" fillId="13" borderId="43" xfId="0" applyFont="1" applyFill="1" applyBorder="1" applyAlignment="1">
      <alignment horizontal="center" vertical="center"/>
    </xf>
    <xf numFmtId="0" fontId="12" fillId="13" borderId="17" xfId="0" applyFont="1" applyFill="1" applyBorder="1" applyAlignment="1">
      <alignment horizontal="center" vertical="center"/>
    </xf>
    <xf numFmtId="0" fontId="12" fillId="13" borderId="25" xfId="0" applyFont="1" applyFill="1" applyBorder="1" applyAlignment="1">
      <alignment horizontal="center" vertical="center"/>
    </xf>
    <xf numFmtId="0" fontId="12" fillId="13" borderId="20" xfId="0" applyFont="1" applyFill="1" applyBorder="1" applyAlignment="1">
      <alignment horizontal="center" vertical="center"/>
    </xf>
    <xf numFmtId="0" fontId="12" fillId="13" borderId="51" xfId="0" applyFont="1" applyFill="1" applyBorder="1" applyAlignment="1">
      <alignment horizontal="center" vertical="center"/>
    </xf>
    <xf numFmtId="0" fontId="12" fillId="13" borderId="9" xfId="0" applyFont="1" applyFill="1" applyBorder="1" applyAlignment="1">
      <alignment horizontal="center" vertical="center"/>
    </xf>
    <xf numFmtId="0" fontId="12" fillId="13" borderId="54" xfId="0" applyFont="1" applyFill="1" applyBorder="1" applyAlignment="1">
      <alignment horizontal="center" vertical="center"/>
    </xf>
    <xf numFmtId="0" fontId="12" fillId="0" borderId="9" xfId="0" applyFont="1" applyBorder="1" applyAlignment="1">
      <alignment horizontal="center" vertical="center"/>
    </xf>
    <xf numFmtId="0" fontId="12" fillId="14" borderId="15" xfId="0" applyFont="1" applyFill="1" applyBorder="1" applyAlignment="1">
      <alignment horizontal="center" vertical="center"/>
    </xf>
    <xf numFmtId="0" fontId="12" fillId="14" borderId="43" xfId="0" applyFont="1" applyFill="1" applyBorder="1" applyAlignment="1">
      <alignment horizontal="center" vertical="center"/>
    </xf>
    <xf numFmtId="0" fontId="12" fillId="14" borderId="17" xfId="0" applyFont="1" applyFill="1" applyBorder="1" applyAlignment="1">
      <alignment horizontal="center" vertical="center"/>
    </xf>
    <xf numFmtId="0" fontId="12" fillId="14" borderId="25" xfId="0" applyFont="1" applyFill="1" applyBorder="1" applyAlignment="1">
      <alignment horizontal="center" vertical="center"/>
    </xf>
    <xf numFmtId="0" fontId="12" fillId="14" borderId="20" xfId="0" applyFont="1" applyFill="1" applyBorder="1" applyAlignment="1">
      <alignment horizontal="center" vertical="center"/>
    </xf>
    <xf numFmtId="0" fontId="12" fillId="14" borderId="51" xfId="0" applyFont="1" applyFill="1" applyBorder="1" applyAlignment="1">
      <alignment horizontal="center" vertical="center"/>
    </xf>
    <xf numFmtId="0" fontId="12" fillId="14" borderId="9" xfId="0" applyFont="1" applyFill="1" applyBorder="1" applyAlignment="1">
      <alignment horizontal="center" vertical="center"/>
    </xf>
    <xf numFmtId="0" fontId="12" fillId="14" borderId="54" xfId="0" applyFont="1" applyFill="1" applyBorder="1" applyAlignment="1">
      <alignment horizontal="center" vertical="center"/>
    </xf>
    <xf numFmtId="0" fontId="12" fillId="17" borderId="1" xfId="0" applyFont="1" applyFill="1" applyBorder="1" applyAlignment="1">
      <alignment horizontal="center" vertical="center"/>
    </xf>
    <xf numFmtId="0" fontId="12" fillId="17" borderId="2" xfId="0" applyFont="1" applyFill="1" applyBorder="1" applyAlignment="1">
      <alignment horizontal="center" vertical="center"/>
    </xf>
    <xf numFmtId="0" fontId="12" fillId="17" borderId="55" xfId="0" applyFont="1" applyFill="1" applyBorder="1" applyAlignment="1">
      <alignment horizontal="center" vertical="center"/>
    </xf>
    <xf numFmtId="0" fontId="12" fillId="0" borderId="31" xfId="0" applyFont="1" applyBorder="1" applyAlignment="1">
      <alignment horizontal="center" vertical="center"/>
    </xf>
    <xf numFmtId="0" fontId="13" fillId="14" borderId="30" xfId="0" applyFont="1" applyFill="1" applyBorder="1" applyAlignment="1">
      <alignment horizontal="center" vertical="center"/>
    </xf>
    <xf numFmtId="15" fontId="0" fillId="0" borderId="0" xfId="0" applyNumberFormat="1"/>
    <xf numFmtId="22" fontId="0" fillId="0" borderId="0" xfId="0" applyNumberFormat="1"/>
    <xf numFmtId="0" fontId="18" fillId="0" borderId="0" xfId="0" applyFont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20" fillId="18" borderId="42" xfId="0" applyFont="1" applyFill="1" applyBorder="1" applyAlignment="1" applyProtection="1">
      <alignment horizontal="center" vertical="center"/>
    </xf>
    <xf numFmtId="0" fontId="20" fillId="18" borderId="29" xfId="0" applyFont="1" applyFill="1" applyBorder="1" applyAlignment="1" applyProtection="1">
      <alignment horizontal="center" vertical="center"/>
    </xf>
    <xf numFmtId="0" fontId="0" fillId="0" borderId="0" xfId="0" applyNumberFormat="1" applyFill="1"/>
    <xf numFmtId="0" fontId="12" fillId="3" borderId="30" xfId="0" applyNumberFormat="1" applyFont="1" applyFill="1" applyBorder="1" applyAlignment="1">
      <alignment horizontal="center" vertical="center"/>
    </xf>
    <xf numFmtId="0" fontId="12" fillId="3" borderId="43" xfId="0" applyNumberFormat="1" applyFont="1" applyFill="1" applyBorder="1" applyAlignment="1">
      <alignment horizontal="center" vertical="center" wrapText="1"/>
    </xf>
    <xf numFmtId="0" fontId="12" fillId="3" borderId="17" xfId="0" applyNumberFormat="1" applyFont="1" applyFill="1" applyBorder="1" applyAlignment="1">
      <alignment horizontal="center" vertical="center" wrapText="1"/>
    </xf>
    <xf numFmtId="0" fontId="12" fillId="3" borderId="17" xfId="0" applyNumberFormat="1" applyFont="1" applyFill="1" applyBorder="1" applyAlignment="1">
      <alignment horizontal="center" vertical="center"/>
    </xf>
    <xf numFmtId="0" fontId="12" fillId="3" borderId="43" xfId="0" applyNumberFormat="1" applyFont="1" applyFill="1" applyBorder="1" applyAlignment="1">
      <alignment horizontal="center" vertical="center"/>
    </xf>
    <xf numFmtId="0" fontId="12" fillId="3" borderId="48" xfId="0" applyNumberFormat="1" applyFont="1" applyFill="1" applyBorder="1" applyAlignment="1">
      <alignment horizontal="center" vertical="center" wrapText="1"/>
    </xf>
    <xf numFmtId="0" fontId="12" fillId="19" borderId="46" xfId="0" applyNumberFormat="1" applyFont="1" applyFill="1" applyBorder="1" applyAlignment="1">
      <alignment horizontal="center" vertical="center"/>
    </xf>
    <xf numFmtId="0" fontId="12" fillId="19" borderId="16" xfId="0" applyNumberFormat="1" applyFont="1" applyFill="1" applyBorder="1" applyAlignment="1">
      <alignment horizontal="center" vertical="center"/>
    </xf>
    <xf numFmtId="0" fontId="12" fillId="19" borderId="17" xfId="0" applyNumberFormat="1" applyFont="1" applyFill="1" applyBorder="1" applyAlignment="1">
      <alignment horizontal="center" vertical="center"/>
    </xf>
    <xf numFmtId="9" fontId="12" fillId="19" borderId="17" xfId="0" applyNumberFormat="1" applyFont="1" applyFill="1" applyBorder="1" applyAlignment="1">
      <alignment horizontal="center" vertical="center"/>
    </xf>
    <xf numFmtId="9" fontId="12" fillId="19" borderId="18" xfId="0" applyNumberFormat="1" applyFont="1" applyFill="1" applyBorder="1" applyAlignment="1">
      <alignment horizontal="center" vertical="center"/>
    </xf>
    <xf numFmtId="0" fontId="12" fillId="20" borderId="22" xfId="0" applyNumberFormat="1" applyFont="1" applyFill="1" applyBorder="1" applyAlignment="1">
      <alignment horizontal="center" vertical="center"/>
    </xf>
    <xf numFmtId="0" fontId="12" fillId="20" borderId="27" xfId="0" applyNumberFormat="1" applyFont="1" applyFill="1" applyBorder="1" applyAlignment="1">
      <alignment horizontal="center" vertical="center"/>
    </xf>
    <xf numFmtId="0" fontId="12" fillId="20" borderId="28" xfId="0" applyNumberFormat="1" applyFont="1" applyFill="1" applyBorder="1" applyAlignment="1">
      <alignment horizontal="center" vertical="center"/>
    </xf>
    <xf numFmtId="9" fontId="12" fillId="20" borderId="28" xfId="0" applyNumberFormat="1" applyFont="1" applyFill="1" applyBorder="1" applyAlignment="1">
      <alignment horizontal="center" vertical="center"/>
    </xf>
    <xf numFmtId="0" fontId="14" fillId="20" borderId="28" xfId="0" applyNumberFormat="1" applyFont="1" applyFill="1" applyBorder="1" applyAlignment="1">
      <alignment horizontal="center" vertical="center"/>
    </xf>
    <xf numFmtId="9" fontId="12" fillId="20" borderId="29" xfId="0" applyNumberFormat="1" applyFont="1" applyFill="1" applyBorder="1" applyAlignment="1">
      <alignment horizontal="center" vertical="center"/>
    </xf>
    <xf numFmtId="0" fontId="0" fillId="2" borderId="0" xfId="0" applyFill="1"/>
    <xf numFmtId="0" fontId="23" fillId="21" borderId="50" xfId="0" applyFont="1" applyFill="1" applyBorder="1" applyAlignment="1">
      <alignment horizontal="center" vertical="center"/>
    </xf>
    <xf numFmtId="0" fontId="25" fillId="21" borderId="30" xfId="0" applyFont="1" applyFill="1" applyBorder="1" applyAlignment="1">
      <alignment horizontal="center" vertical="center"/>
    </xf>
    <xf numFmtId="0" fontId="27" fillId="21" borderId="30" xfId="0" applyFont="1" applyFill="1" applyBorder="1" applyAlignment="1">
      <alignment horizontal="center" vertical="center"/>
    </xf>
    <xf numFmtId="0" fontId="27" fillId="22" borderId="43" xfId="0" applyFont="1" applyFill="1" applyBorder="1" applyAlignment="1">
      <alignment horizontal="center" vertical="center"/>
    </xf>
    <xf numFmtId="0" fontId="27" fillId="22" borderId="17" xfId="0" applyFont="1" applyFill="1" applyBorder="1" applyAlignment="1">
      <alignment horizontal="center" vertical="center"/>
    </xf>
    <xf numFmtId="0" fontId="27" fillId="22" borderId="18" xfId="0" applyFont="1" applyFill="1" applyBorder="1" applyAlignment="1">
      <alignment horizontal="center" vertical="center"/>
    </xf>
    <xf numFmtId="0" fontId="27" fillId="22" borderId="16" xfId="0" applyFont="1" applyFill="1" applyBorder="1" applyAlignment="1">
      <alignment horizontal="center" vertical="center"/>
    </xf>
    <xf numFmtId="0" fontId="27" fillId="22" borderId="25" xfId="0" applyFont="1" applyFill="1" applyBorder="1" applyAlignment="1">
      <alignment horizontal="center" vertical="center"/>
    </xf>
    <xf numFmtId="0" fontId="27" fillId="22" borderId="1" xfId="0" applyFont="1" applyFill="1" applyBorder="1" applyAlignment="1">
      <alignment horizontal="center" vertical="center"/>
    </xf>
    <xf numFmtId="0" fontId="27" fillId="22" borderId="2" xfId="0" applyFont="1" applyFill="1" applyBorder="1" applyAlignment="1">
      <alignment horizontal="center" vertical="center"/>
    </xf>
    <xf numFmtId="0" fontId="27" fillId="22" borderId="3" xfId="0" applyFont="1" applyFill="1" applyBorder="1" applyAlignment="1">
      <alignment horizontal="center" vertical="center"/>
    </xf>
    <xf numFmtId="0" fontId="27" fillId="21" borderId="19" xfId="0" applyFont="1" applyFill="1" applyBorder="1" applyAlignment="1">
      <alignment horizontal="center" vertical="center"/>
    </xf>
    <xf numFmtId="1" fontId="28" fillId="11" borderId="37" xfId="0" applyNumberFormat="1" applyFont="1" applyFill="1" applyBorder="1" applyAlignment="1">
      <alignment horizontal="center" vertical="center"/>
    </xf>
    <xf numFmtId="1" fontId="28" fillId="11" borderId="34" xfId="0" applyNumberFormat="1" applyFont="1" applyFill="1" applyBorder="1" applyAlignment="1">
      <alignment horizontal="center" vertical="center"/>
    </xf>
    <xf numFmtId="9" fontId="28" fillId="11" borderId="11" xfId="1" applyFont="1" applyFill="1" applyBorder="1" applyAlignment="1">
      <alignment horizontal="center" vertical="center"/>
    </xf>
    <xf numFmtId="1" fontId="28" fillId="11" borderId="12" xfId="0" applyNumberFormat="1" applyFont="1" applyFill="1" applyBorder="1" applyAlignment="1">
      <alignment horizontal="center" vertical="center"/>
    </xf>
    <xf numFmtId="9" fontId="28" fillId="11" borderId="39" xfId="1" applyFont="1" applyFill="1" applyBorder="1" applyAlignment="1">
      <alignment horizontal="center" vertical="center"/>
    </xf>
    <xf numFmtId="1" fontId="28" fillId="0" borderId="4" xfId="0" applyNumberFormat="1" applyFont="1" applyBorder="1" applyAlignment="1">
      <alignment horizontal="center" vertical="center"/>
    </xf>
    <xf numFmtId="1" fontId="28" fillId="0" borderId="38" xfId="0" applyNumberFormat="1" applyFont="1" applyBorder="1" applyAlignment="1">
      <alignment horizontal="center" vertical="center"/>
    </xf>
    <xf numFmtId="9" fontId="28" fillId="0" borderId="5" xfId="1" applyFont="1" applyBorder="1" applyAlignment="1">
      <alignment horizontal="center" vertical="center"/>
    </xf>
    <xf numFmtId="9" fontId="29" fillId="11" borderId="11" xfId="1" applyFont="1" applyFill="1" applyBorder="1" applyAlignment="1">
      <alignment horizontal="center" vertical="center"/>
    </xf>
    <xf numFmtId="9" fontId="29" fillId="11" borderId="39" xfId="1" applyFont="1" applyFill="1" applyBorder="1" applyAlignment="1">
      <alignment horizontal="center" vertical="center"/>
    </xf>
    <xf numFmtId="9" fontId="29" fillId="0" borderId="5" xfId="1" applyFont="1" applyBorder="1" applyAlignment="1">
      <alignment horizontal="center" vertical="center"/>
    </xf>
    <xf numFmtId="0" fontId="27" fillId="21" borderId="20" xfId="0" applyFont="1" applyFill="1" applyBorder="1" applyAlignment="1">
      <alignment horizontal="center" vertical="center"/>
    </xf>
    <xf numFmtId="1" fontId="28" fillId="11" borderId="38" xfId="0" applyNumberFormat="1" applyFont="1" applyFill="1" applyBorder="1" applyAlignment="1">
      <alignment horizontal="center" vertical="center"/>
    </xf>
    <xf numFmtId="1" fontId="28" fillId="11" borderId="13" xfId="0" applyNumberFormat="1" applyFont="1" applyFill="1" applyBorder="1" applyAlignment="1">
      <alignment horizontal="center" vertical="center"/>
    </xf>
    <xf numFmtId="1" fontId="28" fillId="11" borderId="4" xfId="0" applyNumberFormat="1" applyFont="1" applyFill="1" applyBorder="1" applyAlignment="1">
      <alignment horizontal="center" vertical="center"/>
    </xf>
    <xf numFmtId="9" fontId="28" fillId="11" borderId="40" xfId="1" applyFont="1" applyFill="1" applyBorder="1" applyAlignment="1">
      <alignment horizontal="center" vertical="center"/>
    </xf>
    <xf numFmtId="9" fontId="28" fillId="11" borderId="13" xfId="1" applyFont="1" applyFill="1" applyBorder="1" applyAlignment="1">
      <alignment horizontal="center" vertical="center"/>
    </xf>
    <xf numFmtId="1" fontId="28" fillId="11" borderId="14" xfId="0" applyNumberFormat="1" applyFont="1" applyFill="1" applyBorder="1" applyAlignment="1">
      <alignment horizontal="center" vertical="center"/>
    </xf>
    <xf numFmtId="9" fontId="28" fillId="11" borderId="45" xfId="1" applyFont="1" applyFill="1" applyBorder="1" applyAlignment="1">
      <alignment horizontal="center" vertical="center"/>
    </xf>
    <xf numFmtId="1" fontId="28" fillId="11" borderId="21" xfId="0" applyNumberFormat="1" applyFont="1" applyFill="1" applyBorder="1" applyAlignment="1">
      <alignment horizontal="center" vertical="center"/>
    </xf>
    <xf numFmtId="9" fontId="28" fillId="11" borderId="56" xfId="1" applyFont="1" applyFill="1" applyBorder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25" fillId="21" borderId="49" xfId="0" applyFont="1" applyFill="1" applyBorder="1" applyAlignment="1">
      <alignment horizontal="center" vertical="center"/>
    </xf>
    <xf numFmtId="0" fontId="0" fillId="0" borderId="0" xfId="0" applyAlignment="1">
      <alignment wrapText="1"/>
    </xf>
    <xf numFmtId="0" fontId="13" fillId="17" borderId="53" xfId="0" applyFont="1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0" fillId="0" borderId="64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2" fillId="0" borderId="26" xfId="0" applyFont="1" applyBorder="1" applyAlignment="1">
      <alignment horizontal="center" vertical="center"/>
    </xf>
    <xf numFmtId="14" fontId="12" fillId="0" borderId="26" xfId="0" applyNumberFormat="1" applyFon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2" fillId="3" borderId="53" xfId="0" applyNumberFormat="1" applyFont="1" applyFill="1" applyBorder="1" applyAlignment="1">
      <alignment horizontal="center" vertical="center"/>
    </xf>
    <xf numFmtId="0" fontId="12" fillId="3" borderId="41" xfId="0" applyNumberFormat="1" applyFont="1" applyFill="1" applyBorder="1" applyAlignment="1">
      <alignment horizontal="center" vertical="center" wrapText="1"/>
    </xf>
    <xf numFmtId="0" fontId="12" fillId="0" borderId="46" xfId="0" applyNumberFormat="1" applyFont="1" applyFill="1" applyBorder="1" applyAlignment="1">
      <alignment horizontal="center" vertical="center"/>
    </xf>
    <xf numFmtId="9" fontId="12" fillId="0" borderId="17" xfId="0" applyNumberFormat="1" applyFont="1" applyFill="1" applyBorder="1" applyAlignment="1">
      <alignment horizontal="center" vertical="center"/>
    </xf>
    <xf numFmtId="0" fontId="12" fillId="0" borderId="22" xfId="0" applyNumberFormat="1" applyFont="1" applyFill="1" applyBorder="1" applyAlignment="1">
      <alignment horizontal="center" vertical="center"/>
    </xf>
    <xf numFmtId="9" fontId="12" fillId="0" borderId="28" xfId="0" applyNumberFormat="1" applyFont="1" applyFill="1" applyBorder="1" applyAlignment="1">
      <alignment horizontal="center" vertical="center"/>
    </xf>
    <xf numFmtId="164" fontId="12" fillId="2" borderId="16" xfId="0" applyNumberFormat="1" applyFont="1" applyFill="1" applyBorder="1" applyAlignment="1">
      <alignment horizontal="center" vertical="center"/>
    </xf>
    <xf numFmtId="164" fontId="12" fillId="0" borderId="17" xfId="0" applyNumberFormat="1" applyFont="1" applyFill="1" applyBorder="1" applyAlignment="1">
      <alignment horizontal="center" vertical="center"/>
    </xf>
    <xf numFmtId="164" fontId="12" fillId="2" borderId="27" xfId="0" applyNumberFormat="1" applyFont="1" applyFill="1" applyBorder="1" applyAlignment="1">
      <alignment horizontal="center" vertical="center"/>
    </xf>
    <xf numFmtId="164" fontId="12" fillId="0" borderId="28" xfId="0" applyNumberFormat="1" applyFont="1" applyFill="1" applyBorder="1" applyAlignment="1">
      <alignment horizontal="center" vertical="center"/>
    </xf>
    <xf numFmtId="0" fontId="12" fillId="3" borderId="16" xfId="0" applyNumberFormat="1" applyFont="1" applyFill="1" applyBorder="1" applyAlignment="1">
      <alignment horizontal="center" vertical="center"/>
    </xf>
    <xf numFmtId="0" fontId="12" fillId="3" borderId="18" xfId="0" applyNumberFormat="1" applyFont="1" applyFill="1" applyBorder="1" applyAlignment="1">
      <alignment horizontal="center" vertical="center" wrapText="1"/>
    </xf>
    <xf numFmtId="0" fontId="34" fillId="0" borderId="27" xfId="0" applyNumberFormat="1" applyFont="1" applyFill="1" applyBorder="1" applyAlignment="1">
      <alignment horizontal="center" vertical="center"/>
    </xf>
    <xf numFmtId="0" fontId="12" fillId="0" borderId="28" xfId="0" applyNumberFormat="1" applyFont="1" applyFill="1" applyBorder="1" applyAlignment="1">
      <alignment horizontal="center" vertical="center"/>
    </xf>
    <xf numFmtId="0" fontId="12" fillId="3" borderId="26" xfId="0" applyNumberFormat="1" applyFont="1" applyFill="1" applyBorder="1" applyAlignment="1">
      <alignment horizontal="center" vertical="center" wrapText="1"/>
    </xf>
    <xf numFmtId="0" fontId="18" fillId="2" borderId="30" xfId="0" applyNumberFormat="1" applyFont="1" applyFill="1" applyBorder="1" applyAlignment="1">
      <alignment horizontal="center" vertical="center" wrapText="1"/>
    </xf>
    <xf numFmtId="9" fontId="12" fillId="0" borderId="25" xfId="0" applyNumberFormat="1" applyFont="1" applyFill="1" applyBorder="1" applyAlignment="1">
      <alignment horizontal="center" vertical="center"/>
    </xf>
    <xf numFmtId="9" fontId="12" fillId="0" borderId="42" xfId="0" applyNumberFormat="1" applyFont="1" applyFill="1" applyBorder="1" applyAlignment="1">
      <alignment horizontal="center" vertical="center"/>
    </xf>
    <xf numFmtId="165" fontId="18" fillId="23" borderId="30" xfId="0" applyNumberFormat="1" applyFont="1" applyFill="1" applyBorder="1"/>
    <xf numFmtId="0" fontId="18" fillId="2" borderId="3" xfId="0" applyNumberFormat="1" applyFont="1" applyFill="1" applyBorder="1" applyAlignment="1">
      <alignment horizontal="center" vertical="center" wrapText="1"/>
    </xf>
    <xf numFmtId="164" fontId="12" fillId="2" borderId="32" xfId="0" applyNumberFormat="1" applyFont="1" applyFill="1" applyBorder="1" applyAlignment="1">
      <alignment horizontal="center" vertical="center"/>
    </xf>
    <xf numFmtId="164" fontId="12" fillId="0" borderId="32" xfId="0" applyNumberFormat="1" applyFont="1" applyFill="1" applyBorder="1" applyAlignment="1">
      <alignment horizontal="center" vertical="center"/>
    </xf>
    <xf numFmtId="9" fontId="12" fillId="0" borderId="32" xfId="0" applyNumberFormat="1" applyFont="1" applyFill="1" applyBorder="1" applyAlignment="1">
      <alignment horizontal="center" vertical="center"/>
    </xf>
    <xf numFmtId="165" fontId="18" fillId="23" borderId="33" xfId="0" applyNumberFormat="1" applyFont="1" applyFill="1" applyBorder="1"/>
    <xf numFmtId="0" fontId="12" fillId="23" borderId="31" xfId="0" applyNumberFormat="1" applyFont="1" applyFill="1" applyBorder="1" applyAlignment="1">
      <alignment horizontal="center" vertical="center"/>
    </xf>
    <xf numFmtId="0" fontId="12" fillId="23" borderId="32" xfId="0" applyNumberFormat="1" applyFont="1" applyFill="1" applyBorder="1" applyAlignment="1">
      <alignment horizontal="center" vertical="center"/>
    </xf>
    <xf numFmtId="9" fontId="12" fillId="23" borderId="32" xfId="0" applyNumberFormat="1" applyFont="1" applyFill="1" applyBorder="1" applyAlignment="1">
      <alignment horizontal="center" vertical="center"/>
    </xf>
    <xf numFmtId="0" fontId="12" fillId="24" borderId="1" xfId="0" applyNumberFormat="1" applyFont="1" applyFill="1" applyBorder="1" applyAlignment="1">
      <alignment horizontal="center" vertical="center"/>
    </xf>
    <xf numFmtId="0" fontId="12" fillId="24" borderId="2" xfId="0" applyNumberFormat="1" applyFont="1" applyFill="1" applyBorder="1" applyAlignment="1">
      <alignment horizontal="center" vertical="center" wrapText="1"/>
    </xf>
    <xf numFmtId="0" fontId="12" fillId="2" borderId="16" xfId="0" applyNumberFormat="1" applyFont="1" applyFill="1" applyBorder="1" applyAlignment="1">
      <alignment horizontal="center" vertical="center"/>
    </xf>
    <xf numFmtId="0" fontId="12" fillId="0" borderId="17" xfId="0" applyNumberFormat="1" applyFont="1" applyFill="1" applyBorder="1" applyAlignment="1">
      <alignment horizontal="center" vertical="center"/>
    </xf>
    <xf numFmtId="0" fontId="12" fillId="14" borderId="18" xfId="0" applyFont="1" applyFill="1" applyBorder="1" applyAlignment="1">
      <alignment horizontal="center" vertical="center"/>
    </xf>
    <xf numFmtId="0" fontId="12" fillId="0" borderId="28" xfId="0" applyFont="1" applyBorder="1" applyAlignment="1">
      <alignment horizontal="center" vertical="center"/>
    </xf>
    <xf numFmtId="164" fontId="16" fillId="11" borderId="30" xfId="0" applyNumberFormat="1" applyFont="1" applyFill="1" applyBorder="1" applyAlignment="1">
      <alignment horizontal="center" vertical="center"/>
    </xf>
    <xf numFmtId="165" fontId="18" fillId="2" borderId="30" xfId="0" applyNumberFormat="1" applyFont="1" applyFill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18" fillId="2" borderId="16" xfId="0" applyFont="1" applyFill="1" applyBorder="1" applyAlignment="1">
      <alignment horizontal="center" vertical="center"/>
    </xf>
    <xf numFmtId="0" fontId="18" fillId="2" borderId="17" xfId="0" applyFont="1" applyFill="1" applyBorder="1" applyAlignment="1">
      <alignment horizontal="center" vertical="center"/>
    </xf>
    <xf numFmtId="0" fontId="18" fillId="2" borderId="18" xfId="0" applyFont="1" applyFill="1" applyBorder="1" applyAlignment="1">
      <alignment horizontal="center" vertical="center"/>
    </xf>
    <xf numFmtId="0" fontId="0" fillId="10" borderId="34" xfId="0" applyFill="1" applyBorder="1" applyAlignment="1">
      <alignment horizontal="center" vertical="center"/>
    </xf>
    <xf numFmtId="0" fontId="0" fillId="10" borderId="13" xfId="0" applyFill="1" applyBorder="1" applyAlignment="1">
      <alignment horizontal="center" vertical="center"/>
    </xf>
    <xf numFmtId="164" fontId="0" fillId="0" borderId="34" xfId="0" applyNumberFormat="1" applyBorder="1" applyAlignment="1">
      <alignment horizontal="center" vertical="center"/>
    </xf>
    <xf numFmtId="164" fontId="0" fillId="0" borderId="13" xfId="0" applyNumberFormat="1" applyBorder="1" applyAlignment="1">
      <alignment horizontal="center" vertical="center"/>
    </xf>
    <xf numFmtId="0" fontId="0" fillId="10" borderId="65" xfId="0" applyFill="1" applyBorder="1" applyAlignment="1">
      <alignment horizontal="center" vertical="center"/>
    </xf>
    <xf numFmtId="0" fontId="12" fillId="0" borderId="16" xfId="0" applyNumberFormat="1" applyFont="1" applyFill="1" applyBorder="1" applyAlignment="1">
      <alignment horizontal="center" vertical="center"/>
    </xf>
    <xf numFmtId="0" fontId="12" fillId="14" borderId="30" xfId="0" applyNumberFormat="1" applyFont="1" applyFill="1" applyBorder="1" applyAlignment="1">
      <alignment horizontal="center" vertical="center" wrapText="1"/>
    </xf>
    <xf numFmtId="0" fontId="12" fillId="14" borderId="48" xfId="0" applyNumberFormat="1" applyFont="1" applyFill="1" applyBorder="1" applyAlignment="1">
      <alignment horizontal="center" vertical="center" wrapText="1"/>
    </xf>
    <xf numFmtId="0" fontId="0" fillId="0" borderId="0" xfId="0" applyNumberFormat="1" applyFill="1" applyBorder="1"/>
    <xf numFmtId="0" fontId="12" fillId="0" borderId="0" xfId="0" applyNumberFormat="1" applyFont="1" applyFill="1" applyBorder="1" applyAlignment="1">
      <alignment horizontal="center" vertical="center" wrapText="1"/>
    </xf>
    <xf numFmtId="9" fontId="12" fillId="0" borderId="0" xfId="0" applyNumberFormat="1" applyFont="1" applyFill="1" applyBorder="1" applyAlignment="1">
      <alignment horizontal="center" vertical="center"/>
    </xf>
    <xf numFmtId="0" fontId="0" fillId="0" borderId="0" xfId="0" applyNumberFormat="1" applyFill="1" applyBorder="1" applyAlignment="1"/>
    <xf numFmtId="0" fontId="12" fillId="14" borderId="10" xfId="0" applyNumberFormat="1" applyFont="1" applyFill="1" applyBorder="1" applyAlignment="1">
      <alignment horizontal="center" vertical="center" wrapText="1"/>
    </xf>
    <xf numFmtId="16" fontId="0" fillId="0" borderId="0" xfId="0" applyNumberFormat="1"/>
    <xf numFmtId="9" fontId="12" fillId="0" borderId="18" xfId="0" applyNumberFormat="1" applyFont="1" applyFill="1" applyBorder="1" applyAlignment="1">
      <alignment horizontal="center" vertical="center"/>
    </xf>
    <xf numFmtId="14" fontId="0" fillId="0" borderId="0" xfId="0" applyNumberFormat="1"/>
    <xf numFmtId="17" fontId="0" fillId="0" borderId="0" xfId="0" applyNumberFormat="1"/>
    <xf numFmtId="0" fontId="8" fillId="7" borderId="2" xfId="0" applyFont="1" applyFill="1" applyBorder="1" applyAlignment="1">
      <alignment horizontal="center" vertical="center" wrapText="1"/>
    </xf>
    <xf numFmtId="0" fontId="8" fillId="7" borderId="3" xfId="0" applyFont="1" applyFill="1" applyBorder="1" applyAlignment="1">
      <alignment horizontal="center" vertical="center" wrapText="1"/>
    </xf>
    <xf numFmtId="0" fontId="8" fillId="7" borderId="32" xfId="0" applyFont="1" applyFill="1" applyBorder="1" applyAlignment="1">
      <alignment horizontal="center" vertical="center" wrapText="1"/>
    </xf>
    <xf numFmtId="0" fontId="8" fillId="7" borderId="33" xfId="0" applyFont="1" applyFill="1" applyBorder="1" applyAlignment="1">
      <alignment horizontal="center" vertical="center" wrapText="1"/>
    </xf>
    <xf numFmtId="0" fontId="7" fillId="9" borderId="2" xfId="0" applyFont="1" applyFill="1" applyBorder="1" applyAlignment="1">
      <alignment horizontal="center" vertical="center"/>
    </xf>
    <xf numFmtId="0" fontId="7" fillId="9" borderId="32" xfId="0" applyFont="1" applyFill="1" applyBorder="1" applyAlignment="1">
      <alignment horizontal="center" vertical="center"/>
    </xf>
    <xf numFmtId="0" fontId="9" fillId="8" borderId="1" xfId="0" applyFont="1" applyFill="1" applyBorder="1" applyAlignment="1">
      <alignment horizontal="center" vertical="center"/>
    </xf>
    <xf numFmtId="0" fontId="9" fillId="8" borderId="2" xfId="0" applyFont="1" applyFill="1" applyBorder="1" applyAlignment="1">
      <alignment horizontal="center" vertical="center"/>
    </xf>
    <xf numFmtId="0" fontId="9" fillId="8" borderId="31" xfId="0" applyFont="1" applyFill="1" applyBorder="1" applyAlignment="1">
      <alignment horizontal="center" vertical="center"/>
    </xf>
    <xf numFmtId="0" fontId="9" fillId="8" borderId="32" xfId="0" applyFont="1" applyFill="1" applyBorder="1" applyAlignment="1">
      <alignment horizontal="center" vertical="center"/>
    </xf>
    <xf numFmtId="0" fontId="4" fillId="7" borderId="15" xfId="0" applyFont="1" applyFill="1" applyBorder="1" applyAlignment="1" applyProtection="1">
      <alignment horizontal="center" vertical="center"/>
    </xf>
    <xf numFmtId="0" fontId="4" fillId="7" borderId="9" xfId="0" applyFont="1" applyFill="1" applyBorder="1" applyAlignment="1" applyProtection="1">
      <alignment horizontal="center" vertical="center"/>
    </xf>
    <xf numFmtId="0" fontId="4" fillId="2" borderId="15" xfId="0" applyFont="1" applyFill="1" applyBorder="1" applyAlignment="1" applyProtection="1">
      <alignment horizontal="center" vertical="center"/>
    </xf>
    <xf numFmtId="0" fontId="4" fillId="2" borderId="9" xfId="0" applyFont="1" applyFill="1" applyBorder="1" applyAlignment="1" applyProtection="1">
      <alignment horizontal="center" vertical="center"/>
    </xf>
    <xf numFmtId="0" fontId="4" fillId="4" borderId="16" xfId="0" applyFont="1" applyFill="1" applyBorder="1" applyAlignment="1" applyProtection="1">
      <alignment horizontal="center" vertical="center"/>
    </xf>
    <xf numFmtId="0" fontId="4" fillId="4" borderId="17" xfId="0" applyFont="1" applyFill="1" applyBorder="1" applyAlignment="1" applyProtection="1">
      <alignment horizontal="center" vertical="center"/>
    </xf>
    <xf numFmtId="0" fontId="4" fillId="4" borderId="25" xfId="0" applyFont="1" applyFill="1" applyBorder="1" applyAlignment="1" applyProtection="1">
      <alignment horizontal="center" vertical="center"/>
    </xf>
    <xf numFmtId="0" fontId="4" fillId="9" borderId="16" xfId="0" applyFont="1" applyFill="1" applyBorder="1" applyAlignment="1" applyProtection="1">
      <alignment horizontal="center" vertical="center"/>
    </xf>
    <xf numFmtId="0" fontId="4" fillId="9" borderId="17" xfId="0" applyFont="1" applyFill="1" applyBorder="1" applyAlignment="1" applyProtection="1">
      <alignment horizontal="center" vertical="center"/>
    </xf>
    <xf numFmtId="0" fontId="4" fillId="9" borderId="18" xfId="0" applyFont="1" applyFill="1" applyBorder="1" applyAlignment="1" applyProtection="1">
      <alignment horizontal="center" vertical="center"/>
    </xf>
    <xf numFmtId="0" fontId="5" fillId="5" borderId="15" xfId="0" applyFont="1" applyFill="1" applyBorder="1" applyAlignment="1" applyProtection="1">
      <alignment horizontal="center" vertical="center"/>
    </xf>
    <xf numFmtId="0" fontId="5" fillId="5" borderId="9" xfId="0" applyFont="1" applyFill="1" applyBorder="1" applyAlignment="1" applyProtection="1">
      <alignment horizontal="center" vertical="center"/>
    </xf>
    <xf numFmtId="0" fontId="4" fillId="4" borderId="18" xfId="0" applyFont="1" applyFill="1" applyBorder="1" applyAlignment="1" applyProtection="1">
      <alignment horizontal="center" vertical="center"/>
    </xf>
    <xf numFmtId="0" fontId="4" fillId="4" borderId="43" xfId="0" applyFont="1" applyFill="1" applyBorder="1" applyAlignment="1">
      <alignment horizontal="center" vertical="center"/>
    </xf>
    <xf numFmtId="0" fontId="4" fillId="4" borderId="25" xfId="0" applyFont="1" applyFill="1" applyBorder="1" applyAlignment="1">
      <alignment horizontal="center" vertical="center"/>
    </xf>
    <xf numFmtId="0" fontId="4" fillId="4" borderId="16" xfId="0" applyFont="1" applyFill="1" applyBorder="1" applyAlignment="1">
      <alignment horizontal="center" vertical="center"/>
    </xf>
    <xf numFmtId="0" fontId="4" fillId="4" borderId="18" xfId="0" applyFont="1" applyFill="1" applyBorder="1" applyAlignment="1">
      <alignment horizontal="center" vertical="center"/>
    </xf>
    <xf numFmtId="0" fontId="4" fillId="10" borderId="16" xfId="0" applyFont="1" applyFill="1" applyBorder="1" applyAlignment="1">
      <alignment horizontal="center" vertical="center"/>
    </xf>
    <xf numFmtId="0" fontId="4" fillId="10" borderId="18" xfId="0" applyFont="1" applyFill="1" applyBorder="1" applyAlignment="1">
      <alignment horizontal="center" vertical="center"/>
    </xf>
    <xf numFmtId="0" fontId="4" fillId="3" borderId="35" xfId="0" applyFont="1" applyFill="1" applyBorder="1" applyAlignment="1">
      <alignment horizontal="center" vertical="center" wrapText="1"/>
    </xf>
    <xf numFmtId="0" fontId="4" fillId="3" borderId="36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 wrapText="1"/>
    </xf>
    <xf numFmtId="0" fontId="4" fillId="3" borderId="3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 wrapText="1"/>
    </xf>
    <xf numFmtId="0" fontId="4" fillId="3" borderId="33" xfId="0" applyFont="1" applyFill="1" applyBorder="1" applyAlignment="1">
      <alignment horizontal="center" vertical="center"/>
    </xf>
    <xf numFmtId="164" fontId="17" fillId="11" borderId="46" xfId="0" applyNumberFormat="1" applyFont="1" applyFill="1" applyBorder="1" applyAlignment="1">
      <alignment horizontal="center" vertical="center"/>
    </xf>
    <xf numFmtId="164" fontId="17" fillId="11" borderId="47" xfId="0" applyNumberFormat="1" applyFont="1" applyFill="1" applyBorder="1" applyAlignment="1">
      <alignment horizontal="center" vertical="center"/>
    </xf>
    <xf numFmtId="164" fontId="17" fillId="11" borderId="48" xfId="0" applyNumberFormat="1" applyFont="1" applyFill="1" applyBorder="1" applyAlignment="1">
      <alignment horizontal="center" vertical="center"/>
    </xf>
    <xf numFmtId="0" fontId="13" fillId="2" borderId="6" xfId="0" applyFont="1" applyFill="1" applyBorder="1" applyAlignment="1">
      <alignment horizontal="center" vertical="center"/>
    </xf>
    <xf numFmtId="0" fontId="13" fillId="2" borderId="7" xfId="0" applyFont="1" applyFill="1" applyBorder="1" applyAlignment="1">
      <alignment horizontal="center" vertical="center"/>
    </xf>
    <xf numFmtId="0" fontId="13" fillId="2" borderId="8" xfId="0" applyFont="1" applyFill="1" applyBorder="1" applyAlignment="1">
      <alignment horizontal="center" vertical="center"/>
    </xf>
    <xf numFmtId="0" fontId="13" fillId="2" borderId="22" xfId="0" applyFont="1" applyFill="1" applyBorder="1" applyAlignment="1">
      <alignment horizontal="center" vertical="center"/>
    </xf>
    <xf numFmtId="0" fontId="13" fillId="2" borderId="26" xfId="0" applyFont="1" applyFill="1" applyBorder="1" applyAlignment="1">
      <alignment horizontal="center" vertical="center"/>
    </xf>
    <xf numFmtId="0" fontId="13" fillId="2" borderId="10" xfId="0" applyFont="1" applyFill="1" applyBorder="1" applyAlignment="1">
      <alignment horizontal="center" vertical="center"/>
    </xf>
    <xf numFmtId="0" fontId="12" fillId="0" borderId="49" xfId="0" applyFont="1" applyBorder="1" applyAlignment="1">
      <alignment horizontal="center" vertical="center"/>
    </xf>
    <xf numFmtId="0" fontId="12" fillId="0" borderId="50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0" fontId="14" fillId="15" borderId="46" xfId="0" applyFont="1" applyFill="1" applyBorder="1" applyAlignment="1">
      <alignment horizontal="center" vertical="center"/>
    </xf>
    <xf numFmtId="0" fontId="14" fillId="15" borderId="47" xfId="0" applyFont="1" applyFill="1" applyBorder="1" applyAlignment="1">
      <alignment horizontal="center" vertical="center"/>
    </xf>
    <xf numFmtId="0" fontId="14" fillId="15" borderId="48" xfId="0" applyFont="1" applyFill="1" applyBorder="1" applyAlignment="1">
      <alignment horizontal="center" vertical="center"/>
    </xf>
    <xf numFmtId="0" fontId="14" fillId="16" borderId="16" xfId="0" applyFont="1" applyFill="1" applyBorder="1" applyAlignment="1">
      <alignment horizontal="center" vertical="center"/>
    </xf>
    <xf numFmtId="0" fontId="14" fillId="16" borderId="18" xfId="0" applyFont="1" applyFill="1" applyBorder="1" applyAlignment="1">
      <alignment horizontal="center" vertical="center"/>
    </xf>
    <xf numFmtId="0" fontId="13" fillId="17" borderId="49" xfId="0" applyFont="1" applyFill="1" applyBorder="1" applyAlignment="1">
      <alignment horizontal="center" vertical="center"/>
    </xf>
    <xf numFmtId="0" fontId="13" fillId="17" borderId="53" xfId="0" applyFont="1" applyFill="1" applyBorder="1" applyAlignment="1">
      <alignment horizontal="center" vertical="center"/>
    </xf>
    <xf numFmtId="0" fontId="12" fillId="17" borderId="46" xfId="0" applyFont="1" applyFill="1" applyBorder="1" applyAlignment="1">
      <alignment horizontal="center" vertical="center"/>
    </xf>
    <xf numFmtId="0" fontId="12" fillId="17" borderId="48" xfId="0" applyFont="1" applyFill="1" applyBorder="1" applyAlignment="1">
      <alignment horizontal="center" vertical="center"/>
    </xf>
    <xf numFmtId="0" fontId="13" fillId="14" borderId="49" xfId="0" applyFont="1" applyFill="1" applyBorder="1" applyAlignment="1">
      <alignment horizontal="center" vertical="center"/>
    </xf>
    <xf numFmtId="0" fontId="13" fillId="14" borderId="53" xfId="0" applyFont="1" applyFill="1" applyBorder="1" applyAlignment="1">
      <alignment horizontal="center" vertical="center"/>
    </xf>
    <xf numFmtId="0" fontId="16" fillId="0" borderId="49" xfId="0" applyFont="1" applyBorder="1" applyAlignment="1">
      <alignment horizontal="center" vertical="center"/>
    </xf>
    <xf numFmtId="0" fontId="16" fillId="0" borderId="53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13" fillId="2" borderId="46" xfId="0" applyFont="1" applyFill="1" applyBorder="1" applyAlignment="1">
      <alignment horizontal="center" vertical="center"/>
    </xf>
    <xf numFmtId="0" fontId="13" fillId="2" borderId="47" xfId="0" applyFont="1" applyFill="1" applyBorder="1" applyAlignment="1">
      <alignment horizontal="center" vertical="center"/>
    </xf>
    <xf numFmtId="0" fontId="13" fillId="2" borderId="48" xfId="0" applyFont="1" applyFill="1" applyBorder="1" applyAlignment="1">
      <alignment horizontal="center" vertical="center"/>
    </xf>
    <xf numFmtId="0" fontId="12" fillId="0" borderId="46" xfId="0" applyFont="1" applyBorder="1" applyAlignment="1">
      <alignment horizontal="center" vertical="center"/>
    </xf>
    <xf numFmtId="0" fontId="12" fillId="0" borderId="47" xfId="0" applyFont="1" applyBorder="1" applyAlignment="1">
      <alignment horizontal="center" vertical="center"/>
    </xf>
    <xf numFmtId="0" fontId="35" fillId="25" borderId="16" xfId="0" applyFont="1" applyFill="1" applyBorder="1" applyAlignment="1">
      <alignment horizontal="center" vertical="center"/>
    </xf>
    <xf numFmtId="0" fontId="35" fillId="25" borderId="17" xfId="0" applyFont="1" applyFill="1" applyBorder="1" applyAlignment="1">
      <alignment horizontal="center" vertical="center"/>
    </xf>
    <xf numFmtId="0" fontId="35" fillId="25" borderId="18" xfId="0" applyFont="1" applyFill="1" applyBorder="1" applyAlignment="1">
      <alignment horizontal="center" vertical="center"/>
    </xf>
    <xf numFmtId="0" fontId="13" fillId="2" borderId="46" xfId="0" applyNumberFormat="1" applyFont="1" applyFill="1" applyBorder="1" applyAlignment="1">
      <alignment horizontal="center" vertical="center"/>
    </xf>
    <xf numFmtId="0" fontId="13" fillId="2" borderId="47" xfId="0" applyNumberFormat="1" applyFont="1" applyFill="1" applyBorder="1" applyAlignment="1">
      <alignment horizontal="center" vertical="center"/>
    </xf>
    <xf numFmtId="0" fontId="13" fillId="2" borderId="48" xfId="0" applyNumberFormat="1" applyFont="1" applyFill="1" applyBorder="1" applyAlignment="1">
      <alignment horizontal="center" vertical="center"/>
    </xf>
    <xf numFmtId="0" fontId="33" fillId="2" borderId="16" xfId="0" applyNumberFormat="1" applyFont="1" applyFill="1" applyBorder="1" applyAlignment="1">
      <alignment horizontal="center"/>
    </xf>
    <xf numFmtId="0" fontId="33" fillId="2" borderId="17" xfId="0" applyNumberFormat="1" applyFont="1" applyFill="1" applyBorder="1" applyAlignment="1">
      <alignment horizontal="center"/>
    </xf>
    <xf numFmtId="0" fontId="33" fillId="2" borderId="18" xfId="0" applyNumberFormat="1" applyFont="1" applyFill="1" applyBorder="1" applyAlignment="1">
      <alignment horizontal="center"/>
    </xf>
    <xf numFmtId="0" fontId="36" fillId="2" borderId="46" xfId="0" applyNumberFormat="1" applyFont="1" applyFill="1" applyBorder="1" applyAlignment="1">
      <alignment horizontal="center" vertical="center"/>
    </xf>
    <xf numFmtId="0" fontId="36" fillId="2" borderId="47" xfId="0" applyNumberFormat="1" applyFont="1" applyFill="1" applyBorder="1" applyAlignment="1">
      <alignment horizontal="center" vertical="center"/>
    </xf>
    <xf numFmtId="14" fontId="36" fillId="2" borderId="47" xfId="0" applyNumberFormat="1" applyFont="1" applyFill="1" applyBorder="1" applyAlignment="1">
      <alignment horizontal="left" vertical="center"/>
    </xf>
    <xf numFmtId="0" fontId="36" fillId="2" borderId="47" xfId="0" applyNumberFormat="1" applyFont="1" applyFill="1" applyBorder="1" applyAlignment="1">
      <alignment horizontal="left" vertical="center"/>
    </xf>
    <xf numFmtId="0" fontId="36" fillId="2" borderId="48" xfId="0" applyNumberFormat="1" applyFont="1" applyFill="1" applyBorder="1" applyAlignment="1">
      <alignment horizontal="left" vertical="center"/>
    </xf>
    <xf numFmtId="0" fontId="33" fillId="2" borderId="46" xfId="0" applyNumberFormat="1" applyFont="1" applyFill="1" applyBorder="1" applyAlignment="1">
      <alignment horizontal="center"/>
    </xf>
    <xf numFmtId="0" fontId="33" fillId="2" borderId="47" xfId="0" applyNumberFormat="1" applyFont="1" applyFill="1" applyBorder="1" applyAlignment="1">
      <alignment horizontal="center"/>
    </xf>
    <xf numFmtId="0" fontId="33" fillId="2" borderId="48" xfId="0" applyNumberFormat="1" applyFont="1" applyFill="1" applyBorder="1" applyAlignment="1">
      <alignment horizontal="center"/>
    </xf>
    <xf numFmtId="0" fontId="35" fillId="2" borderId="46" xfId="0" applyNumberFormat="1" applyFont="1" applyFill="1" applyBorder="1" applyAlignment="1">
      <alignment horizontal="center"/>
    </xf>
    <xf numFmtId="0" fontId="35" fillId="2" borderId="47" xfId="0" applyNumberFormat="1" applyFont="1" applyFill="1" applyBorder="1" applyAlignment="1">
      <alignment horizontal="center"/>
    </xf>
    <xf numFmtId="0" fontId="35" fillId="2" borderId="48" xfId="0" applyNumberFormat="1" applyFont="1" applyFill="1" applyBorder="1" applyAlignment="1">
      <alignment horizontal="center"/>
    </xf>
    <xf numFmtId="0" fontId="24" fillId="0" borderId="22" xfId="0" applyFont="1" applyBorder="1" applyAlignment="1">
      <alignment horizontal="center" vertical="center"/>
    </xf>
    <xf numFmtId="0" fontId="24" fillId="0" borderId="26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24" fillId="0" borderId="41" xfId="0" applyFont="1" applyBorder="1" applyAlignment="1">
      <alignment horizontal="center" vertical="center"/>
    </xf>
    <xf numFmtId="9" fontId="30" fillId="0" borderId="57" xfId="1" applyFont="1" applyBorder="1" applyAlignment="1">
      <alignment horizontal="center" vertical="center"/>
    </xf>
    <xf numFmtId="9" fontId="30" fillId="0" borderId="58" xfId="1" applyFont="1" applyBorder="1" applyAlignment="1">
      <alignment horizontal="center" vertical="center"/>
    </xf>
    <xf numFmtId="9" fontId="30" fillId="0" borderId="59" xfId="1" applyFont="1" applyBorder="1" applyAlignment="1">
      <alignment horizontal="center" vertical="center"/>
    </xf>
    <xf numFmtId="9" fontId="30" fillId="0" borderId="22" xfId="1" applyFont="1" applyBorder="1" applyAlignment="1">
      <alignment horizontal="center" vertical="center"/>
    </xf>
    <xf numFmtId="9" fontId="30" fillId="0" borderId="26" xfId="1" applyFont="1" applyBorder="1" applyAlignment="1">
      <alignment horizontal="center" vertical="center"/>
    </xf>
    <xf numFmtId="9" fontId="30" fillId="0" borderId="10" xfId="1" applyFont="1" applyBorder="1" applyAlignment="1">
      <alignment horizontal="center" vertical="center"/>
    </xf>
    <xf numFmtId="10" fontId="30" fillId="0" borderId="6" xfId="1" applyNumberFormat="1" applyFont="1" applyBorder="1" applyAlignment="1">
      <alignment horizontal="center" vertical="center"/>
    </xf>
    <xf numFmtId="10" fontId="30" fillId="0" borderId="7" xfId="1" applyNumberFormat="1" applyFont="1" applyBorder="1" applyAlignment="1">
      <alignment horizontal="center" vertical="center"/>
    </xf>
    <xf numFmtId="10" fontId="30" fillId="0" borderId="8" xfId="1" applyNumberFormat="1" applyFont="1" applyBorder="1" applyAlignment="1">
      <alignment horizontal="center" vertical="center"/>
    </xf>
    <xf numFmtId="10" fontId="30" fillId="0" borderId="22" xfId="1" applyNumberFormat="1" applyFont="1" applyBorder="1" applyAlignment="1">
      <alignment horizontal="center" vertical="center"/>
    </xf>
    <xf numFmtId="10" fontId="30" fillId="0" borderId="26" xfId="1" applyNumberFormat="1" applyFont="1" applyBorder="1" applyAlignment="1">
      <alignment horizontal="center" vertical="center"/>
    </xf>
    <xf numFmtId="10" fontId="30" fillId="0" borderId="10" xfId="1" applyNumberFormat="1" applyFont="1" applyBorder="1" applyAlignment="1">
      <alignment horizontal="center" vertical="center"/>
    </xf>
    <xf numFmtId="9" fontId="30" fillId="0" borderId="6" xfId="1" applyFont="1" applyBorder="1" applyAlignment="1">
      <alignment horizontal="center" vertical="center"/>
    </xf>
    <xf numFmtId="9" fontId="30" fillId="0" borderId="7" xfId="1" applyFont="1" applyBorder="1" applyAlignment="1">
      <alignment horizontal="center" vertical="center"/>
    </xf>
    <xf numFmtId="9" fontId="30" fillId="0" borderId="8" xfId="1" applyFont="1" applyBorder="1" applyAlignment="1">
      <alignment horizontal="center" vertical="center"/>
    </xf>
    <xf numFmtId="0" fontId="26" fillId="0" borderId="46" xfId="0" applyFont="1" applyBorder="1" applyAlignment="1">
      <alignment horizontal="center" vertical="center"/>
    </xf>
    <xf numFmtId="0" fontId="26" fillId="0" borderId="47" xfId="0" applyFont="1" applyBorder="1" applyAlignment="1">
      <alignment horizontal="center" vertical="center"/>
    </xf>
    <xf numFmtId="0" fontId="26" fillId="0" borderId="48" xfId="0" applyFont="1" applyBorder="1" applyAlignment="1">
      <alignment horizontal="center" vertical="center"/>
    </xf>
    <xf numFmtId="0" fontId="27" fillId="21" borderId="50" xfId="0" applyFont="1" applyFill="1" applyBorder="1" applyAlignment="1">
      <alignment horizontal="center" vertical="center"/>
    </xf>
    <xf numFmtId="0" fontId="27" fillId="21" borderId="53" xfId="0" applyFont="1" applyFill="1" applyBorder="1" applyAlignment="1">
      <alignment horizontal="center" vertical="center"/>
    </xf>
    <xf numFmtId="0" fontId="26" fillId="11" borderId="13" xfId="0" applyFont="1" applyFill="1" applyBorder="1" applyAlignment="1">
      <alignment horizontal="center" vertical="center" wrapText="1"/>
    </xf>
    <xf numFmtId="0" fontId="26" fillId="11" borderId="34" xfId="0" applyFont="1" applyFill="1" applyBorder="1" applyAlignment="1">
      <alignment horizontal="center" vertical="center" wrapText="1"/>
    </xf>
    <xf numFmtId="0" fontId="32" fillId="21" borderId="0" xfId="0" applyFont="1" applyFill="1" applyBorder="1" applyAlignment="1">
      <alignment horizontal="center" vertical="center"/>
    </xf>
    <xf numFmtId="0" fontId="22" fillId="21" borderId="0" xfId="0" applyFont="1" applyFill="1" applyBorder="1" applyAlignment="1">
      <alignment horizontal="center" vertical="center"/>
    </xf>
    <xf numFmtId="0" fontId="22" fillId="21" borderId="26" xfId="0" applyFont="1" applyFill="1" applyBorder="1" applyAlignment="1">
      <alignment horizontal="center" vertical="center"/>
    </xf>
    <xf numFmtId="0" fontId="17" fillId="2" borderId="46" xfId="0" applyFont="1" applyFill="1" applyBorder="1" applyAlignment="1">
      <alignment horizontal="center" vertical="center"/>
    </xf>
    <xf numFmtId="0" fontId="17" fillId="2" borderId="47" xfId="0" applyFont="1" applyFill="1" applyBorder="1" applyAlignment="1">
      <alignment horizontal="center" vertical="center"/>
    </xf>
    <xf numFmtId="0" fontId="17" fillId="2" borderId="48" xfId="0" applyFont="1" applyFill="1" applyBorder="1" applyAlignment="1">
      <alignment horizontal="center" vertical="center"/>
    </xf>
    <xf numFmtId="0" fontId="31" fillId="0" borderId="60" xfId="0" applyFont="1" applyBorder="1" applyAlignment="1">
      <alignment horizontal="center" vertical="center"/>
    </xf>
    <xf numFmtId="0" fontId="31" fillId="0" borderId="61" xfId="0" applyFont="1" applyBorder="1" applyAlignment="1">
      <alignment horizontal="center" vertical="center"/>
    </xf>
    <xf numFmtId="0" fontId="31" fillId="0" borderId="62" xfId="0" applyFont="1" applyBorder="1" applyAlignment="1">
      <alignment horizontal="center" vertical="center"/>
    </xf>
    <xf numFmtId="1" fontId="31" fillId="0" borderId="60" xfId="0" applyNumberFormat="1" applyFont="1" applyBorder="1" applyAlignment="1">
      <alignment horizontal="center" vertical="center"/>
    </xf>
    <xf numFmtId="1" fontId="31" fillId="0" borderId="61" xfId="0" applyNumberFormat="1" applyFont="1" applyBorder="1" applyAlignment="1">
      <alignment horizontal="center" vertical="center"/>
    </xf>
    <xf numFmtId="1" fontId="31" fillId="0" borderId="62" xfId="0" applyNumberFormat="1" applyFont="1" applyBorder="1" applyAlignment="1">
      <alignment horizontal="center" vertical="center"/>
    </xf>
    <xf numFmtId="1" fontId="31" fillId="0" borderId="46" xfId="0" applyNumberFormat="1" applyFont="1" applyBorder="1" applyAlignment="1">
      <alignment horizontal="center" vertical="center"/>
    </xf>
    <xf numFmtId="1" fontId="31" fillId="0" borderId="47" xfId="0" applyNumberFormat="1" applyFont="1" applyBorder="1" applyAlignment="1">
      <alignment horizontal="center" vertical="center"/>
    </xf>
    <xf numFmtId="1" fontId="31" fillId="0" borderId="48" xfId="0" applyNumberFormat="1" applyFont="1" applyBorder="1" applyAlignment="1">
      <alignment horizontal="center" vertical="center"/>
    </xf>
    <xf numFmtId="0" fontId="0" fillId="5" borderId="46" xfId="0" applyFill="1" applyBorder="1" applyAlignment="1">
      <alignment horizontal="center"/>
    </xf>
    <xf numFmtId="0" fontId="0" fillId="5" borderId="47" xfId="0" applyFill="1" applyBorder="1" applyAlignment="1">
      <alignment horizontal="center"/>
    </xf>
    <xf numFmtId="0" fontId="0" fillId="5" borderId="48" xfId="0" applyFill="1" applyBorder="1" applyAlignment="1">
      <alignment horizontal="center"/>
    </xf>
    <xf numFmtId="0" fontId="26" fillId="0" borderId="6" xfId="0" applyFont="1" applyBorder="1" applyAlignment="1">
      <alignment horizontal="center" vertical="center"/>
    </xf>
    <xf numFmtId="0" fontId="26" fillId="0" borderId="7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00FF00"/>
      <color rgb="FF66FFFF"/>
      <color rgb="FF00FFFF"/>
      <color rgb="FF99CCFF"/>
      <color rgb="FF3333FF"/>
      <color rgb="FF0000FF"/>
      <color rgb="FF99FF99"/>
      <color rgb="FFFF00FF"/>
      <color rgb="FFFF0066"/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34336</xdr:rowOff>
    </xdr:from>
    <xdr:to>
      <xdr:col>2</xdr:col>
      <xdr:colOff>486655</xdr:colOff>
      <xdr:row>3</xdr:row>
      <xdr:rowOff>95250</xdr:rowOff>
    </xdr:to>
    <xdr:sp macro="[0]!Arena_Load_By_Maha" textlink="">
      <xdr:nvSpPr>
        <xdr:cNvPr id="5" name="Rounded Rectangle 4"/>
        <xdr:cNvSpPr/>
      </xdr:nvSpPr>
      <xdr:spPr>
        <a:xfrm>
          <a:off x="326411" y="238443"/>
          <a:ext cx="1725065" cy="455521"/>
        </a:xfrm>
        <a:prstGeom prst="roundRect">
          <a:avLst/>
        </a:prstGeom>
        <a:gradFill flip="none" rotWithShape="1">
          <a:gsLst>
            <a:gs pos="0">
              <a:srgbClr val="FFF200"/>
            </a:gs>
            <a:gs pos="45000">
              <a:srgbClr val="FF7A00"/>
            </a:gs>
            <a:gs pos="70000">
              <a:srgbClr val="FF0300"/>
            </a:gs>
            <a:gs pos="100000">
              <a:srgbClr val="4D0808"/>
            </a:gs>
          </a:gsLst>
          <a:lin ang="5400000" scaled="0"/>
          <a:tileRect l="-100000" b="-100000"/>
        </a:gradFill>
        <a:effectLst>
          <a:outerShdw blurRad="50800" dist="50800" sx="1000" sy="1000" algn="ctr" rotWithShape="0">
            <a:srgbClr val="000000"/>
          </a:outerShdw>
          <a:reflection blurRad="6350" endPos="0" dir="5400000" sy="-100000" algn="bl" rotWithShape="0"/>
        </a:effectLst>
        <a:scene3d>
          <a:camera prst="orthographicFront"/>
          <a:lightRig rig="flat" dir="t"/>
        </a:scene3d>
        <a:sp3d extrusionH="76200" prstMaterial="matte">
          <a:bevelT/>
          <a:bevelB prst="relaxedInset"/>
          <a:extrusionClr>
            <a:srgbClr val="00B050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400" b="1" i="0" u="none">
              <a:latin typeface="Algerian" pitchFamily="82" charset="0"/>
            </a:rPr>
            <a:t>ARENA</a:t>
          </a:r>
          <a:endParaRPr lang="en-IN" sz="2000" b="1" i="0" u="none">
            <a:latin typeface="Algerian" pitchFamily="82" charset="0"/>
          </a:endParaRPr>
        </a:p>
      </xdr:txBody>
    </xdr:sp>
    <xdr:clientData/>
  </xdr:twoCellAnchor>
  <xdr:twoCellAnchor>
    <xdr:from>
      <xdr:col>1</xdr:col>
      <xdr:colOff>0</xdr:colOff>
      <xdr:row>5</xdr:row>
      <xdr:rowOff>77640</xdr:rowOff>
    </xdr:from>
    <xdr:to>
      <xdr:col>2</xdr:col>
      <xdr:colOff>458322</xdr:colOff>
      <xdr:row>7</xdr:row>
      <xdr:rowOff>72038</xdr:rowOff>
    </xdr:to>
    <xdr:sp macro="[0]!Nexa_Load_by_Maha" textlink="">
      <xdr:nvSpPr>
        <xdr:cNvPr id="7" name="Rounded Rectangle 6"/>
        <xdr:cNvSpPr/>
      </xdr:nvSpPr>
      <xdr:spPr>
        <a:xfrm>
          <a:off x="353547" y="1152604"/>
          <a:ext cx="1669596" cy="484255"/>
        </a:xfrm>
        <a:prstGeom prst="roundRect">
          <a:avLst/>
        </a:prstGeom>
        <a:gradFill flip="none" rotWithShape="1">
          <a:gsLst>
            <a:gs pos="0">
              <a:srgbClr val="FF3399"/>
            </a:gs>
            <a:gs pos="25000">
              <a:srgbClr val="FF6633"/>
            </a:gs>
            <a:gs pos="50000">
              <a:srgbClr val="FFFF00"/>
            </a:gs>
            <a:gs pos="75000">
              <a:srgbClr val="01A78F"/>
            </a:gs>
            <a:gs pos="100000">
              <a:srgbClr val="3366FF"/>
            </a:gs>
          </a:gsLst>
          <a:lin ang="5400000" scaled="0"/>
          <a:tileRect r="-100000" b="-100000"/>
        </a:gradFill>
        <a:ln cmpd="dbl"/>
        <a:effectLst>
          <a:outerShdw blurRad="38100" dist="50800" dir="4320000" sx="77000" sy="77000" algn="ctr" rotWithShape="0">
            <a:srgbClr val="000000">
              <a:alpha val="80000"/>
            </a:srgbClr>
          </a:outerShdw>
          <a:reflection endPos="0" dist="63500" dir="5400000" sy="-100000" algn="bl" rotWithShape="0"/>
        </a:effectLst>
        <a:scene3d>
          <a:camera prst="orthographicFront"/>
          <a:lightRig rig="threePt" dir="t"/>
        </a:scene3d>
        <a:sp3d>
          <a:bevelT/>
          <a:bevelB prst="relaxedIns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400" b="1">
              <a:latin typeface="Algerian" pitchFamily="82" charset="0"/>
            </a:rPr>
            <a:t>NEXA</a:t>
          </a:r>
          <a:endParaRPr lang="en-IN" sz="1100" b="1">
            <a:latin typeface="Algerian" pitchFamily="82" charset="0"/>
          </a:endParaRPr>
        </a:p>
      </xdr:txBody>
    </xdr:sp>
    <xdr:clientData/>
  </xdr:twoCellAnchor>
  <xdr:twoCellAnchor>
    <xdr:from>
      <xdr:col>29</xdr:col>
      <xdr:colOff>240927</xdr:colOff>
      <xdr:row>2</xdr:row>
      <xdr:rowOff>94451</xdr:rowOff>
    </xdr:from>
    <xdr:to>
      <xdr:col>30</xdr:col>
      <xdr:colOff>255335</xdr:colOff>
      <xdr:row>4</xdr:row>
      <xdr:rowOff>103255</xdr:rowOff>
    </xdr:to>
    <xdr:sp macro="[0]!Ocas_rep_by_Maha" textlink="">
      <xdr:nvSpPr>
        <xdr:cNvPr id="11" name="Rounded Rectangle 10"/>
        <xdr:cNvSpPr/>
      </xdr:nvSpPr>
      <xdr:spPr>
        <a:xfrm>
          <a:off x="16444633" y="486657"/>
          <a:ext cx="630731" cy="479451"/>
        </a:xfrm>
        <a:prstGeom prst="roundRect">
          <a:avLst/>
        </a:prstGeom>
        <a:gradFill flip="none" rotWithShape="1">
          <a:gsLst>
            <a:gs pos="0">
              <a:srgbClr val="FF3399"/>
            </a:gs>
            <a:gs pos="25000">
              <a:srgbClr val="FF6633"/>
            </a:gs>
            <a:gs pos="50000">
              <a:srgbClr val="FFFF00"/>
            </a:gs>
            <a:gs pos="75000">
              <a:srgbClr val="01A78F"/>
            </a:gs>
            <a:gs pos="100000">
              <a:srgbClr val="3366FF"/>
            </a:gs>
          </a:gsLst>
          <a:lin ang="5400000" scaled="0"/>
          <a:tileRect r="-100000" b="-100000"/>
        </a:gradFill>
        <a:ln cmpd="dbl"/>
        <a:effectLst>
          <a:outerShdw blurRad="38100" dist="50800" dir="4320000" sx="77000" sy="77000" algn="ctr" rotWithShape="0">
            <a:srgbClr val="000000">
              <a:alpha val="80000"/>
            </a:srgbClr>
          </a:outerShdw>
          <a:reflection endPos="0" dist="63500" dir="5400000" sy="-100000" algn="bl" rotWithShape="0"/>
        </a:effectLst>
        <a:scene3d>
          <a:camera prst="orthographicFront"/>
          <a:lightRig rig="threePt" dir="t"/>
        </a:scene3d>
        <a:sp3d>
          <a:bevelT/>
          <a:bevelB prst="relaxedIns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400" b="1">
              <a:latin typeface="Algerian" pitchFamily="82" charset="0"/>
            </a:rPr>
            <a:t>OCA'S</a:t>
          </a:r>
          <a:endParaRPr lang="en-IN" sz="1400" b="1">
            <a:latin typeface="Algerian" pitchFamily="82" charset="0"/>
          </a:endParaRPr>
        </a:p>
      </xdr:txBody>
    </xdr:sp>
    <xdr:clientData/>
  </xdr:twoCellAnchor>
  <xdr:twoCellAnchor>
    <xdr:from>
      <xdr:col>29</xdr:col>
      <xdr:colOff>244127</xdr:colOff>
      <xdr:row>5</xdr:row>
      <xdr:rowOff>800</xdr:rowOff>
    </xdr:from>
    <xdr:to>
      <xdr:col>30</xdr:col>
      <xdr:colOff>352905</xdr:colOff>
      <xdr:row>16</xdr:row>
      <xdr:rowOff>253734</xdr:rowOff>
    </xdr:to>
    <xdr:sp macro="[0]!Labour_Earning_By_MAHA" textlink="">
      <xdr:nvSpPr>
        <xdr:cNvPr id="8" name="Rounded Rectangle 7"/>
        <xdr:cNvSpPr/>
      </xdr:nvSpPr>
      <xdr:spPr>
        <a:xfrm>
          <a:off x="16447833" y="1076565"/>
          <a:ext cx="725101" cy="936493"/>
        </a:xfrm>
        <a:prstGeom prst="roundRect">
          <a:avLst/>
        </a:prstGeom>
        <a:gradFill flip="none" rotWithShape="1">
          <a:gsLst>
            <a:gs pos="43000">
              <a:srgbClr val="FF3399"/>
            </a:gs>
            <a:gs pos="25000">
              <a:srgbClr val="FF6633"/>
            </a:gs>
            <a:gs pos="52000">
              <a:srgbClr val="FFFF00"/>
            </a:gs>
            <a:gs pos="75000">
              <a:srgbClr val="01A78F"/>
            </a:gs>
            <a:gs pos="100000">
              <a:srgbClr val="3366FF"/>
            </a:gs>
          </a:gsLst>
          <a:lin ang="5400000" scaled="0"/>
          <a:tileRect r="-100000" b="-100000"/>
        </a:gradFill>
        <a:ln cmpd="dbl"/>
        <a:effectLst>
          <a:outerShdw blurRad="38100" dist="50800" dir="4320000" sx="77000" sy="77000" algn="ctr" rotWithShape="0">
            <a:srgbClr val="000000">
              <a:alpha val="80000"/>
            </a:srgbClr>
          </a:outerShdw>
          <a:reflection endPos="0" dist="63500" dir="5400000" sy="-100000" algn="bl" rotWithShape="0"/>
        </a:effectLst>
        <a:scene3d>
          <a:camera prst="orthographicFront"/>
          <a:lightRig rig="threePt" dir="t"/>
        </a:scene3d>
        <a:sp3d>
          <a:bevelT/>
          <a:bevelB prst="relaxedIns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000" b="1" i="1" u="none">
              <a:solidFill>
                <a:schemeClr val="bg1"/>
              </a:solidFill>
              <a:latin typeface="Algerian" pitchFamily="82" charset="0"/>
            </a:rPr>
            <a:t>LBOUR</a:t>
          </a:r>
          <a:endParaRPr lang="en-IN" sz="1050" b="1" i="1" u="none">
            <a:solidFill>
              <a:schemeClr val="bg1"/>
            </a:solidFill>
            <a:latin typeface="Algerian" pitchFamily="82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CY28"/>
  <sheetViews>
    <sheetView tabSelected="1" zoomScale="85" zoomScaleNormal="85" workbookViewId="0">
      <selection activeCell="D35" sqref="D35"/>
    </sheetView>
  </sheetViews>
  <sheetFormatPr defaultColWidth="9.28515625" defaultRowHeight="15"/>
  <cols>
    <col min="1" max="1" width="2.42578125" style="1" customWidth="1"/>
    <col min="2" max="2" width="4" style="1" bestFit="1" customWidth="1"/>
    <col min="3" max="3" width="9.28515625" style="1"/>
    <col min="4" max="4" width="36.140625" style="1" customWidth="1"/>
    <col min="5" max="5" width="10.42578125" style="1" bestFit="1" customWidth="1"/>
    <col min="6" max="7" width="7.5703125" style="1" customWidth="1"/>
    <col min="8" max="8" width="10.42578125" style="1" bestFit="1" customWidth="1"/>
    <col min="9" max="13" width="7.5703125" style="1" customWidth="1"/>
    <col min="14" max="14" width="12.7109375" style="1" bestFit="1" customWidth="1"/>
    <col min="15" max="20" width="8.140625" style="1" customWidth="1"/>
    <col min="21" max="22" width="11.5703125" style="1" customWidth="1"/>
    <col min="23" max="23" width="29.85546875" style="1" hidden="1" customWidth="1"/>
    <col min="24" max="24" width="30.28515625" style="1" hidden="1" customWidth="1"/>
    <col min="25" max="25" width="31" style="1" hidden="1" customWidth="1"/>
    <col min="26" max="26" width="8.28515625" style="1" bestFit="1" customWidth="1"/>
    <col min="27" max="93" width="9.28515625" style="1"/>
    <col min="94" max="95" width="2.28515625" style="1" bestFit="1" customWidth="1"/>
    <col min="96" max="101" width="9.28515625" style="1"/>
    <col min="102" max="103" width="3.140625" style="1" bestFit="1" customWidth="1"/>
    <col min="104" max="16384" width="9.28515625" style="1"/>
  </cols>
  <sheetData>
    <row r="1" spans="2:103" ht="15.75" thickBot="1"/>
    <row r="2" spans="2:103">
      <c r="D2" s="255" t="s">
        <v>106</v>
      </c>
      <c r="E2" s="256"/>
      <c r="F2" s="256"/>
      <c r="G2" s="256"/>
      <c r="H2" s="256"/>
      <c r="I2" s="256"/>
      <c r="J2" s="256"/>
      <c r="K2" s="256"/>
      <c r="L2" s="256"/>
      <c r="M2" s="256"/>
      <c r="N2" s="256"/>
      <c r="O2" s="253" t="s">
        <v>107</v>
      </c>
      <c r="P2" s="253"/>
      <c r="Q2" s="253"/>
      <c r="R2" s="253"/>
      <c r="S2" s="253"/>
      <c r="T2" s="253"/>
      <c r="U2" s="253"/>
      <c r="V2" s="253"/>
      <c r="W2" s="249" t="s">
        <v>15</v>
      </c>
      <c r="X2" s="249"/>
      <c r="Y2" s="250"/>
      <c r="Z2" s="21"/>
    </row>
    <row r="3" spans="2:103" ht="15.75" thickBot="1">
      <c r="B3" s="2"/>
      <c r="D3" s="257"/>
      <c r="E3" s="258"/>
      <c r="F3" s="258"/>
      <c r="G3" s="258"/>
      <c r="H3" s="258"/>
      <c r="I3" s="258"/>
      <c r="J3" s="258"/>
      <c r="K3" s="258"/>
      <c r="L3" s="258"/>
      <c r="M3" s="258"/>
      <c r="N3" s="258"/>
      <c r="O3" s="254"/>
      <c r="P3" s="254"/>
      <c r="Q3" s="254"/>
      <c r="R3" s="254"/>
      <c r="S3" s="254"/>
      <c r="T3" s="254"/>
      <c r="U3" s="254"/>
      <c r="V3" s="254"/>
      <c r="W3" s="251"/>
      <c r="X3" s="251"/>
      <c r="Y3" s="252"/>
      <c r="Z3" s="21"/>
    </row>
    <row r="4" spans="2:103" ht="21" thickBot="1">
      <c r="D4" s="259" t="s">
        <v>7</v>
      </c>
      <c r="E4" s="261" t="s">
        <v>5</v>
      </c>
      <c r="F4" s="263" t="s">
        <v>0</v>
      </c>
      <c r="G4" s="264"/>
      <c r="H4" s="264"/>
      <c r="I4" s="265"/>
      <c r="J4" s="266" t="s">
        <v>1</v>
      </c>
      <c r="K4" s="267"/>
      <c r="L4" s="267"/>
      <c r="M4" s="268"/>
      <c r="N4" s="269" t="s">
        <v>6</v>
      </c>
      <c r="O4" s="263" t="s">
        <v>0</v>
      </c>
      <c r="P4" s="271"/>
      <c r="Q4" s="272" t="s">
        <v>1</v>
      </c>
      <c r="R4" s="273"/>
      <c r="S4" s="274" t="s">
        <v>12</v>
      </c>
      <c r="T4" s="275"/>
      <c r="U4" s="276" t="s">
        <v>13</v>
      </c>
      <c r="V4" s="277"/>
      <c r="W4" s="278" t="s">
        <v>16</v>
      </c>
      <c r="X4" s="280" t="s">
        <v>17</v>
      </c>
      <c r="Y4" s="282" t="s">
        <v>18</v>
      </c>
      <c r="Z4" s="20"/>
      <c r="AA4" s="123" t="s">
        <v>23</v>
      </c>
      <c r="AB4" s="1" t="s">
        <v>23</v>
      </c>
    </row>
    <row r="5" spans="2:103" ht="16.5" thickBot="1">
      <c r="D5" s="260"/>
      <c r="E5" s="262"/>
      <c r="F5" s="44" t="s">
        <v>3</v>
      </c>
      <c r="G5" s="45" t="s">
        <v>2</v>
      </c>
      <c r="H5" s="45" t="s">
        <v>4</v>
      </c>
      <c r="I5" s="125" t="s">
        <v>22</v>
      </c>
      <c r="J5" s="47" t="s">
        <v>3</v>
      </c>
      <c r="K5" s="45" t="s">
        <v>2</v>
      </c>
      <c r="L5" s="45" t="s">
        <v>4</v>
      </c>
      <c r="M5" s="126" t="s">
        <v>22</v>
      </c>
      <c r="N5" s="270"/>
      <c r="O5" s="47" t="s">
        <v>8</v>
      </c>
      <c r="P5" s="48" t="s">
        <v>9</v>
      </c>
      <c r="Q5" s="44" t="s">
        <v>8</v>
      </c>
      <c r="R5" s="46" t="s">
        <v>9</v>
      </c>
      <c r="S5" s="47" t="s">
        <v>8</v>
      </c>
      <c r="T5" s="48" t="s">
        <v>9</v>
      </c>
      <c r="U5" s="47" t="s">
        <v>10</v>
      </c>
      <c r="V5" s="48" t="s">
        <v>11</v>
      </c>
      <c r="W5" s="279"/>
      <c r="X5" s="281"/>
      <c r="Y5" s="283"/>
      <c r="AA5" s="123"/>
    </row>
    <row r="6" spans="2:103" ht="18">
      <c r="D6" s="5" t="s">
        <v>21</v>
      </c>
      <c r="E6" s="29">
        <v>0</v>
      </c>
      <c r="F6" s="27">
        <v>0</v>
      </c>
      <c r="G6" s="24">
        <v>0</v>
      </c>
      <c r="H6" s="24">
        <v>0</v>
      </c>
      <c r="I6" s="30">
        <v>0</v>
      </c>
      <c r="J6" s="32">
        <v>0</v>
      </c>
      <c r="K6" s="24">
        <v>0</v>
      </c>
      <c r="L6" s="24">
        <v>0</v>
      </c>
      <c r="M6" s="33">
        <v>0</v>
      </c>
      <c r="N6" s="29">
        <v>0</v>
      </c>
      <c r="O6" s="13">
        <v>0</v>
      </c>
      <c r="P6" s="15">
        <v>0</v>
      </c>
      <c r="Q6" s="34">
        <v>0</v>
      </c>
      <c r="R6" s="36">
        <v>0</v>
      </c>
      <c r="S6" s="17">
        <v>0</v>
      </c>
      <c r="T6" s="15">
        <v>0</v>
      </c>
      <c r="U6" s="40">
        <v>0</v>
      </c>
      <c r="V6" s="41">
        <v>0</v>
      </c>
      <c r="W6" s="38">
        <v>112117.65000000002</v>
      </c>
      <c r="X6" s="25">
        <v>97444.809999999983</v>
      </c>
      <c r="Y6" s="26">
        <v>209562.46</v>
      </c>
      <c r="AA6" s="123">
        <v>0</v>
      </c>
      <c r="AB6" s="1">
        <v>0</v>
      </c>
      <c r="CX6" s="1">
        <v>0</v>
      </c>
      <c r="CY6" s="1">
        <v>0</v>
      </c>
    </row>
    <row r="7" spans="2:103" ht="18">
      <c r="D7" s="6" t="s">
        <v>20</v>
      </c>
      <c r="E7" s="3">
        <v>0</v>
      </c>
      <c r="F7" s="28">
        <v>0</v>
      </c>
      <c r="G7" s="8">
        <v>0</v>
      </c>
      <c r="H7" s="8">
        <v>0</v>
      </c>
      <c r="I7" s="31">
        <v>0</v>
      </c>
      <c r="J7" s="7">
        <v>0</v>
      </c>
      <c r="K7" s="8">
        <v>0</v>
      </c>
      <c r="L7" s="8">
        <v>0</v>
      </c>
      <c r="M7" s="9">
        <v>0</v>
      </c>
      <c r="N7" s="3">
        <v>0</v>
      </c>
      <c r="O7" s="14">
        <v>0</v>
      </c>
      <c r="P7" s="16">
        <v>0</v>
      </c>
      <c r="Q7" s="35">
        <v>0</v>
      </c>
      <c r="R7" s="37">
        <v>0</v>
      </c>
      <c r="S7" s="18">
        <v>0</v>
      </c>
      <c r="T7" s="16">
        <v>0</v>
      </c>
      <c r="U7" s="42">
        <v>0</v>
      </c>
      <c r="V7" s="43">
        <v>0</v>
      </c>
      <c r="W7" s="39">
        <v>75328.790000000008</v>
      </c>
      <c r="X7" s="22">
        <v>58774.080000000002</v>
      </c>
      <c r="Y7" s="23">
        <v>134102.87</v>
      </c>
      <c r="AA7" s="123">
        <v>0</v>
      </c>
      <c r="AB7" s="1">
        <v>0</v>
      </c>
      <c r="CX7" s="1">
        <v>0</v>
      </c>
      <c r="CY7" s="1">
        <v>0</v>
      </c>
    </row>
    <row r="8" spans="2:103" ht="18.75" customHeight="1" thickBot="1">
      <c r="D8" s="6" t="s">
        <v>19</v>
      </c>
      <c r="E8" s="3">
        <v>0</v>
      </c>
      <c r="F8" s="28">
        <v>0</v>
      </c>
      <c r="G8" s="8">
        <v>0</v>
      </c>
      <c r="H8" s="8">
        <v>0</v>
      </c>
      <c r="I8" s="31">
        <v>0</v>
      </c>
      <c r="J8" s="7">
        <v>0</v>
      </c>
      <c r="K8" s="8">
        <v>0</v>
      </c>
      <c r="L8" s="8">
        <v>0</v>
      </c>
      <c r="M8" s="9">
        <v>0</v>
      </c>
      <c r="N8" s="3">
        <v>0</v>
      </c>
      <c r="O8" s="14">
        <v>0</v>
      </c>
      <c r="P8" s="16">
        <v>0</v>
      </c>
      <c r="Q8" s="35">
        <v>0</v>
      </c>
      <c r="R8" s="37">
        <v>0</v>
      </c>
      <c r="S8" s="18">
        <v>0</v>
      </c>
      <c r="T8" s="16">
        <v>0</v>
      </c>
      <c r="U8" s="42">
        <v>0</v>
      </c>
      <c r="V8" s="43">
        <v>0</v>
      </c>
      <c r="W8" s="39">
        <v>41254.980000000003</v>
      </c>
      <c r="X8" s="22">
        <v>71537.990000000005</v>
      </c>
      <c r="Y8" s="23">
        <v>112792.97</v>
      </c>
      <c r="AA8" s="123">
        <v>0</v>
      </c>
      <c r="AB8" s="1">
        <v>0</v>
      </c>
      <c r="CX8" s="1">
        <v>0</v>
      </c>
      <c r="CY8" s="1">
        <v>0</v>
      </c>
    </row>
    <row r="9" spans="2:103" ht="18.75" hidden="1" customHeight="1" thickBot="1">
      <c r="D9" s="6"/>
      <c r="E9" s="3">
        <v>0</v>
      </c>
      <c r="F9" s="28">
        <v>0</v>
      </c>
      <c r="G9" s="8">
        <v>0</v>
      </c>
      <c r="H9" s="8">
        <v>0</v>
      </c>
      <c r="I9" s="31">
        <v>0</v>
      </c>
      <c r="J9" s="7">
        <v>0</v>
      </c>
      <c r="K9" s="8">
        <v>0</v>
      </c>
      <c r="L9" s="8">
        <v>0</v>
      </c>
      <c r="M9" s="9">
        <v>0</v>
      </c>
      <c r="N9" s="3">
        <v>0</v>
      </c>
      <c r="O9" s="14">
        <v>0</v>
      </c>
      <c r="P9" s="16">
        <v>0</v>
      </c>
      <c r="Q9" s="35">
        <v>0</v>
      </c>
      <c r="R9" s="37">
        <v>0</v>
      </c>
      <c r="S9" s="18">
        <v>0</v>
      </c>
      <c r="T9" s="16">
        <v>0</v>
      </c>
      <c r="U9" s="42">
        <v>0</v>
      </c>
      <c r="V9" s="43">
        <v>0</v>
      </c>
      <c r="W9" s="39">
        <v>0</v>
      </c>
      <c r="X9" s="22">
        <v>0</v>
      </c>
      <c r="Y9" s="23">
        <v>0</v>
      </c>
      <c r="AA9" s="123">
        <v>0</v>
      </c>
      <c r="AB9" s="1">
        <v>0</v>
      </c>
      <c r="CX9" s="1">
        <v>0</v>
      </c>
      <c r="CY9" s="1">
        <v>0</v>
      </c>
    </row>
    <row r="10" spans="2:103" ht="18.75" hidden="1" customHeight="1" thickBot="1">
      <c r="D10" s="6"/>
      <c r="E10" s="3">
        <v>0</v>
      </c>
      <c r="F10" s="28">
        <v>0</v>
      </c>
      <c r="G10" s="8">
        <v>0</v>
      </c>
      <c r="H10" s="8">
        <v>0</v>
      </c>
      <c r="I10" s="31">
        <v>0</v>
      </c>
      <c r="J10" s="7">
        <v>0</v>
      </c>
      <c r="K10" s="8">
        <v>0</v>
      </c>
      <c r="L10" s="8">
        <v>0</v>
      </c>
      <c r="M10" s="9">
        <v>0</v>
      </c>
      <c r="N10" s="3">
        <v>0</v>
      </c>
      <c r="O10" s="14">
        <v>0</v>
      </c>
      <c r="P10" s="16">
        <v>0</v>
      </c>
      <c r="Q10" s="35">
        <v>0</v>
      </c>
      <c r="R10" s="37">
        <v>0</v>
      </c>
      <c r="S10" s="18">
        <v>0</v>
      </c>
      <c r="T10" s="16">
        <v>0</v>
      </c>
      <c r="U10" s="42">
        <v>0</v>
      </c>
      <c r="V10" s="43">
        <v>0</v>
      </c>
      <c r="W10" s="39">
        <v>0</v>
      </c>
      <c r="X10" s="22">
        <v>0</v>
      </c>
      <c r="Y10" s="23">
        <v>0</v>
      </c>
      <c r="AA10" s="123">
        <v>0</v>
      </c>
      <c r="AB10" s="1">
        <v>0</v>
      </c>
      <c r="CX10" s="1">
        <v>0</v>
      </c>
      <c r="CY10" s="1">
        <v>0</v>
      </c>
    </row>
    <row r="11" spans="2:103" ht="18.75" hidden="1" customHeight="1" thickBot="1">
      <c r="D11" s="6"/>
      <c r="E11" s="3">
        <v>0</v>
      </c>
      <c r="F11" s="28">
        <v>0</v>
      </c>
      <c r="G11" s="8">
        <v>0</v>
      </c>
      <c r="H11" s="8">
        <v>0</v>
      </c>
      <c r="I11" s="31">
        <v>0</v>
      </c>
      <c r="J11" s="7">
        <v>0</v>
      </c>
      <c r="K11" s="8">
        <v>0</v>
      </c>
      <c r="L11" s="8">
        <v>0</v>
      </c>
      <c r="M11" s="9">
        <v>0</v>
      </c>
      <c r="N11" s="3">
        <v>0</v>
      </c>
      <c r="O11" s="14">
        <v>0</v>
      </c>
      <c r="P11" s="16">
        <v>0</v>
      </c>
      <c r="Q11" s="35">
        <v>0</v>
      </c>
      <c r="R11" s="37">
        <v>0</v>
      </c>
      <c r="S11" s="18">
        <v>0</v>
      </c>
      <c r="T11" s="16">
        <v>0</v>
      </c>
      <c r="U11" s="42">
        <v>0</v>
      </c>
      <c r="V11" s="43">
        <v>0</v>
      </c>
      <c r="W11" s="39">
        <v>0</v>
      </c>
      <c r="X11" s="22">
        <v>0</v>
      </c>
      <c r="Y11" s="23">
        <v>0</v>
      </c>
      <c r="AA11" s="123">
        <v>0</v>
      </c>
      <c r="AB11" s="1">
        <v>0</v>
      </c>
      <c r="CX11" s="1">
        <v>0</v>
      </c>
      <c r="CY11" s="1">
        <v>0</v>
      </c>
    </row>
    <row r="12" spans="2:103" ht="18.75" hidden="1" customHeight="1" thickBot="1">
      <c r="D12" s="6"/>
      <c r="E12" s="3">
        <v>0</v>
      </c>
      <c r="F12" s="28">
        <v>0</v>
      </c>
      <c r="G12" s="8">
        <v>0</v>
      </c>
      <c r="H12" s="8">
        <v>0</v>
      </c>
      <c r="I12" s="31">
        <v>0</v>
      </c>
      <c r="J12" s="7">
        <v>0</v>
      </c>
      <c r="K12" s="8">
        <v>0</v>
      </c>
      <c r="L12" s="8">
        <v>0</v>
      </c>
      <c r="M12" s="9">
        <v>0</v>
      </c>
      <c r="N12" s="3">
        <v>0</v>
      </c>
      <c r="O12" s="14">
        <v>0</v>
      </c>
      <c r="P12" s="16">
        <v>0</v>
      </c>
      <c r="Q12" s="35">
        <v>0</v>
      </c>
      <c r="R12" s="37">
        <v>0</v>
      </c>
      <c r="S12" s="18">
        <v>0</v>
      </c>
      <c r="T12" s="16">
        <v>0</v>
      </c>
      <c r="U12" s="42">
        <v>0</v>
      </c>
      <c r="V12" s="43">
        <v>0</v>
      </c>
      <c r="W12" s="39">
        <v>0</v>
      </c>
      <c r="X12" s="22">
        <v>0</v>
      </c>
      <c r="Y12" s="23">
        <v>0</v>
      </c>
      <c r="AA12" s="123">
        <v>0</v>
      </c>
      <c r="AB12" s="1">
        <v>0</v>
      </c>
      <c r="CX12" s="1">
        <v>0</v>
      </c>
      <c r="CY12" s="1">
        <v>0</v>
      </c>
    </row>
    <row r="13" spans="2:103" ht="18.75" hidden="1" customHeight="1" thickBot="1">
      <c r="D13" s="6"/>
      <c r="E13" s="3">
        <v>0</v>
      </c>
      <c r="F13" s="28">
        <v>0</v>
      </c>
      <c r="G13" s="8">
        <v>0</v>
      </c>
      <c r="H13" s="8">
        <v>0</v>
      </c>
      <c r="I13" s="31">
        <v>0</v>
      </c>
      <c r="J13" s="7">
        <v>0</v>
      </c>
      <c r="K13" s="8">
        <v>0</v>
      </c>
      <c r="L13" s="8">
        <v>0</v>
      </c>
      <c r="M13" s="9">
        <v>0</v>
      </c>
      <c r="N13" s="3">
        <v>0</v>
      </c>
      <c r="O13" s="14">
        <v>0</v>
      </c>
      <c r="P13" s="16">
        <v>0</v>
      </c>
      <c r="Q13" s="35">
        <v>0</v>
      </c>
      <c r="R13" s="37">
        <v>0</v>
      </c>
      <c r="S13" s="18">
        <v>0</v>
      </c>
      <c r="T13" s="16">
        <v>0</v>
      </c>
      <c r="U13" s="42">
        <v>0</v>
      </c>
      <c r="V13" s="43">
        <v>0</v>
      </c>
      <c r="W13" s="39">
        <v>0</v>
      </c>
      <c r="X13" s="22">
        <v>0</v>
      </c>
      <c r="Y13" s="23">
        <v>0</v>
      </c>
      <c r="AA13" s="123">
        <v>0</v>
      </c>
      <c r="AB13" s="1">
        <v>0</v>
      </c>
      <c r="CX13" s="1">
        <v>0</v>
      </c>
      <c r="CY13" s="1">
        <v>0</v>
      </c>
    </row>
    <row r="14" spans="2:103" ht="18.75" hidden="1" customHeight="1" thickBot="1">
      <c r="D14" s="6"/>
      <c r="E14" s="3">
        <v>0</v>
      </c>
      <c r="F14" s="28">
        <v>0</v>
      </c>
      <c r="G14" s="8">
        <v>0</v>
      </c>
      <c r="H14" s="8">
        <v>0</v>
      </c>
      <c r="I14" s="31">
        <v>0</v>
      </c>
      <c r="J14" s="7">
        <v>0</v>
      </c>
      <c r="K14" s="8">
        <v>0</v>
      </c>
      <c r="L14" s="8">
        <v>0</v>
      </c>
      <c r="M14" s="9">
        <v>0</v>
      </c>
      <c r="N14" s="3">
        <v>0</v>
      </c>
      <c r="O14" s="14">
        <v>0</v>
      </c>
      <c r="P14" s="16">
        <v>0</v>
      </c>
      <c r="Q14" s="35">
        <v>0</v>
      </c>
      <c r="R14" s="37">
        <v>0</v>
      </c>
      <c r="S14" s="18">
        <v>0</v>
      </c>
      <c r="T14" s="16">
        <v>0</v>
      </c>
      <c r="U14" s="42">
        <v>0</v>
      </c>
      <c r="V14" s="43">
        <v>0</v>
      </c>
      <c r="W14" s="39">
        <v>0</v>
      </c>
      <c r="X14" s="22">
        <v>0</v>
      </c>
      <c r="Y14" s="23">
        <v>0</v>
      </c>
      <c r="AA14" s="123">
        <v>0</v>
      </c>
      <c r="AB14" s="1">
        <v>0</v>
      </c>
      <c r="CX14" s="1">
        <v>0</v>
      </c>
      <c r="CY14" s="1">
        <v>0</v>
      </c>
    </row>
    <row r="15" spans="2:103" ht="18.75" hidden="1" customHeight="1" thickBot="1">
      <c r="D15" s="49"/>
      <c r="E15" s="4">
        <v>0</v>
      </c>
      <c r="F15" s="50">
        <v>0</v>
      </c>
      <c r="G15" s="11">
        <v>0</v>
      </c>
      <c r="H15" s="11">
        <v>0</v>
      </c>
      <c r="I15" s="51">
        <v>0</v>
      </c>
      <c r="J15" s="10">
        <v>0</v>
      </c>
      <c r="K15" s="11">
        <v>0</v>
      </c>
      <c r="L15" s="11">
        <v>0</v>
      </c>
      <c r="M15" s="12">
        <v>0</v>
      </c>
      <c r="N15" s="4">
        <v>0</v>
      </c>
      <c r="O15" s="52">
        <v>0</v>
      </c>
      <c r="P15" s="53">
        <v>0</v>
      </c>
      <c r="Q15" s="54">
        <v>0</v>
      </c>
      <c r="R15" s="55">
        <v>0</v>
      </c>
      <c r="S15" s="56">
        <v>0</v>
      </c>
      <c r="T15" s="53">
        <v>0</v>
      </c>
      <c r="U15" s="57">
        <v>0</v>
      </c>
      <c r="V15" s="58">
        <v>0</v>
      </c>
      <c r="W15" s="59">
        <v>0</v>
      </c>
      <c r="X15" s="60">
        <v>0</v>
      </c>
      <c r="Y15" s="61">
        <v>0</v>
      </c>
      <c r="AA15" s="123">
        <v>0</v>
      </c>
      <c r="AB15" s="1">
        <v>0</v>
      </c>
      <c r="CX15" s="1">
        <v>0</v>
      </c>
      <c r="CY15" s="1">
        <v>0</v>
      </c>
    </row>
    <row r="16" spans="2:103" ht="18.75" hidden="1" customHeight="1" thickBot="1">
      <c r="D16" s="49"/>
      <c r="E16" s="4">
        <v>0</v>
      </c>
      <c r="F16" s="50">
        <v>0</v>
      </c>
      <c r="G16" s="11">
        <v>0</v>
      </c>
      <c r="H16" s="11">
        <v>0</v>
      </c>
      <c r="I16" s="51">
        <v>0</v>
      </c>
      <c r="J16" s="10">
        <v>0</v>
      </c>
      <c r="K16" s="11">
        <v>0</v>
      </c>
      <c r="L16" s="11">
        <v>0</v>
      </c>
      <c r="M16" s="12">
        <v>0</v>
      </c>
      <c r="N16" s="4">
        <v>0</v>
      </c>
      <c r="O16" s="52">
        <v>0</v>
      </c>
      <c r="P16" s="53">
        <v>0</v>
      </c>
      <c r="Q16" s="54">
        <v>0</v>
      </c>
      <c r="R16" s="55">
        <v>0</v>
      </c>
      <c r="S16" s="56">
        <v>0</v>
      </c>
      <c r="T16" s="53">
        <v>0</v>
      </c>
      <c r="U16" s="57">
        <v>0</v>
      </c>
      <c r="V16" s="58">
        <v>0</v>
      </c>
      <c r="W16" s="59">
        <v>0</v>
      </c>
      <c r="X16" s="60">
        <v>0</v>
      </c>
      <c r="Y16" s="61">
        <v>0</v>
      </c>
      <c r="AA16" s="123">
        <v>0</v>
      </c>
      <c r="AB16" s="1">
        <v>0</v>
      </c>
      <c r="CX16" s="1">
        <v>0</v>
      </c>
      <c r="CY16" s="1">
        <v>0</v>
      </c>
    </row>
    <row r="17" spans="4:103" s="62" customFormat="1" ht="24" thickBot="1">
      <c r="D17" s="63" t="s">
        <v>14</v>
      </c>
      <c r="E17" s="63">
        <v>0</v>
      </c>
      <c r="F17" s="64">
        <v>0</v>
      </c>
      <c r="G17" s="65">
        <v>0</v>
      </c>
      <c r="H17" s="65">
        <v>0</v>
      </c>
      <c r="I17" s="66">
        <v>0</v>
      </c>
      <c r="J17" s="67">
        <v>0</v>
      </c>
      <c r="K17" s="65">
        <v>0</v>
      </c>
      <c r="L17" s="65">
        <v>0</v>
      </c>
      <c r="M17" s="68">
        <v>0</v>
      </c>
      <c r="N17" s="63">
        <v>0</v>
      </c>
      <c r="O17" s="69">
        <v>0</v>
      </c>
      <c r="P17" s="70">
        <v>0</v>
      </c>
      <c r="Q17" s="71">
        <v>0</v>
      </c>
      <c r="R17" s="72">
        <v>0</v>
      </c>
      <c r="S17" s="73">
        <v>0</v>
      </c>
      <c r="T17" s="70">
        <v>93</v>
      </c>
      <c r="U17" s="74">
        <v>0</v>
      </c>
      <c r="V17" s="75">
        <v>0</v>
      </c>
      <c r="W17" s="76">
        <v>228701.42000000004</v>
      </c>
      <c r="X17" s="77">
        <v>227756.88</v>
      </c>
      <c r="Y17" s="78">
        <v>456458.30000000005</v>
      </c>
      <c r="AA17" s="124"/>
      <c r="CX17" s="62">
        <v>0</v>
      </c>
      <c r="CY17" s="62">
        <v>0</v>
      </c>
    </row>
    <row r="25" spans="4:103" ht="15" customHeight="1"/>
    <row r="26" spans="4:103" ht="15.75" customHeight="1"/>
    <row r="27" spans="4:103" ht="21" customHeight="1"/>
    <row r="28" spans="4:103" ht="16.5" customHeight="1"/>
  </sheetData>
  <mergeCells count="15">
    <mergeCell ref="W2:Y3"/>
    <mergeCell ref="O2:V3"/>
    <mergeCell ref="D2:N3"/>
    <mergeCell ref="D4:D5"/>
    <mergeCell ref="E4:E5"/>
    <mergeCell ref="F4:I4"/>
    <mergeCell ref="J4:M4"/>
    <mergeCell ref="N4:N5"/>
    <mergeCell ref="O4:P4"/>
    <mergeCell ref="Q4:R4"/>
    <mergeCell ref="S4:T4"/>
    <mergeCell ref="U4:V4"/>
    <mergeCell ref="W4:W5"/>
    <mergeCell ref="X4:X5"/>
    <mergeCell ref="Y4:Y5"/>
  </mergeCells>
  <conditionalFormatting sqref="N6:N16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6:E16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6:V16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6:Y1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BG267"/>
  <sheetViews>
    <sheetView topLeftCell="N1" zoomScale="85" zoomScaleNormal="85" workbookViewId="0">
      <selection activeCell="N1" sqref="A1:XFD1048576"/>
    </sheetView>
  </sheetViews>
  <sheetFormatPr defaultRowHeight="15"/>
  <cols>
    <col min="1" max="16384" width="9.140625" style="1"/>
  </cols>
  <sheetData>
    <row r="1" spans="1:59">
      <c r="A1" s="1" t="s">
        <v>109</v>
      </c>
    </row>
    <row r="2" spans="1:59">
      <c r="A2" s="1" t="s">
        <v>110</v>
      </c>
      <c r="B2" s="121">
        <v>45931</v>
      </c>
      <c r="C2" s="1" t="s">
        <v>111</v>
      </c>
      <c r="D2" s="121">
        <v>45961</v>
      </c>
    </row>
    <row r="3" spans="1:59">
      <c r="A3" s="1" t="s">
        <v>112</v>
      </c>
      <c r="B3" s="1" t="s">
        <v>113</v>
      </c>
    </row>
    <row r="4" spans="1:59">
      <c r="A4" s="1" t="s">
        <v>114</v>
      </c>
      <c r="B4" s="1" t="s">
        <v>115</v>
      </c>
    </row>
    <row r="5" spans="1:59">
      <c r="A5" s="1" t="s">
        <v>116</v>
      </c>
      <c r="B5" s="1" t="s">
        <v>117</v>
      </c>
    </row>
    <row r="6" spans="1:59">
      <c r="A6" s="1" t="s">
        <v>118</v>
      </c>
      <c r="B6" s="1" t="s">
        <v>119</v>
      </c>
    </row>
    <row r="7" spans="1:59">
      <c r="A7" s="1" t="s">
        <v>120</v>
      </c>
      <c r="B7" s="1" t="s">
        <v>121</v>
      </c>
      <c r="C7" s="1" t="s">
        <v>122</v>
      </c>
      <c r="D7" s="1" t="s">
        <v>123</v>
      </c>
      <c r="E7" s="1" t="s">
        <v>124</v>
      </c>
      <c r="F7" s="1" t="s">
        <v>125</v>
      </c>
      <c r="G7" s="1" t="s">
        <v>126</v>
      </c>
      <c r="H7" s="1" t="s">
        <v>127</v>
      </c>
      <c r="I7" s="1" t="s">
        <v>128</v>
      </c>
      <c r="J7" s="1" t="s">
        <v>129</v>
      </c>
      <c r="K7" s="1" t="s">
        <v>130</v>
      </c>
      <c r="L7" s="1" t="s">
        <v>131</v>
      </c>
      <c r="M7" s="1" t="s">
        <v>132</v>
      </c>
      <c r="N7" s="1" t="s">
        <v>133</v>
      </c>
      <c r="O7" s="1" t="s">
        <v>134</v>
      </c>
      <c r="P7" s="1" t="s">
        <v>135</v>
      </c>
      <c r="Q7" s="1" t="s">
        <v>136</v>
      </c>
      <c r="R7" s="1" t="s">
        <v>137</v>
      </c>
      <c r="S7" s="1" t="s">
        <v>138</v>
      </c>
      <c r="T7" s="1" t="s">
        <v>139</v>
      </c>
      <c r="U7" s="1" t="s">
        <v>140</v>
      </c>
      <c r="V7" s="1" t="s">
        <v>141</v>
      </c>
      <c r="W7" s="1" t="s">
        <v>142</v>
      </c>
      <c r="X7" s="1" t="s">
        <v>143</v>
      </c>
      <c r="Y7" s="1" t="s">
        <v>144</v>
      </c>
      <c r="Z7" s="1" t="s">
        <v>145</v>
      </c>
      <c r="AA7" s="1" t="s">
        <v>146</v>
      </c>
      <c r="AB7" s="1" t="s">
        <v>147</v>
      </c>
      <c r="AC7" s="1" t="s">
        <v>148</v>
      </c>
      <c r="AD7" s="1" t="s">
        <v>149</v>
      </c>
      <c r="AE7" s="1" t="s">
        <v>150</v>
      </c>
      <c r="AF7" s="1" t="s">
        <v>151</v>
      </c>
      <c r="AG7" s="1" t="s">
        <v>152</v>
      </c>
      <c r="AH7" s="1" t="s">
        <v>153</v>
      </c>
      <c r="AI7" s="1" t="s">
        <v>154</v>
      </c>
      <c r="AJ7" s="1" t="s">
        <v>155</v>
      </c>
      <c r="AK7" s="1" t="s">
        <v>156</v>
      </c>
      <c r="AL7" s="1" t="s">
        <v>157</v>
      </c>
      <c r="AM7" s="1" t="s">
        <v>158</v>
      </c>
      <c r="AN7" s="1" t="s">
        <v>159</v>
      </c>
      <c r="AO7" s="1" t="s">
        <v>160</v>
      </c>
      <c r="AP7" s="1" t="s">
        <v>161</v>
      </c>
      <c r="AQ7" s="1" t="s">
        <v>162</v>
      </c>
      <c r="AR7" s="1" t="s">
        <v>163</v>
      </c>
      <c r="AS7" s="1" t="s">
        <v>164</v>
      </c>
      <c r="AT7" s="1" t="s">
        <v>165</v>
      </c>
      <c r="AU7" s="1" t="s">
        <v>166</v>
      </c>
      <c r="AV7" s="1" t="s">
        <v>167</v>
      </c>
      <c r="AW7" s="1" t="s">
        <v>168</v>
      </c>
      <c r="AX7" s="1" t="s">
        <v>169</v>
      </c>
      <c r="AY7" s="1" t="s">
        <v>170</v>
      </c>
      <c r="AZ7" s="1" t="s">
        <v>171</v>
      </c>
      <c r="BA7" s="1" t="s">
        <v>172</v>
      </c>
      <c r="BB7" s="1" t="s">
        <v>173</v>
      </c>
      <c r="BC7" s="1" t="s">
        <v>174</v>
      </c>
      <c r="BD7" s="1" t="s">
        <v>175</v>
      </c>
      <c r="BE7" s="1" t="s">
        <v>176</v>
      </c>
      <c r="BF7" s="1" t="s">
        <v>177</v>
      </c>
      <c r="BG7" s="1" t="s">
        <v>178</v>
      </c>
    </row>
    <row r="8" spans="1:59">
      <c r="A8" s="1">
        <v>1</v>
      </c>
      <c r="B8" s="1" t="s">
        <v>179</v>
      </c>
      <c r="C8" s="1" t="s">
        <v>180</v>
      </c>
      <c r="D8" s="1" t="s">
        <v>181</v>
      </c>
      <c r="E8" s="1" t="s">
        <v>182</v>
      </c>
      <c r="F8" s="122">
        <v>45931.413888888892</v>
      </c>
      <c r="G8" s="1" t="s">
        <v>183</v>
      </c>
      <c r="I8" s="1" t="s">
        <v>184</v>
      </c>
      <c r="K8" s="1" t="s">
        <v>185</v>
      </c>
      <c r="M8" s="1" t="s">
        <v>186</v>
      </c>
      <c r="N8" s="1" t="s">
        <v>187</v>
      </c>
      <c r="O8" s="1">
        <v>618595</v>
      </c>
      <c r="P8" s="1">
        <v>1681114</v>
      </c>
      <c r="Q8" s="1" t="s">
        <v>188</v>
      </c>
      <c r="R8" s="1" t="s">
        <v>189</v>
      </c>
      <c r="S8" s="1" t="s">
        <v>190</v>
      </c>
      <c r="T8" s="1" t="s">
        <v>191</v>
      </c>
      <c r="U8" s="122">
        <v>45876.844444444447</v>
      </c>
      <c r="V8" s="1" t="s">
        <v>192</v>
      </c>
      <c r="W8" s="1" t="s">
        <v>19</v>
      </c>
      <c r="X8" s="1" t="s">
        <v>193</v>
      </c>
      <c r="Z8" s="1" t="s">
        <v>194</v>
      </c>
      <c r="AA8" s="1">
        <v>5665</v>
      </c>
      <c r="AB8" s="1">
        <v>54</v>
      </c>
      <c r="AC8" s="1">
        <v>0</v>
      </c>
      <c r="AD8" s="122">
        <v>45931.770833333336</v>
      </c>
      <c r="AE8" s="122">
        <v>45931.770833333336</v>
      </c>
      <c r="AF8" s="122">
        <v>45931.548611111109</v>
      </c>
      <c r="AG8" s="1">
        <v>0</v>
      </c>
      <c r="AH8" s="1">
        <v>54</v>
      </c>
      <c r="AI8" s="1" t="s">
        <v>195</v>
      </c>
      <c r="AL8" s="1" t="s">
        <v>196</v>
      </c>
      <c r="AO8" s="1" t="s">
        <v>113</v>
      </c>
      <c r="AP8" s="1" t="s">
        <v>197</v>
      </c>
      <c r="AQ8" s="122">
        <v>45931.548611111109</v>
      </c>
      <c r="AR8" s="1">
        <v>0</v>
      </c>
      <c r="AS8" s="1">
        <v>53.96</v>
      </c>
      <c r="AT8" s="1" t="s">
        <v>198</v>
      </c>
      <c r="AW8" s="1">
        <v>54</v>
      </c>
      <c r="AX8" s="1" t="s">
        <v>199</v>
      </c>
      <c r="AY8" s="1" t="s">
        <v>200</v>
      </c>
      <c r="AZ8" s="1" t="s">
        <v>201</v>
      </c>
      <c r="BA8" s="1" t="s">
        <v>180</v>
      </c>
      <c r="BB8" s="1">
        <v>530041</v>
      </c>
      <c r="BF8" s="122">
        <v>45931.411111111112</v>
      </c>
    </row>
    <row r="9" spans="1:59">
      <c r="A9" s="1">
        <v>2</v>
      </c>
      <c r="B9" s="1" t="s">
        <v>179</v>
      </c>
      <c r="C9" s="1" t="s">
        <v>180</v>
      </c>
      <c r="D9" s="1" t="s">
        <v>181</v>
      </c>
      <c r="E9" s="1" t="s">
        <v>202</v>
      </c>
      <c r="F9" s="122">
        <v>45930.426388888889</v>
      </c>
      <c r="G9" s="1" t="s">
        <v>203</v>
      </c>
      <c r="I9" s="1" t="s">
        <v>204</v>
      </c>
      <c r="K9" s="1" t="s">
        <v>205</v>
      </c>
      <c r="M9" s="1" t="s">
        <v>206</v>
      </c>
      <c r="N9" s="1" t="s">
        <v>207</v>
      </c>
      <c r="O9" s="1">
        <v>325371</v>
      </c>
      <c r="P9" s="1">
        <v>4287604</v>
      </c>
      <c r="Q9" s="1" t="s">
        <v>208</v>
      </c>
      <c r="R9" s="1" t="s">
        <v>209</v>
      </c>
      <c r="S9" s="1" t="s">
        <v>210</v>
      </c>
      <c r="U9" s="122">
        <v>45518.615972222222</v>
      </c>
      <c r="V9" s="1" t="s">
        <v>192</v>
      </c>
      <c r="W9" s="1" t="s">
        <v>19</v>
      </c>
      <c r="X9" s="1" t="s">
        <v>193</v>
      </c>
      <c r="Z9" s="1" t="s">
        <v>211</v>
      </c>
      <c r="AA9" s="1">
        <v>5651</v>
      </c>
      <c r="AB9" s="1">
        <v>1000</v>
      </c>
      <c r="AC9" s="1">
        <v>2000</v>
      </c>
      <c r="AD9" s="122">
        <v>45930.770833333336</v>
      </c>
      <c r="AE9" s="122">
        <v>45930.770833333336</v>
      </c>
      <c r="AF9" s="122">
        <v>45931.684027777781</v>
      </c>
      <c r="AG9" s="1">
        <v>1934</v>
      </c>
      <c r="AH9" s="1">
        <v>0</v>
      </c>
      <c r="AI9" s="1" t="s">
        <v>195</v>
      </c>
      <c r="AJ9" s="122">
        <v>45930.623611111114</v>
      </c>
      <c r="AK9" s="122">
        <v>45930.624305555553</v>
      </c>
      <c r="AL9" s="1" t="s">
        <v>212</v>
      </c>
      <c r="AO9" s="1" t="s">
        <v>113</v>
      </c>
      <c r="AP9" s="1" t="s">
        <v>213</v>
      </c>
      <c r="AQ9" s="122">
        <v>45931.684027777781</v>
      </c>
      <c r="AR9" s="1">
        <v>0</v>
      </c>
      <c r="AS9" s="1">
        <v>2168.9</v>
      </c>
      <c r="AT9" s="1" t="s">
        <v>198</v>
      </c>
      <c r="AU9" s="121">
        <v>45930</v>
      </c>
      <c r="AW9" s="1">
        <v>2169</v>
      </c>
      <c r="AX9" s="1" t="s">
        <v>214</v>
      </c>
      <c r="AY9" s="1" t="s">
        <v>215</v>
      </c>
      <c r="AZ9" s="1" t="s">
        <v>216</v>
      </c>
      <c r="BA9" s="1" t="s">
        <v>180</v>
      </c>
      <c r="BB9" s="1">
        <v>530040</v>
      </c>
      <c r="BF9" s="122">
        <v>45930.419444444444</v>
      </c>
    </row>
    <row r="10" spans="1:59">
      <c r="A10" s="1">
        <v>3</v>
      </c>
      <c r="B10" s="1" t="s">
        <v>179</v>
      </c>
      <c r="C10" s="1" t="s">
        <v>180</v>
      </c>
      <c r="D10" s="1" t="s">
        <v>181</v>
      </c>
      <c r="E10" s="1" t="s">
        <v>217</v>
      </c>
      <c r="F10" s="122">
        <v>45931.413194444445</v>
      </c>
      <c r="G10" s="1" t="s">
        <v>218</v>
      </c>
      <c r="I10" s="1" t="s">
        <v>219</v>
      </c>
      <c r="K10" s="1" t="s">
        <v>220</v>
      </c>
      <c r="M10" s="1" t="s">
        <v>206</v>
      </c>
      <c r="N10" s="1" t="s">
        <v>221</v>
      </c>
      <c r="O10" s="1" t="s">
        <v>222</v>
      </c>
      <c r="P10" s="1">
        <v>1628923</v>
      </c>
      <c r="Q10" s="1" t="s">
        <v>223</v>
      </c>
      <c r="R10" s="1" t="s">
        <v>224</v>
      </c>
      <c r="S10" s="1" t="s">
        <v>225</v>
      </c>
      <c r="T10" s="1" t="s">
        <v>191</v>
      </c>
      <c r="U10" s="122">
        <v>45657.744444444441</v>
      </c>
      <c r="V10" s="1" t="s">
        <v>192</v>
      </c>
      <c r="W10" s="1" t="s">
        <v>21</v>
      </c>
      <c r="X10" s="1" t="s">
        <v>226</v>
      </c>
      <c r="Z10" s="1" t="s">
        <v>3</v>
      </c>
      <c r="AA10" s="1">
        <v>27777</v>
      </c>
      <c r="AB10" s="1">
        <v>2520</v>
      </c>
      <c r="AC10" s="1">
        <v>4500</v>
      </c>
      <c r="AD10" s="122">
        <v>45931.770833333336</v>
      </c>
      <c r="AE10" s="122">
        <v>45931.770833333336</v>
      </c>
      <c r="AF10" s="122">
        <v>45931.623611111114</v>
      </c>
      <c r="AG10" s="1">
        <v>4500</v>
      </c>
      <c r="AH10" s="1">
        <v>2520</v>
      </c>
      <c r="AI10" s="1" t="s">
        <v>195</v>
      </c>
      <c r="AL10" s="1" t="s">
        <v>196</v>
      </c>
      <c r="AO10" s="1" t="s">
        <v>113</v>
      </c>
      <c r="AP10" s="1" t="s">
        <v>227</v>
      </c>
      <c r="AQ10" s="122">
        <v>45931.623611111114</v>
      </c>
      <c r="AR10" s="1">
        <v>2688.52</v>
      </c>
      <c r="AS10" s="1">
        <v>2061.9</v>
      </c>
      <c r="AT10" s="1" t="s">
        <v>198</v>
      </c>
      <c r="AW10" s="1">
        <v>4750</v>
      </c>
      <c r="AX10" s="1" t="s">
        <v>228</v>
      </c>
      <c r="AY10" s="1" t="s">
        <v>229</v>
      </c>
      <c r="BA10" s="1" t="s">
        <v>180</v>
      </c>
      <c r="BB10" s="1">
        <v>531001</v>
      </c>
      <c r="BF10" s="122">
        <v>45931.406944444447</v>
      </c>
    </row>
    <row r="11" spans="1:59">
      <c r="A11" s="1">
        <v>4</v>
      </c>
      <c r="B11" s="1" t="s">
        <v>179</v>
      </c>
      <c r="C11" s="1" t="s">
        <v>180</v>
      </c>
      <c r="D11" s="1" t="s">
        <v>181</v>
      </c>
      <c r="E11" s="1" t="s">
        <v>230</v>
      </c>
      <c r="F11" s="122">
        <v>45931.382638888892</v>
      </c>
      <c r="G11" s="1" t="s">
        <v>218</v>
      </c>
      <c r="I11" s="1" t="s">
        <v>231</v>
      </c>
      <c r="K11" s="1" t="s">
        <v>232</v>
      </c>
      <c r="M11" s="1" t="s">
        <v>233</v>
      </c>
      <c r="N11" s="1" t="s">
        <v>234</v>
      </c>
      <c r="O11" s="1">
        <v>601548</v>
      </c>
      <c r="P11" s="1">
        <v>9205009</v>
      </c>
      <c r="Q11" s="1" t="s">
        <v>235</v>
      </c>
      <c r="R11" s="1" t="s">
        <v>236</v>
      </c>
      <c r="S11" s="1" t="s">
        <v>237</v>
      </c>
      <c r="T11" s="1" t="s">
        <v>191</v>
      </c>
      <c r="U11" s="122">
        <v>45006.689583333333</v>
      </c>
      <c r="V11" s="1" t="s">
        <v>192</v>
      </c>
      <c r="W11" s="1" t="s">
        <v>21</v>
      </c>
      <c r="X11" s="1" t="s">
        <v>193</v>
      </c>
      <c r="Z11" s="1" t="s">
        <v>3</v>
      </c>
      <c r="AA11" s="1">
        <v>65448</v>
      </c>
      <c r="AB11" s="1">
        <v>2500</v>
      </c>
      <c r="AC11" s="1">
        <v>3000</v>
      </c>
      <c r="AD11" s="122">
        <v>45931.645833333336</v>
      </c>
      <c r="AE11" s="122">
        <v>45931.645833333336</v>
      </c>
      <c r="AF11" s="122">
        <v>45931.732638888891</v>
      </c>
      <c r="AG11" s="1">
        <v>3000</v>
      </c>
      <c r="AH11" s="1">
        <v>2500</v>
      </c>
      <c r="AI11" s="1" t="s">
        <v>195</v>
      </c>
      <c r="AL11" s="1" t="s">
        <v>196</v>
      </c>
      <c r="AO11" s="1" t="s">
        <v>113</v>
      </c>
      <c r="AP11" s="1" t="s">
        <v>238</v>
      </c>
      <c r="AQ11" s="122">
        <v>45931.732638888891</v>
      </c>
      <c r="AR11" s="1">
        <v>1699.2</v>
      </c>
      <c r="AS11" s="1">
        <v>3404.02</v>
      </c>
      <c r="AT11" s="1" t="s">
        <v>198</v>
      </c>
      <c r="AU11" s="121">
        <v>45860</v>
      </c>
      <c r="AV11" s="1" t="s">
        <v>239</v>
      </c>
      <c r="AW11" s="1">
        <v>5103</v>
      </c>
      <c r="AX11" s="1" t="s">
        <v>240</v>
      </c>
      <c r="AY11" s="1" t="s">
        <v>241</v>
      </c>
      <c r="AZ11" s="1" t="s">
        <v>242</v>
      </c>
      <c r="BA11" s="1" t="s">
        <v>180</v>
      </c>
      <c r="BB11" s="1">
        <v>531163</v>
      </c>
      <c r="BF11" s="122">
        <v>45931.379861111112</v>
      </c>
    </row>
    <row r="12" spans="1:59">
      <c r="A12" s="1">
        <v>5</v>
      </c>
      <c r="B12" s="1" t="s">
        <v>179</v>
      </c>
      <c r="C12" s="1" t="s">
        <v>180</v>
      </c>
      <c r="D12" s="1" t="s">
        <v>181</v>
      </c>
      <c r="E12" s="1" t="s">
        <v>243</v>
      </c>
      <c r="F12" s="122">
        <v>45931.424305555556</v>
      </c>
      <c r="G12" s="1" t="s">
        <v>244</v>
      </c>
      <c r="I12" s="1" t="s">
        <v>245</v>
      </c>
      <c r="K12" s="1" t="s">
        <v>246</v>
      </c>
      <c r="N12" s="1" t="s">
        <v>247</v>
      </c>
      <c r="O12" s="1">
        <v>342107</v>
      </c>
      <c r="P12" s="1">
        <v>1082446</v>
      </c>
      <c r="Q12" s="1" t="s">
        <v>248</v>
      </c>
      <c r="R12" s="1" t="s">
        <v>249</v>
      </c>
      <c r="S12" s="1" t="s">
        <v>250</v>
      </c>
      <c r="T12" s="1" t="s">
        <v>191</v>
      </c>
      <c r="U12" s="122">
        <v>43738.779861111114</v>
      </c>
      <c r="V12" s="1" t="s">
        <v>192</v>
      </c>
      <c r="W12" s="1" t="s">
        <v>21</v>
      </c>
      <c r="X12" s="1" t="s">
        <v>193</v>
      </c>
      <c r="Z12" s="1" t="s">
        <v>4</v>
      </c>
      <c r="AA12" s="1">
        <v>70655</v>
      </c>
      <c r="AB12" s="1">
        <v>300</v>
      </c>
      <c r="AC12" s="1">
        <v>0</v>
      </c>
      <c r="AD12" s="122">
        <v>45931.6875</v>
      </c>
      <c r="AE12" s="122">
        <v>45931.6875</v>
      </c>
      <c r="AF12" s="122">
        <v>45931.520833333336</v>
      </c>
      <c r="AG12" s="1">
        <v>0</v>
      </c>
      <c r="AH12" s="1">
        <v>300</v>
      </c>
      <c r="AI12" s="1" t="s">
        <v>195</v>
      </c>
      <c r="AL12" s="1" t="s">
        <v>196</v>
      </c>
      <c r="AO12" s="1" t="s">
        <v>113</v>
      </c>
      <c r="AP12" s="1" t="s">
        <v>251</v>
      </c>
      <c r="AQ12" s="122">
        <v>45931.521527777775</v>
      </c>
      <c r="AR12" s="1">
        <v>299.72000000000003</v>
      </c>
      <c r="AS12" s="1">
        <v>0</v>
      </c>
      <c r="AT12" s="1" t="s">
        <v>198</v>
      </c>
      <c r="AW12" s="1">
        <v>300</v>
      </c>
      <c r="AX12" s="1" t="s">
        <v>252</v>
      </c>
      <c r="AY12" s="1" t="s">
        <v>253</v>
      </c>
      <c r="AZ12" s="1" t="s">
        <v>254</v>
      </c>
      <c r="BA12" s="1" t="s">
        <v>180</v>
      </c>
      <c r="BB12" s="1">
        <v>530015</v>
      </c>
      <c r="BE12" s="1" t="s">
        <v>255</v>
      </c>
      <c r="BF12" s="122">
        <v>45931.417361111111</v>
      </c>
    </row>
    <row r="13" spans="1:59">
      <c r="A13" s="1">
        <v>6</v>
      </c>
      <c r="B13" s="1" t="s">
        <v>179</v>
      </c>
      <c r="C13" s="1" t="s">
        <v>180</v>
      </c>
      <c r="D13" s="1" t="s">
        <v>181</v>
      </c>
      <c r="E13" s="1" t="s">
        <v>256</v>
      </c>
      <c r="F13" s="122">
        <v>45931.598611111112</v>
      </c>
      <c r="G13" s="1" t="s">
        <v>244</v>
      </c>
      <c r="I13" s="1" t="s">
        <v>257</v>
      </c>
      <c r="K13" s="1" t="s">
        <v>258</v>
      </c>
      <c r="M13" s="1" t="s">
        <v>206</v>
      </c>
      <c r="N13" s="1" t="s">
        <v>259</v>
      </c>
      <c r="O13" s="1">
        <v>534544</v>
      </c>
      <c r="P13" s="1">
        <v>1632988</v>
      </c>
      <c r="Q13" s="1" t="s">
        <v>260</v>
      </c>
      <c r="R13" s="1" t="s">
        <v>261</v>
      </c>
      <c r="S13" s="1" t="s">
        <v>262</v>
      </c>
      <c r="T13" s="1" t="s">
        <v>191</v>
      </c>
      <c r="U13" s="122">
        <v>41359.53402777778</v>
      </c>
      <c r="V13" s="1" t="s">
        <v>192</v>
      </c>
      <c r="W13" s="1" t="s">
        <v>19</v>
      </c>
      <c r="X13" s="1" t="s">
        <v>193</v>
      </c>
      <c r="Z13" s="1" t="s">
        <v>4</v>
      </c>
      <c r="AA13" s="1">
        <v>89059</v>
      </c>
      <c r="AB13" s="1">
        <v>0</v>
      </c>
      <c r="AC13" s="1">
        <v>0</v>
      </c>
      <c r="AD13" s="122">
        <v>45931.76458333333</v>
      </c>
      <c r="AE13" s="122">
        <v>45931.76458333333</v>
      </c>
      <c r="AF13" s="122">
        <v>45931.787499999999</v>
      </c>
      <c r="AG13" s="1">
        <v>0</v>
      </c>
      <c r="AH13" s="1">
        <v>0</v>
      </c>
      <c r="AI13" s="1" t="s">
        <v>195</v>
      </c>
      <c r="AL13" s="1" t="s">
        <v>196</v>
      </c>
      <c r="AO13" s="1" t="s">
        <v>113</v>
      </c>
      <c r="AP13" s="1" t="s">
        <v>263</v>
      </c>
      <c r="AQ13" s="122">
        <v>45931.787499999999</v>
      </c>
      <c r="AR13" s="1">
        <v>420.03</v>
      </c>
      <c r="AS13" s="1">
        <v>1036.99</v>
      </c>
      <c r="AT13" s="1" t="s">
        <v>198</v>
      </c>
      <c r="AU13" s="121">
        <v>45931</v>
      </c>
      <c r="AW13" s="1">
        <v>1457</v>
      </c>
      <c r="AX13" s="1" t="s">
        <v>264</v>
      </c>
      <c r="AY13" s="1" t="s">
        <v>265</v>
      </c>
      <c r="BA13" s="1" t="s">
        <v>180</v>
      </c>
      <c r="BB13" s="1">
        <v>535002</v>
      </c>
      <c r="BE13" s="1" t="s">
        <v>266</v>
      </c>
      <c r="BF13" s="122">
        <v>45931.595138888886</v>
      </c>
    </row>
    <row r="14" spans="1:59">
      <c r="A14" s="1">
        <v>7</v>
      </c>
      <c r="B14" s="1" t="s">
        <v>179</v>
      </c>
      <c r="C14" s="1" t="s">
        <v>180</v>
      </c>
      <c r="D14" s="1" t="s">
        <v>181</v>
      </c>
      <c r="E14" s="1" t="s">
        <v>267</v>
      </c>
      <c r="F14" s="122">
        <v>45931.402777777781</v>
      </c>
      <c r="G14" s="1" t="s">
        <v>218</v>
      </c>
      <c r="I14" s="1" t="s">
        <v>268</v>
      </c>
      <c r="K14" s="1" t="s">
        <v>269</v>
      </c>
      <c r="M14" s="1" t="s">
        <v>206</v>
      </c>
      <c r="N14" s="1" t="s">
        <v>270</v>
      </c>
      <c r="O14" s="1">
        <v>149880</v>
      </c>
      <c r="P14" s="1">
        <v>2009250</v>
      </c>
      <c r="Q14" s="1" t="s">
        <v>271</v>
      </c>
      <c r="R14" s="1" t="s">
        <v>272</v>
      </c>
      <c r="S14" s="1" t="s">
        <v>273</v>
      </c>
      <c r="T14" s="1" t="s">
        <v>191</v>
      </c>
      <c r="U14" s="122">
        <v>41261.727083333331</v>
      </c>
      <c r="V14" s="1" t="s">
        <v>192</v>
      </c>
      <c r="W14" s="1" t="s">
        <v>21</v>
      </c>
      <c r="X14" s="1" t="s">
        <v>193</v>
      </c>
      <c r="Z14" s="1" t="s">
        <v>3</v>
      </c>
      <c r="AA14" s="1">
        <v>162543</v>
      </c>
      <c r="AB14" s="1">
        <v>2390</v>
      </c>
      <c r="AC14" s="1">
        <v>3500</v>
      </c>
      <c r="AD14" s="122">
        <v>45931.770833333336</v>
      </c>
      <c r="AE14" s="122">
        <v>45931.770833333336</v>
      </c>
      <c r="AF14" s="122">
        <v>45931.53125</v>
      </c>
      <c r="AG14" s="1">
        <v>3500</v>
      </c>
      <c r="AH14" s="1">
        <v>2390</v>
      </c>
      <c r="AI14" s="1" t="s">
        <v>195</v>
      </c>
      <c r="AL14" s="1" t="s">
        <v>196</v>
      </c>
      <c r="AO14" s="1" t="s">
        <v>113</v>
      </c>
      <c r="AP14" s="1" t="s">
        <v>274</v>
      </c>
      <c r="AQ14" s="122">
        <v>45931.531944444447</v>
      </c>
      <c r="AR14" s="1">
        <v>2367.08</v>
      </c>
      <c r="AS14" s="1">
        <v>2872.83</v>
      </c>
      <c r="AT14" s="1" t="s">
        <v>198</v>
      </c>
      <c r="AW14" s="1">
        <v>5240</v>
      </c>
      <c r="AX14" s="1" t="s">
        <v>275</v>
      </c>
      <c r="AY14" s="1" t="s">
        <v>276</v>
      </c>
      <c r="BA14" s="1" t="s">
        <v>180</v>
      </c>
      <c r="BB14" s="1">
        <v>532552</v>
      </c>
      <c r="BE14" s="1" t="s">
        <v>277</v>
      </c>
      <c r="BF14" s="122">
        <v>45931.396527777775</v>
      </c>
    </row>
    <row r="15" spans="1:59">
      <c r="A15" s="1">
        <v>8</v>
      </c>
      <c r="B15" s="1" t="s">
        <v>179</v>
      </c>
      <c r="C15" s="1" t="s">
        <v>180</v>
      </c>
      <c r="D15" s="1" t="s">
        <v>181</v>
      </c>
      <c r="E15" s="1" t="s">
        <v>278</v>
      </c>
      <c r="F15" s="122">
        <v>45931.705555555556</v>
      </c>
      <c r="G15" s="1" t="s">
        <v>279</v>
      </c>
      <c r="I15" s="1" t="s">
        <v>280</v>
      </c>
      <c r="K15" s="1" t="s">
        <v>281</v>
      </c>
      <c r="M15" s="1" t="s">
        <v>186</v>
      </c>
      <c r="N15" s="1" t="s">
        <v>282</v>
      </c>
      <c r="O15" s="1">
        <v>165829</v>
      </c>
      <c r="P15" s="1">
        <v>7357888</v>
      </c>
      <c r="Q15" s="1" t="s">
        <v>283</v>
      </c>
      <c r="R15" s="1" t="s">
        <v>189</v>
      </c>
      <c r="S15" s="1" t="s">
        <v>190</v>
      </c>
      <c r="T15" s="1" t="s">
        <v>191</v>
      </c>
      <c r="U15" s="122">
        <v>45212.781944444447</v>
      </c>
      <c r="V15" s="1" t="s">
        <v>192</v>
      </c>
      <c r="W15" s="1" t="s">
        <v>19</v>
      </c>
      <c r="X15" s="1" t="s">
        <v>226</v>
      </c>
      <c r="Z15" s="1" t="s">
        <v>284</v>
      </c>
      <c r="AA15" s="1">
        <v>11738</v>
      </c>
      <c r="AB15" s="1">
        <v>0</v>
      </c>
      <c r="AC15" s="1">
        <v>0</v>
      </c>
      <c r="AD15" s="122">
        <v>45931.746527777781</v>
      </c>
      <c r="AE15" s="122">
        <v>45931.746527777781</v>
      </c>
      <c r="AF15" s="122">
        <v>45931.739583333336</v>
      </c>
      <c r="AG15" s="1">
        <v>0</v>
      </c>
      <c r="AH15" s="1">
        <v>0</v>
      </c>
      <c r="AI15" s="1" t="s">
        <v>195</v>
      </c>
      <c r="AL15" s="1" t="s">
        <v>196</v>
      </c>
      <c r="AO15" s="1" t="s">
        <v>113</v>
      </c>
      <c r="AP15" s="1" t="s">
        <v>285</v>
      </c>
      <c r="AQ15" s="122">
        <v>45931.789583333331</v>
      </c>
      <c r="AR15" s="1">
        <v>0</v>
      </c>
      <c r="AS15" s="1">
        <v>0</v>
      </c>
      <c r="AT15" s="1" t="s">
        <v>198</v>
      </c>
      <c r="AW15" s="1">
        <v>0</v>
      </c>
      <c r="AX15" s="1" t="s">
        <v>286</v>
      </c>
      <c r="AY15" s="1" t="s">
        <v>287</v>
      </c>
      <c r="AZ15" s="1" t="s">
        <v>288</v>
      </c>
      <c r="BA15" s="1" t="s">
        <v>180</v>
      </c>
      <c r="BB15" s="1">
        <v>530045</v>
      </c>
      <c r="BF15" s="122">
        <v>45931.703472222223</v>
      </c>
    </row>
    <row r="16" spans="1:59">
      <c r="A16" s="1">
        <v>9</v>
      </c>
      <c r="B16" s="1" t="s">
        <v>179</v>
      </c>
      <c r="C16" s="1" t="s">
        <v>180</v>
      </c>
      <c r="D16" s="1" t="s">
        <v>181</v>
      </c>
      <c r="E16" s="1" t="s">
        <v>289</v>
      </c>
      <c r="F16" s="122">
        <v>45931.62222222222</v>
      </c>
      <c r="G16" s="1" t="s">
        <v>203</v>
      </c>
      <c r="I16" s="1" t="s">
        <v>290</v>
      </c>
      <c r="K16" s="1" t="s">
        <v>291</v>
      </c>
      <c r="M16" s="1" t="s">
        <v>206</v>
      </c>
      <c r="N16" s="1" t="s">
        <v>292</v>
      </c>
      <c r="O16" s="1">
        <v>889547</v>
      </c>
      <c r="P16" s="1">
        <v>9580215</v>
      </c>
      <c r="Q16" s="1" t="s">
        <v>293</v>
      </c>
      <c r="R16" s="1" t="s">
        <v>294</v>
      </c>
      <c r="S16" s="1" t="s">
        <v>237</v>
      </c>
      <c r="T16" s="1" t="s">
        <v>191</v>
      </c>
      <c r="U16" s="122">
        <v>45576.787499999999</v>
      </c>
      <c r="V16" s="1" t="s">
        <v>192</v>
      </c>
      <c r="W16" s="1" t="s">
        <v>19</v>
      </c>
      <c r="X16" s="1" t="s">
        <v>193</v>
      </c>
      <c r="Z16" s="1" t="s">
        <v>211</v>
      </c>
      <c r="AA16" s="1">
        <v>9011</v>
      </c>
      <c r="AB16" s="1">
        <v>1100</v>
      </c>
      <c r="AC16" s="1">
        <v>2300</v>
      </c>
      <c r="AD16" s="122">
        <v>45931.770833333336</v>
      </c>
      <c r="AE16" s="122">
        <v>45931.770833333336</v>
      </c>
      <c r="AF16" s="122">
        <v>45931.706250000003</v>
      </c>
      <c r="AG16" s="1">
        <v>2300</v>
      </c>
      <c r="AH16" s="1">
        <v>1100</v>
      </c>
      <c r="AI16" s="1" t="s">
        <v>195</v>
      </c>
      <c r="AL16" s="1" t="s">
        <v>196</v>
      </c>
      <c r="AO16" s="1" t="s">
        <v>113</v>
      </c>
      <c r="AP16" s="1" t="s">
        <v>295</v>
      </c>
      <c r="AQ16" s="122">
        <v>45931.793749999997</v>
      </c>
      <c r="AR16" s="1">
        <v>944</v>
      </c>
      <c r="AS16" s="1">
        <v>1736.91</v>
      </c>
      <c r="AT16" s="1" t="s">
        <v>198</v>
      </c>
      <c r="AU16" s="121">
        <v>45931</v>
      </c>
      <c r="AW16" s="1">
        <v>2681</v>
      </c>
      <c r="AX16" s="1" t="s">
        <v>296</v>
      </c>
      <c r="AY16" s="1" t="s">
        <v>297</v>
      </c>
      <c r="AZ16" s="1" t="s">
        <v>298</v>
      </c>
      <c r="BA16" s="1" t="s">
        <v>180</v>
      </c>
      <c r="BB16" s="1">
        <v>530045</v>
      </c>
      <c r="BF16" s="122">
        <v>45931.619444444441</v>
      </c>
    </row>
    <row r="17" spans="1:58">
      <c r="A17" s="1">
        <v>10</v>
      </c>
      <c r="B17" s="1" t="s">
        <v>179</v>
      </c>
      <c r="C17" s="1" t="s">
        <v>180</v>
      </c>
      <c r="D17" s="1" t="s">
        <v>181</v>
      </c>
      <c r="E17" s="1" t="s">
        <v>299</v>
      </c>
      <c r="F17" s="122">
        <v>45931.511805555558</v>
      </c>
      <c r="G17" s="1" t="s">
        <v>279</v>
      </c>
      <c r="I17" s="1" t="s">
        <v>300</v>
      </c>
      <c r="K17" s="1" t="s">
        <v>301</v>
      </c>
      <c r="M17" s="1" t="s">
        <v>186</v>
      </c>
      <c r="N17" s="1" t="s">
        <v>302</v>
      </c>
      <c r="O17" s="1">
        <v>536955</v>
      </c>
      <c r="P17" s="1">
        <v>4081404</v>
      </c>
      <c r="Q17" s="1" t="s">
        <v>303</v>
      </c>
      <c r="R17" s="1" t="s">
        <v>304</v>
      </c>
      <c r="S17" s="1" t="s">
        <v>250</v>
      </c>
      <c r="T17" s="1" t="s">
        <v>191</v>
      </c>
      <c r="U17" s="122">
        <v>44116.609027777777</v>
      </c>
      <c r="V17" s="1" t="s">
        <v>192</v>
      </c>
      <c r="W17" s="1" t="s">
        <v>19</v>
      </c>
      <c r="X17" s="1" t="s">
        <v>193</v>
      </c>
      <c r="Z17" s="1" t="s">
        <v>284</v>
      </c>
      <c r="AA17" s="1">
        <v>38021</v>
      </c>
      <c r="AB17" s="1">
        <v>0</v>
      </c>
      <c r="AC17" s="1">
        <v>0</v>
      </c>
      <c r="AD17" s="122">
        <v>45931.6875</v>
      </c>
      <c r="AE17" s="122">
        <v>45931.6875</v>
      </c>
      <c r="AF17" s="122">
        <v>45931.60833333333</v>
      </c>
      <c r="AG17" s="1">
        <v>0</v>
      </c>
      <c r="AH17" s="1">
        <v>0</v>
      </c>
      <c r="AI17" s="1" t="s">
        <v>195</v>
      </c>
      <c r="AL17" s="1" t="s">
        <v>196</v>
      </c>
      <c r="AO17" s="1" t="s">
        <v>113</v>
      </c>
      <c r="AP17" s="1" t="s">
        <v>305</v>
      </c>
      <c r="AQ17" s="122">
        <v>45931.60833333333</v>
      </c>
      <c r="AR17" s="1">
        <v>354</v>
      </c>
      <c r="AS17" s="1">
        <v>0</v>
      </c>
      <c r="AT17" s="1" t="s">
        <v>198</v>
      </c>
      <c r="AW17" s="1">
        <v>354</v>
      </c>
      <c r="AX17" s="1" t="s">
        <v>306</v>
      </c>
      <c r="AY17" s="1" t="s">
        <v>307</v>
      </c>
      <c r="AZ17" s="1" t="s">
        <v>308</v>
      </c>
      <c r="BA17" s="1" t="s">
        <v>180</v>
      </c>
      <c r="BB17" s="1">
        <v>530042</v>
      </c>
      <c r="BE17" s="1" t="s">
        <v>309</v>
      </c>
      <c r="BF17" s="122">
        <v>45931.509722222225</v>
      </c>
    </row>
    <row r="18" spans="1:58">
      <c r="A18" s="1">
        <v>11</v>
      </c>
      <c r="B18" s="1" t="s">
        <v>179</v>
      </c>
      <c r="C18" s="1" t="s">
        <v>180</v>
      </c>
      <c r="D18" s="1" t="s">
        <v>181</v>
      </c>
      <c r="E18" s="1" t="s">
        <v>310</v>
      </c>
      <c r="F18" s="122">
        <v>45931.640277777777</v>
      </c>
      <c r="G18" s="1" t="s">
        <v>183</v>
      </c>
      <c r="I18" s="1" t="s">
        <v>311</v>
      </c>
      <c r="K18" s="1" t="s">
        <v>312</v>
      </c>
      <c r="M18" s="1" t="s">
        <v>233</v>
      </c>
      <c r="N18" s="1" t="s">
        <v>313</v>
      </c>
      <c r="O18" s="1">
        <v>321521</v>
      </c>
      <c r="P18" s="1" t="s">
        <v>314</v>
      </c>
      <c r="Q18" s="1" t="s">
        <v>315</v>
      </c>
      <c r="R18" s="1" t="s">
        <v>316</v>
      </c>
      <c r="S18" s="1" t="s">
        <v>317</v>
      </c>
      <c r="T18" s="1" t="s">
        <v>191</v>
      </c>
      <c r="U18" s="122">
        <v>45644.740277777775</v>
      </c>
      <c r="V18" s="1" t="s">
        <v>192</v>
      </c>
      <c r="W18" s="1" t="s">
        <v>19</v>
      </c>
      <c r="X18" s="1" t="s">
        <v>193</v>
      </c>
      <c r="Z18" s="1" t="s">
        <v>194</v>
      </c>
      <c r="AA18" s="1">
        <v>3708</v>
      </c>
      <c r="AB18" s="1">
        <v>0</v>
      </c>
      <c r="AC18" s="1">
        <v>0</v>
      </c>
      <c r="AD18" s="122">
        <v>45931.8125</v>
      </c>
      <c r="AE18" s="122">
        <v>45931.8125</v>
      </c>
      <c r="AF18" s="122">
        <v>45931.701388888891</v>
      </c>
      <c r="AG18" s="1">
        <v>0</v>
      </c>
      <c r="AH18" s="1">
        <v>0</v>
      </c>
      <c r="AI18" s="1" t="s">
        <v>195</v>
      </c>
      <c r="AL18" s="1" t="s">
        <v>196</v>
      </c>
      <c r="AO18" s="1" t="s">
        <v>113</v>
      </c>
      <c r="AP18" s="1" t="s">
        <v>318</v>
      </c>
      <c r="AQ18" s="122">
        <v>45931.701388888891</v>
      </c>
      <c r="AR18" s="1">
        <v>0</v>
      </c>
      <c r="AS18" s="1">
        <v>53.96</v>
      </c>
      <c r="AT18" s="1" t="s">
        <v>198</v>
      </c>
      <c r="AU18" s="121">
        <v>45931</v>
      </c>
      <c r="AW18" s="1">
        <v>54</v>
      </c>
      <c r="AX18" s="1" t="s">
        <v>319</v>
      </c>
      <c r="AY18" s="1" t="s">
        <v>320</v>
      </c>
      <c r="AZ18" s="1" t="s">
        <v>180</v>
      </c>
      <c r="BA18" s="1" t="s">
        <v>180</v>
      </c>
      <c r="BB18" s="1">
        <v>530016</v>
      </c>
      <c r="BE18" s="1" t="s">
        <v>321</v>
      </c>
      <c r="BF18" s="122">
        <v>45931.638888888891</v>
      </c>
    </row>
    <row r="19" spans="1:58">
      <c r="A19" s="1">
        <v>12</v>
      </c>
      <c r="B19" s="1" t="s">
        <v>179</v>
      </c>
      <c r="C19" s="1" t="s">
        <v>180</v>
      </c>
      <c r="D19" s="1" t="s">
        <v>181</v>
      </c>
      <c r="E19" s="1" t="s">
        <v>322</v>
      </c>
      <c r="F19" s="122">
        <v>45931.447916666664</v>
      </c>
      <c r="G19" s="1" t="s">
        <v>218</v>
      </c>
      <c r="I19" s="1" t="s">
        <v>323</v>
      </c>
      <c r="K19" s="1" t="s">
        <v>324</v>
      </c>
      <c r="M19" s="1" t="s">
        <v>325</v>
      </c>
      <c r="N19" s="1" t="s">
        <v>326</v>
      </c>
      <c r="O19" s="1">
        <v>734341</v>
      </c>
      <c r="P19" s="1" t="s">
        <v>327</v>
      </c>
      <c r="Q19" s="1" t="s">
        <v>248</v>
      </c>
      <c r="R19" s="1" t="s">
        <v>328</v>
      </c>
      <c r="S19" s="1" t="s">
        <v>329</v>
      </c>
      <c r="T19" s="1" t="s">
        <v>191</v>
      </c>
      <c r="U19" s="122">
        <v>44831.863888888889</v>
      </c>
      <c r="V19" s="1" t="s">
        <v>192</v>
      </c>
      <c r="W19" s="1" t="s">
        <v>21</v>
      </c>
      <c r="X19" s="1" t="s">
        <v>193</v>
      </c>
      <c r="Z19" s="1" t="s">
        <v>3</v>
      </c>
      <c r="AA19" s="1">
        <v>17918</v>
      </c>
      <c r="AB19" s="1">
        <v>2115</v>
      </c>
      <c r="AC19" s="1">
        <v>3000</v>
      </c>
      <c r="AD19" s="122">
        <v>45931.6875</v>
      </c>
      <c r="AE19" s="122">
        <v>45931.6875</v>
      </c>
      <c r="AF19" s="122">
        <v>45931.714583333334</v>
      </c>
      <c r="AG19" s="1">
        <v>3000</v>
      </c>
      <c r="AH19" s="1">
        <v>2115</v>
      </c>
      <c r="AI19" s="1" t="s">
        <v>195</v>
      </c>
      <c r="AL19" s="1" t="s">
        <v>196</v>
      </c>
      <c r="AO19" s="1" t="s">
        <v>113</v>
      </c>
      <c r="AP19" s="1" t="s">
        <v>330</v>
      </c>
      <c r="AQ19" s="122">
        <v>45931.715277777781</v>
      </c>
      <c r="AR19" s="1">
        <v>1856.14</v>
      </c>
      <c r="AS19" s="1">
        <v>2233.7199999999998</v>
      </c>
      <c r="AT19" s="1" t="s">
        <v>198</v>
      </c>
      <c r="AW19" s="1">
        <v>4090</v>
      </c>
      <c r="AX19" s="1" t="s">
        <v>331</v>
      </c>
      <c r="AY19" s="1" t="s">
        <v>332</v>
      </c>
      <c r="AZ19" s="1" t="s">
        <v>333</v>
      </c>
      <c r="BA19" s="1" t="s">
        <v>180</v>
      </c>
      <c r="BB19" s="1">
        <v>530002</v>
      </c>
      <c r="BE19" s="1" t="s">
        <v>334</v>
      </c>
      <c r="BF19" s="122">
        <v>45931.438888888886</v>
      </c>
    </row>
    <row r="20" spans="1:58">
      <c r="A20" s="1">
        <v>13</v>
      </c>
      <c r="B20" s="1" t="s">
        <v>179</v>
      </c>
      <c r="C20" s="1" t="s">
        <v>180</v>
      </c>
      <c r="D20" s="1" t="s">
        <v>181</v>
      </c>
      <c r="E20" s="1" t="s">
        <v>335</v>
      </c>
      <c r="F20" s="122">
        <v>45931.637499999997</v>
      </c>
      <c r="G20" s="1" t="s">
        <v>279</v>
      </c>
      <c r="I20" s="1" t="s">
        <v>336</v>
      </c>
      <c r="K20" s="1" t="s">
        <v>337</v>
      </c>
      <c r="N20" s="1" t="s">
        <v>338</v>
      </c>
      <c r="O20" s="1">
        <v>701820</v>
      </c>
      <c r="P20" s="1">
        <v>4723341</v>
      </c>
      <c r="Q20" s="1" t="s">
        <v>303</v>
      </c>
      <c r="R20" s="1" t="s">
        <v>249</v>
      </c>
      <c r="S20" s="1" t="s">
        <v>250</v>
      </c>
      <c r="T20" s="1" t="s">
        <v>191</v>
      </c>
      <c r="U20" s="122">
        <v>44376.658333333333</v>
      </c>
      <c r="V20" s="1" t="s">
        <v>192</v>
      </c>
      <c r="W20" s="1" t="s">
        <v>21</v>
      </c>
      <c r="X20" s="1" t="s">
        <v>193</v>
      </c>
      <c r="Z20" s="1" t="s">
        <v>284</v>
      </c>
      <c r="AA20" s="1">
        <v>34822</v>
      </c>
      <c r="AB20" s="1">
        <v>0</v>
      </c>
      <c r="AC20" s="1">
        <v>0</v>
      </c>
      <c r="AD20" s="122">
        <v>45931.720833333333</v>
      </c>
      <c r="AE20" s="122">
        <v>45931.720833333333</v>
      </c>
      <c r="AF20" s="122">
        <v>45931.698611111111</v>
      </c>
      <c r="AG20" s="1">
        <v>0</v>
      </c>
      <c r="AH20" s="1">
        <v>0</v>
      </c>
      <c r="AI20" s="1" t="s">
        <v>195</v>
      </c>
      <c r="AL20" s="1" t="s">
        <v>196</v>
      </c>
      <c r="AO20" s="1" t="s">
        <v>113</v>
      </c>
      <c r="AP20" s="1" t="s">
        <v>339</v>
      </c>
      <c r="AQ20" s="122">
        <v>45931.698611111111</v>
      </c>
      <c r="AR20" s="1">
        <v>0</v>
      </c>
      <c r="AS20" s="1">
        <v>0</v>
      </c>
      <c r="AT20" s="1" t="s">
        <v>198</v>
      </c>
      <c r="AW20" s="1">
        <v>0</v>
      </c>
      <c r="AX20" s="1" t="s">
        <v>340</v>
      </c>
      <c r="AY20" s="1" t="s">
        <v>341</v>
      </c>
      <c r="AZ20" s="1" t="s">
        <v>342</v>
      </c>
      <c r="BA20" s="1" t="s">
        <v>180</v>
      </c>
      <c r="BB20" s="1">
        <v>530045</v>
      </c>
      <c r="BF20" s="122">
        <v>45931.635416666664</v>
      </c>
    </row>
    <row r="21" spans="1:58">
      <c r="A21" s="1">
        <v>14</v>
      </c>
      <c r="B21" s="1" t="s">
        <v>179</v>
      </c>
      <c r="C21" s="1" t="s">
        <v>180</v>
      </c>
      <c r="D21" s="1" t="s">
        <v>181</v>
      </c>
      <c r="E21" s="1" t="s">
        <v>343</v>
      </c>
      <c r="F21" s="122">
        <v>45931.731249999997</v>
      </c>
      <c r="G21" s="1" t="s">
        <v>279</v>
      </c>
      <c r="I21" s="1" t="s">
        <v>344</v>
      </c>
      <c r="K21" s="1" t="s">
        <v>345</v>
      </c>
      <c r="N21" s="1" t="s">
        <v>346</v>
      </c>
      <c r="O21" s="1">
        <v>691172</v>
      </c>
      <c r="P21" s="1">
        <v>8351382</v>
      </c>
      <c r="Q21" s="1" t="s">
        <v>260</v>
      </c>
      <c r="R21" s="1" t="s">
        <v>347</v>
      </c>
      <c r="S21" s="1" t="s">
        <v>348</v>
      </c>
      <c r="T21" s="1" t="s">
        <v>191</v>
      </c>
      <c r="U21" s="122">
        <v>44034.688194444447</v>
      </c>
      <c r="V21" s="1" t="s">
        <v>192</v>
      </c>
      <c r="W21" s="1" t="s">
        <v>19</v>
      </c>
      <c r="X21" s="1" t="s">
        <v>193</v>
      </c>
      <c r="Z21" s="1" t="s">
        <v>284</v>
      </c>
      <c r="AA21" s="1">
        <v>47243</v>
      </c>
      <c r="AB21" s="1">
        <v>0</v>
      </c>
      <c r="AC21" s="1">
        <v>0</v>
      </c>
      <c r="AD21" s="122">
        <v>45931.8125</v>
      </c>
      <c r="AE21" s="122">
        <v>45931.8125</v>
      </c>
      <c r="AF21" s="122">
        <v>45931.743055555555</v>
      </c>
      <c r="AG21" s="1">
        <v>0</v>
      </c>
      <c r="AH21" s="1">
        <v>0</v>
      </c>
      <c r="AI21" s="1" t="s">
        <v>195</v>
      </c>
      <c r="AL21" s="1" t="s">
        <v>196</v>
      </c>
      <c r="AO21" s="1" t="s">
        <v>113</v>
      </c>
      <c r="AP21" s="1" t="s">
        <v>349</v>
      </c>
      <c r="AQ21" s="122">
        <v>45931.756249999999</v>
      </c>
      <c r="AR21" s="1">
        <v>0</v>
      </c>
      <c r="AS21" s="1">
        <v>0</v>
      </c>
      <c r="AT21" s="1" t="s">
        <v>198</v>
      </c>
      <c r="AW21" s="1">
        <v>0</v>
      </c>
      <c r="AX21" s="1" t="s">
        <v>350</v>
      </c>
      <c r="AY21" s="1" t="s">
        <v>351</v>
      </c>
      <c r="AZ21" s="1" t="s">
        <v>288</v>
      </c>
      <c r="BA21" s="1" t="s">
        <v>180</v>
      </c>
      <c r="BB21" s="1">
        <v>530045</v>
      </c>
      <c r="BF21" s="122">
        <v>45931.729861111111</v>
      </c>
    </row>
    <row r="22" spans="1:58">
      <c r="A22" s="1">
        <v>15</v>
      </c>
      <c r="B22" s="1" t="s">
        <v>179</v>
      </c>
      <c r="C22" s="1" t="s">
        <v>180</v>
      </c>
      <c r="D22" s="1" t="s">
        <v>181</v>
      </c>
      <c r="E22" s="1" t="s">
        <v>352</v>
      </c>
      <c r="F22" s="122">
        <v>45931.425000000003</v>
      </c>
      <c r="G22" s="1" t="s">
        <v>218</v>
      </c>
      <c r="I22" s="1" t="s">
        <v>353</v>
      </c>
      <c r="K22" s="1" t="s">
        <v>354</v>
      </c>
      <c r="M22" s="1" t="s">
        <v>206</v>
      </c>
      <c r="N22" s="1" t="s">
        <v>355</v>
      </c>
      <c r="O22" s="1">
        <v>148074</v>
      </c>
      <c r="P22" s="1">
        <v>7039084</v>
      </c>
      <c r="Q22" s="1" t="s">
        <v>235</v>
      </c>
      <c r="R22" s="1" t="s">
        <v>356</v>
      </c>
      <c r="S22" s="1" t="s">
        <v>357</v>
      </c>
      <c r="T22" s="1" t="s">
        <v>191</v>
      </c>
      <c r="U22" s="122">
        <v>44848.813888888886</v>
      </c>
      <c r="V22" s="1" t="s">
        <v>192</v>
      </c>
      <c r="W22" s="1" t="s">
        <v>19</v>
      </c>
      <c r="X22" s="1" t="s">
        <v>193</v>
      </c>
      <c r="Z22" s="1" t="s">
        <v>3</v>
      </c>
      <c r="AA22" s="1">
        <v>79486</v>
      </c>
      <c r="AB22" s="1">
        <v>3500</v>
      </c>
      <c r="AC22" s="1">
        <v>5000</v>
      </c>
      <c r="AD22" s="122">
        <v>45931.8125</v>
      </c>
      <c r="AE22" s="122">
        <v>45931.8125</v>
      </c>
      <c r="AF22" s="122">
        <v>45931.780555555553</v>
      </c>
      <c r="AG22" s="1">
        <v>5000</v>
      </c>
      <c r="AH22" s="1">
        <v>3500</v>
      </c>
      <c r="AI22" s="1" t="s">
        <v>195</v>
      </c>
      <c r="AL22" s="1" t="s">
        <v>196</v>
      </c>
      <c r="AO22" s="1" t="s">
        <v>113</v>
      </c>
      <c r="AP22" s="1" t="s">
        <v>358</v>
      </c>
      <c r="AQ22" s="122">
        <v>45931.780555555553</v>
      </c>
      <c r="AR22" s="1">
        <v>3385.42</v>
      </c>
      <c r="AS22" s="1">
        <v>4998.37</v>
      </c>
      <c r="AT22" s="1" t="s">
        <v>198</v>
      </c>
      <c r="AU22" s="121">
        <v>45931</v>
      </c>
      <c r="AW22" s="1">
        <v>8384</v>
      </c>
      <c r="AX22" s="1" t="s">
        <v>359</v>
      </c>
      <c r="AY22" s="1" t="s">
        <v>360</v>
      </c>
      <c r="AZ22" s="1" t="s">
        <v>361</v>
      </c>
      <c r="BA22" s="1" t="s">
        <v>180</v>
      </c>
      <c r="BB22" s="1">
        <v>530045</v>
      </c>
      <c r="BE22" s="1" t="s">
        <v>362</v>
      </c>
      <c r="BF22" s="122">
        <v>45931.417361111111</v>
      </c>
    </row>
    <row r="23" spans="1:58">
      <c r="A23" s="1">
        <v>16</v>
      </c>
      <c r="B23" s="1" t="s">
        <v>179</v>
      </c>
      <c r="C23" s="1" t="s">
        <v>180</v>
      </c>
      <c r="D23" s="1" t="s">
        <v>181</v>
      </c>
      <c r="E23" s="1" t="s">
        <v>363</v>
      </c>
      <c r="F23" s="122">
        <v>45931.402777777781</v>
      </c>
      <c r="G23" s="1" t="s">
        <v>218</v>
      </c>
      <c r="I23" s="1" t="s">
        <v>364</v>
      </c>
      <c r="K23" s="1" t="s">
        <v>365</v>
      </c>
      <c r="M23" s="1" t="s">
        <v>186</v>
      </c>
      <c r="N23" s="1" t="s">
        <v>366</v>
      </c>
      <c r="O23" s="1">
        <v>375041</v>
      </c>
      <c r="P23" s="1">
        <v>4203328</v>
      </c>
      <c r="Q23" s="1" t="s">
        <v>283</v>
      </c>
      <c r="R23" s="1" t="s">
        <v>367</v>
      </c>
      <c r="S23" s="1" t="s">
        <v>368</v>
      </c>
      <c r="T23" s="1" t="s">
        <v>191</v>
      </c>
      <c r="U23" s="122">
        <v>44993.448611111111</v>
      </c>
      <c r="V23" s="1" t="s">
        <v>192</v>
      </c>
      <c r="W23" s="1" t="s">
        <v>19</v>
      </c>
      <c r="X23" s="1" t="s">
        <v>193</v>
      </c>
      <c r="Z23" s="1" t="s">
        <v>3</v>
      </c>
      <c r="AA23" s="1">
        <v>39291</v>
      </c>
      <c r="AB23" s="1">
        <v>2500</v>
      </c>
      <c r="AC23" s="1">
        <v>5000</v>
      </c>
      <c r="AD23" s="122">
        <v>45931.8125</v>
      </c>
      <c r="AE23" s="122">
        <v>45931.8125</v>
      </c>
      <c r="AF23" s="122">
        <v>45931.71875</v>
      </c>
      <c r="AG23" s="1">
        <v>5000</v>
      </c>
      <c r="AH23" s="1">
        <v>2500</v>
      </c>
      <c r="AI23" s="1" t="s">
        <v>195</v>
      </c>
      <c r="AL23" s="1" t="s">
        <v>196</v>
      </c>
      <c r="AO23" s="1" t="s">
        <v>113</v>
      </c>
      <c r="AP23" s="1" t="s">
        <v>369</v>
      </c>
      <c r="AQ23" s="122">
        <v>45931.71875</v>
      </c>
      <c r="AR23" s="1">
        <v>2750.58</v>
      </c>
      <c r="AS23" s="1">
        <v>3221.17</v>
      </c>
      <c r="AT23" s="1" t="s">
        <v>198</v>
      </c>
      <c r="AU23" s="121">
        <v>45931</v>
      </c>
      <c r="AW23" s="1">
        <v>5972</v>
      </c>
      <c r="AX23" s="1" t="s">
        <v>370</v>
      </c>
      <c r="AY23" s="1" t="s">
        <v>371</v>
      </c>
      <c r="AZ23" s="1" t="s">
        <v>372</v>
      </c>
      <c r="BA23" s="1" t="s">
        <v>180</v>
      </c>
      <c r="BB23" s="1">
        <v>530012</v>
      </c>
      <c r="BE23" s="1" t="s">
        <v>373</v>
      </c>
      <c r="BF23" s="122">
        <v>45931.390277777777</v>
      </c>
    </row>
    <row r="24" spans="1:58">
      <c r="A24" s="1">
        <v>17</v>
      </c>
      <c r="B24" s="1" t="s">
        <v>179</v>
      </c>
      <c r="C24" s="1" t="s">
        <v>180</v>
      </c>
      <c r="D24" s="1" t="s">
        <v>181</v>
      </c>
      <c r="E24" s="1" t="s">
        <v>374</v>
      </c>
      <c r="F24" s="122">
        <v>45931.659722222219</v>
      </c>
      <c r="G24" s="1" t="s">
        <v>244</v>
      </c>
      <c r="I24" s="1" t="s">
        <v>375</v>
      </c>
      <c r="K24" s="1" t="s">
        <v>376</v>
      </c>
      <c r="M24" s="1" t="s">
        <v>206</v>
      </c>
      <c r="N24" s="1" t="s">
        <v>377</v>
      </c>
      <c r="O24" s="1">
        <v>1390331</v>
      </c>
      <c r="P24" s="1">
        <v>3671743</v>
      </c>
      <c r="Q24" s="1" t="s">
        <v>208</v>
      </c>
      <c r="R24" s="1" t="s">
        <v>378</v>
      </c>
      <c r="S24" s="1" t="s">
        <v>379</v>
      </c>
      <c r="T24" s="1" t="s">
        <v>191</v>
      </c>
      <c r="U24" s="122">
        <v>40019.663194444445</v>
      </c>
      <c r="V24" s="1" t="s">
        <v>192</v>
      </c>
      <c r="W24" s="1" t="s">
        <v>19</v>
      </c>
      <c r="X24" s="1" t="s">
        <v>226</v>
      </c>
      <c r="Z24" s="1" t="s">
        <v>4</v>
      </c>
      <c r="AA24" s="1">
        <v>54250</v>
      </c>
      <c r="AB24" s="1">
        <v>0</v>
      </c>
      <c r="AC24" s="1">
        <v>0</v>
      </c>
      <c r="AD24" s="122">
        <v>45931.770138888889</v>
      </c>
      <c r="AE24" s="122">
        <v>45931.770138888889</v>
      </c>
      <c r="AF24" s="122">
        <v>45931.822222222225</v>
      </c>
      <c r="AG24" s="1">
        <v>0</v>
      </c>
      <c r="AH24" s="1">
        <v>0</v>
      </c>
      <c r="AI24" s="1" t="s">
        <v>195</v>
      </c>
      <c r="AL24" s="1" t="s">
        <v>196</v>
      </c>
      <c r="AO24" s="1" t="s">
        <v>113</v>
      </c>
      <c r="AP24" s="1" t="s">
        <v>380</v>
      </c>
      <c r="AQ24" s="122">
        <v>45931.822222222225</v>
      </c>
      <c r="AR24" s="1">
        <v>70.010000000000005</v>
      </c>
      <c r="AS24" s="1">
        <v>510</v>
      </c>
      <c r="AT24" s="1" t="s">
        <v>198</v>
      </c>
      <c r="AW24" s="1">
        <v>580</v>
      </c>
      <c r="AX24" s="1" t="s">
        <v>381</v>
      </c>
      <c r="AY24" s="1" t="s">
        <v>382</v>
      </c>
      <c r="AZ24" s="1" t="s">
        <v>383</v>
      </c>
      <c r="BA24" s="1" t="s">
        <v>180</v>
      </c>
      <c r="BB24" s="1">
        <v>530047</v>
      </c>
      <c r="BE24" s="1" t="s">
        <v>384</v>
      </c>
      <c r="BF24" s="122">
        <v>45931.657638888886</v>
      </c>
    </row>
    <row r="25" spans="1:58">
      <c r="A25" s="1">
        <v>18</v>
      </c>
      <c r="B25" s="1" t="s">
        <v>179</v>
      </c>
      <c r="C25" s="1" t="s">
        <v>180</v>
      </c>
      <c r="D25" s="1" t="s">
        <v>181</v>
      </c>
      <c r="E25" s="1" t="s">
        <v>385</v>
      </c>
      <c r="F25" s="122">
        <v>45931.45</v>
      </c>
      <c r="G25" s="1" t="s">
        <v>279</v>
      </c>
      <c r="I25" s="1" t="s">
        <v>386</v>
      </c>
      <c r="K25" s="1" t="s">
        <v>387</v>
      </c>
      <c r="M25" s="1" t="s">
        <v>206</v>
      </c>
      <c r="N25" s="1" t="s">
        <v>388</v>
      </c>
      <c r="O25" s="1">
        <v>111815</v>
      </c>
      <c r="P25" s="1">
        <v>7048496</v>
      </c>
      <c r="Q25" s="1" t="s">
        <v>188</v>
      </c>
      <c r="R25" s="1" t="s">
        <v>389</v>
      </c>
      <c r="S25" s="1" t="s">
        <v>390</v>
      </c>
      <c r="T25" s="1" t="s">
        <v>191</v>
      </c>
      <c r="U25" s="122">
        <v>44957.59375</v>
      </c>
      <c r="V25" s="1" t="s">
        <v>192</v>
      </c>
      <c r="W25" s="1" t="s">
        <v>19</v>
      </c>
      <c r="X25" s="1" t="s">
        <v>193</v>
      </c>
      <c r="Z25" s="1" t="s">
        <v>284</v>
      </c>
      <c r="AA25" s="1">
        <v>26510</v>
      </c>
      <c r="AB25" s="1">
        <v>0</v>
      </c>
      <c r="AC25" s="1">
        <v>0</v>
      </c>
      <c r="AD25" s="122">
        <v>45931.6875</v>
      </c>
      <c r="AE25" s="122">
        <v>45931.6875</v>
      </c>
      <c r="AF25" s="122">
        <v>45931.461111111108</v>
      </c>
      <c r="AG25" s="1">
        <v>0</v>
      </c>
      <c r="AH25" s="1">
        <v>0</v>
      </c>
      <c r="AI25" s="1" t="s">
        <v>195</v>
      </c>
      <c r="AL25" s="1" t="s">
        <v>196</v>
      </c>
      <c r="AO25" s="1" t="s">
        <v>113</v>
      </c>
      <c r="AP25" s="1" t="s">
        <v>391</v>
      </c>
      <c r="AQ25" s="122">
        <v>45931.513194444444</v>
      </c>
      <c r="AR25" s="1">
        <v>354</v>
      </c>
      <c r="AS25" s="1">
        <v>0</v>
      </c>
      <c r="AT25" s="1" t="s">
        <v>198</v>
      </c>
      <c r="AW25" s="1">
        <v>354</v>
      </c>
      <c r="AX25" s="1" t="s">
        <v>392</v>
      </c>
      <c r="AY25" s="1" t="s">
        <v>393</v>
      </c>
      <c r="BA25" s="1" t="s">
        <v>180</v>
      </c>
      <c r="BB25" s="1">
        <v>533401</v>
      </c>
      <c r="BE25" s="1" t="s">
        <v>394</v>
      </c>
      <c r="BF25" s="122">
        <v>45931.447916666664</v>
      </c>
    </row>
    <row r="26" spans="1:58">
      <c r="A26" s="1">
        <v>19</v>
      </c>
      <c r="B26" s="1" t="s">
        <v>179</v>
      </c>
      <c r="C26" s="1" t="s">
        <v>180</v>
      </c>
      <c r="D26" s="1" t="s">
        <v>181</v>
      </c>
      <c r="E26" s="1" t="s">
        <v>395</v>
      </c>
      <c r="F26" s="122">
        <v>45931.539583333331</v>
      </c>
      <c r="G26" s="1" t="s">
        <v>183</v>
      </c>
      <c r="I26" s="1" t="s">
        <v>396</v>
      </c>
      <c r="K26" s="1" t="s">
        <v>397</v>
      </c>
      <c r="M26" s="1" t="s">
        <v>206</v>
      </c>
      <c r="N26" s="1" t="s">
        <v>398</v>
      </c>
      <c r="O26" s="1">
        <v>325493</v>
      </c>
      <c r="P26" s="1" t="s">
        <v>399</v>
      </c>
      <c r="Q26" s="1" t="s">
        <v>235</v>
      </c>
      <c r="R26" s="1" t="s">
        <v>400</v>
      </c>
      <c r="S26" s="1" t="s">
        <v>317</v>
      </c>
      <c r="T26" s="1" t="s">
        <v>191</v>
      </c>
      <c r="U26" s="122">
        <v>45806.825694444444</v>
      </c>
      <c r="V26" s="1" t="s">
        <v>192</v>
      </c>
      <c r="W26" s="1" t="s">
        <v>19</v>
      </c>
      <c r="X26" s="1" t="s">
        <v>193</v>
      </c>
      <c r="Z26" s="1" t="s">
        <v>194</v>
      </c>
      <c r="AA26" s="1">
        <v>5560</v>
      </c>
      <c r="AB26" s="1">
        <v>0</v>
      </c>
      <c r="AC26" s="1">
        <v>100</v>
      </c>
      <c r="AD26" s="122">
        <v>45931.811805555553</v>
      </c>
      <c r="AE26" s="122">
        <v>45931.811805555553</v>
      </c>
      <c r="AF26" s="122">
        <v>45931.707638888889</v>
      </c>
      <c r="AG26" s="1">
        <v>100</v>
      </c>
      <c r="AH26" s="1">
        <v>0</v>
      </c>
      <c r="AI26" s="1" t="s">
        <v>195</v>
      </c>
      <c r="AL26" s="1" t="s">
        <v>196</v>
      </c>
      <c r="AO26" s="1" t="s">
        <v>113</v>
      </c>
      <c r="AP26" s="1" t="s">
        <v>401</v>
      </c>
      <c r="AQ26" s="122">
        <v>45931.708333333336</v>
      </c>
      <c r="AR26" s="1">
        <v>0</v>
      </c>
      <c r="AS26" s="1">
        <v>53.96</v>
      </c>
      <c r="AT26" s="1" t="s">
        <v>198</v>
      </c>
      <c r="AU26" s="121">
        <v>45931</v>
      </c>
      <c r="AW26" s="1">
        <v>54</v>
      </c>
      <c r="AX26" s="1" t="s">
        <v>402</v>
      </c>
      <c r="AY26" s="1" t="s">
        <v>403</v>
      </c>
      <c r="AZ26" s="1" t="s">
        <v>404</v>
      </c>
      <c r="BA26" s="1" t="s">
        <v>180</v>
      </c>
      <c r="BB26" s="1">
        <v>530041</v>
      </c>
      <c r="BF26" s="122">
        <v>45931.537499999999</v>
      </c>
    </row>
    <row r="27" spans="1:58">
      <c r="A27" s="1">
        <v>20</v>
      </c>
      <c r="B27" s="1" t="s">
        <v>179</v>
      </c>
      <c r="C27" s="1" t="s">
        <v>180</v>
      </c>
      <c r="D27" s="1" t="s">
        <v>181</v>
      </c>
      <c r="E27" s="1" t="s">
        <v>405</v>
      </c>
      <c r="F27" s="122">
        <v>45931.470833333333</v>
      </c>
      <c r="G27" s="1" t="s">
        <v>279</v>
      </c>
      <c r="I27" s="1" t="s">
        <v>406</v>
      </c>
      <c r="K27" s="1" t="s">
        <v>407</v>
      </c>
      <c r="M27" s="1" t="s">
        <v>408</v>
      </c>
      <c r="N27" s="1" t="s">
        <v>409</v>
      </c>
      <c r="O27" s="1">
        <v>370515</v>
      </c>
      <c r="P27" s="1">
        <v>4798025</v>
      </c>
      <c r="Q27" s="1" t="s">
        <v>235</v>
      </c>
      <c r="R27" s="1" t="s">
        <v>410</v>
      </c>
      <c r="S27" s="1" t="s">
        <v>411</v>
      </c>
      <c r="T27" s="1" t="s">
        <v>191</v>
      </c>
      <c r="U27" s="122">
        <v>44830.770833333336</v>
      </c>
      <c r="V27" s="1" t="s">
        <v>192</v>
      </c>
      <c r="W27" s="1" t="s">
        <v>19</v>
      </c>
      <c r="X27" s="1" t="s">
        <v>193</v>
      </c>
      <c r="Z27" s="1" t="s">
        <v>284</v>
      </c>
      <c r="AA27" s="1">
        <v>26794</v>
      </c>
      <c r="AB27" s="1">
        <v>0</v>
      </c>
      <c r="AC27" s="1">
        <v>0</v>
      </c>
      <c r="AD27" s="122">
        <v>45931.678472222222</v>
      </c>
      <c r="AE27" s="122">
        <v>45931.678472222222</v>
      </c>
      <c r="AF27" s="122">
        <v>45931.564583333333</v>
      </c>
      <c r="AG27" s="1">
        <v>0</v>
      </c>
      <c r="AH27" s="1">
        <v>0</v>
      </c>
      <c r="AI27" s="1" t="s">
        <v>195</v>
      </c>
      <c r="AL27" s="1" t="s">
        <v>196</v>
      </c>
      <c r="AO27" s="1" t="s">
        <v>113</v>
      </c>
      <c r="AP27" s="1" t="s">
        <v>412</v>
      </c>
      <c r="AQ27" s="122">
        <v>45931.56527777778</v>
      </c>
      <c r="AR27" s="1">
        <v>0</v>
      </c>
      <c r="AS27" s="1">
        <v>0</v>
      </c>
      <c r="AT27" s="1" t="s">
        <v>413</v>
      </c>
      <c r="AW27" s="1">
        <v>0</v>
      </c>
      <c r="AX27" s="1" t="s">
        <v>414</v>
      </c>
      <c r="AY27" s="1" t="s">
        <v>415</v>
      </c>
      <c r="AZ27" s="1" t="s">
        <v>416</v>
      </c>
      <c r="BA27" s="1" t="s">
        <v>180</v>
      </c>
      <c r="BB27" s="1">
        <v>530008</v>
      </c>
      <c r="BE27" s="1" t="s">
        <v>417</v>
      </c>
      <c r="BF27" s="122">
        <v>45931.463888888888</v>
      </c>
    </row>
    <row r="28" spans="1:58">
      <c r="A28" s="1">
        <v>21</v>
      </c>
      <c r="B28" s="1" t="s">
        <v>179</v>
      </c>
      <c r="C28" s="1" t="s">
        <v>180</v>
      </c>
      <c r="D28" s="1" t="s">
        <v>181</v>
      </c>
      <c r="E28" s="1" t="s">
        <v>418</v>
      </c>
      <c r="F28" s="122">
        <v>45933.384722222225</v>
      </c>
      <c r="G28" s="1" t="s">
        <v>218</v>
      </c>
      <c r="I28" s="1" t="s">
        <v>419</v>
      </c>
      <c r="K28" s="1" t="s">
        <v>420</v>
      </c>
      <c r="M28" s="1" t="s">
        <v>408</v>
      </c>
      <c r="N28" s="1" t="s">
        <v>421</v>
      </c>
      <c r="O28" s="1">
        <v>489617</v>
      </c>
      <c r="P28" s="1">
        <v>1404068</v>
      </c>
      <c r="Q28" s="1" t="s">
        <v>235</v>
      </c>
      <c r="R28" s="1" t="s">
        <v>422</v>
      </c>
      <c r="S28" s="1" t="s">
        <v>423</v>
      </c>
      <c r="T28" s="1" t="s">
        <v>191</v>
      </c>
      <c r="U28" s="122">
        <v>45289.875694444447</v>
      </c>
      <c r="V28" s="1" t="s">
        <v>192</v>
      </c>
      <c r="W28" s="1" t="s">
        <v>19</v>
      </c>
      <c r="X28" s="1" t="s">
        <v>193</v>
      </c>
      <c r="Z28" s="1" t="s">
        <v>3</v>
      </c>
      <c r="AA28" s="1">
        <v>11193</v>
      </c>
      <c r="AB28" s="1">
        <v>2500</v>
      </c>
      <c r="AC28" s="1">
        <v>5000</v>
      </c>
      <c r="AD28" s="122">
        <v>45933.771527777775</v>
      </c>
      <c r="AE28" s="122">
        <v>45933.771527777775</v>
      </c>
      <c r="AF28" s="122">
        <v>45933.73333333333</v>
      </c>
      <c r="AG28" s="1">
        <v>2374.5</v>
      </c>
      <c r="AH28" s="1">
        <v>2720</v>
      </c>
      <c r="AI28" s="1" t="s">
        <v>195</v>
      </c>
      <c r="AJ28" s="122">
        <v>45933.475694444445</v>
      </c>
      <c r="AK28" s="122">
        <v>45933.475694444445</v>
      </c>
      <c r="AL28" s="1" t="s">
        <v>212</v>
      </c>
      <c r="AO28" s="1" t="s">
        <v>113</v>
      </c>
      <c r="AP28" s="1" t="s">
        <v>424</v>
      </c>
      <c r="AQ28" s="122">
        <v>45933.734027777777</v>
      </c>
      <c r="AR28" s="1">
        <v>3403.26</v>
      </c>
      <c r="AS28" s="1">
        <v>6810.71</v>
      </c>
      <c r="AT28" s="1" t="s">
        <v>198</v>
      </c>
      <c r="AU28" s="121">
        <v>45933</v>
      </c>
      <c r="AW28" s="1">
        <v>10214</v>
      </c>
      <c r="AX28" s="1" t="s">
        <v>425</v>
      </c>
      <c r="AY28" s="1" t="s">
        <v>426</v>
      </c>
      <c r="BA28" s="1" t="s">
        <v>180</v>
      </c>
      <c r="BB28" s="1">
        <v>530045</v>
      </c>
      <c r="BE28" s="1" t="s">
        <v>427</v>
      </c>
      <c r="BF28" s="122">
        <v>45933.379861111112</v>
      </c>
    </row>
    <row r="29" spans="1:58">
      <c r="A29" s="1">
        <v>22</v>
      </c>
      <c r="B29" s="1" t="s">
        <v>179</v>
      </c>
      <c r="C29" s="1" t="s">
        <v>180</v>
      </c>
      <c r="D29" s="1" t="s">
        <v>181</v>
      </c>
      <c r="E29" s="1" t="s">
        <v>428</v>
      </c>
      <c r="F29" s="122">
        <v>45933.472222222219</v>
      </c>
      <c r="G29" s="1" t="s">
        <v>244</v>
      </c>
      <c r="H29" s="1" t="s">
        <v>429</v>
      </c>
      <c r="I29" s="1" t="s">
        <v>430</v>
      </c>
      <c r="K29" s="1" t="s">
        <v>431</v>
      </c>
      <c r="M29" s="1" t="s">
        <v>206</v>
      </c>
      <c r="N29" s="1" t="s">
        <v>432</v>
      </c>
      <c r="O29" s="1">
        <v>789518</v>
      </c>
      <c r="P29" s="1">
        <v>7407574</v>
      </c>
      <c r="Q29" s="1" t="s">
        <v>433</v>
      </c>
      <c r="R29" s="1" t="s">
        <v>261</v>
      </c>
      <c r="S29" s="1" t="s">
        <v>262</v>
      </c>
      <c r="T29" s="1" t="s">
        <v>191</v>
      </c>
      <c r="U29" s="122">
        <v>41972.560416666667</v>
      </c>
      <c r="V29" s="1" t="s">
        <v>192</v>
      </c>
      <c r="W29" s="1" t="s">
        <v>19</v>
      </c>
      <c r="X29" s="1" t="s">
        <v>193</v>
      </c>
      <c r="Z29" s="1" t="s">
        <v>4</v>
      </c>
      <c r="AA29" s="1">
        <v>77006</v>
      </c>
      <c r="AB29" s="1">
        <v>0</v>
      </c>
      <c r="AC29" s="1">
        <v>0</v>
      </c>
      <c r="AD29" s="122">
        <v>45933.6875</v>
      </c>
      <c r="AE29" s="122">
        <v>45933.6875</v>
      </c>
      <c r="AF29" s="122">
        <v>45933.489583333336</v>
      </c>
      <c r="AG29" s="1">
        <v>0</v>
      </c>
      <c r="AH29" s="1">
        <v>0</v>
      </c>
      <c r="AI29" s="1" t="s">
        <v>195</v>
      </c>
      <c r="AJ29" s="122">
        <v>45933.486805555556</v>
      </c>
      <c r="AK29" s="122">
        <v>45933.486805555556</v>
      </c>
      <c r="AL29" s="1" t="s">
        <v>212</v>
      </c>
      <c r="AO29" s="1" t="s">
        <v>113</v>
      </c>
      <c r="AP29" s="1" t="s">
        <v>434</v>
      </c>
      <c r="AQ29" s="122">
        <v>45933.490277777775</v>
      </c>
      <c r="AR29" s="1">
        <v>490.04</v>
      </c>
      <c r="AS29" s="1">
        <v>3286</v>
      </c>
      <c r="AT29" s="1" t="s">
        <v>198</v>
      </c>
      <c r="AU29" s="121">
        <v>45933</v>
      </c>
      <c r="AW29" s="1">
        <v>3776</v>
      </c>
      <c r="AX29" s="1" t="s">
        <v>435</v>
      </c>
      <c r="AY29" s="1" t="s">
        <v>436</v>
      </c>
      <c r="AZ29" s="1" t="s">
        <v>437</v>
      </c>
      <c r="BA29" s="1" t="s">
        <v>180</v>
      </c>
      <c r="BB29" s="1">
        <v>530018</v>
      </c>
      <c r="BE29" s="1" t="s">
        <v>438</v>
      </c>
      <c r="BF29" s="122">
        <v>45933.470138888886</v>
      </c>
    </row>
    <row r="30" spans="1:58">
      <c r="A30" s="1">
        <v>23</v>
      </c>
      <c r="B30" s="1" t="s">
        <v>179</v>
      </c>
      <c r="C30" s="1" t="s">
        <v>180</v>
      </c>
      <c r="D30" s="1" t="s">
        <v>181</v>
      </c>
      <c r="E30" s="1" t="s">
        <v>439</v>
      </c>
      <c r="F30" s="122">
        <v>45934.5</v>
      </c>
      <c r="G30" s="1" t="s">
        <v>218</v>
      </c>
      <c r="I30" s="1" t="s">
        <v>440</v>
      </c>
      <c r="K30" s="1" t="s">
        <v>441</v>
      </c>
      <c r="M30" s="1" t="s">
        <v>233</v>
      </c>
      <c r="N30" s="1" t="s">
        <v>442</v>
      </c>
      <c r="O30" s="1">
        <v>584326</v>
      </c>
      <c r="P30" s="1">
        <v>4544485</v>
      </c>
      <c r="Q30" s="1" t="s">
        <v>443</v>
      </c>
      <c r="R30" s="1" t="s">
        <v>444</v>
      </c>
      <c r="S30" s="1" t="s">
        <v>262</v>
      </c>
      <c r="T30" s="1" t="s">
        <v>191</v>
      </c>
      <c r="U30" s="122">
        <v>41593.843055555553</v>
      </c>
      <c r="V30" s="1" t="s">
        <v>192</v>
      </c>
      <c r="W30" s="1" t="s">
        <v>19</v>
      </c>
      <c r="X30" s="1" t="s">
        <v>193</v>
      </c>
      <c r="Z30" s="1" t="s">
        <v>3</v>
      </c>
      <c r="AA30" s="1">
        <v>39171</v>
      </c>
      <c r="AB30" s="1">
        <v>3000</v>
      </c>
      <c r="AC30" s="1">
        <v>5000</v>
      </c>
      <c r="AD30" s="122">
        <v>45934.770833333336</v>
      </c>
      <c r="AE30" s="122">
        <v>45934.770833333336</v>
      </c>
      <c r="AF30" s="122">
        <v>45934.713194444441</v>
      </c>
      <c r="AG30" s="1">
        <v>5000</v>
      </c>
      <c r="AH30" s="1">
        <v>290</v>
      </c>
      <c r="AI30" s="1" t="s">
        <v>195</v>
      </c>
      <c r="AJ30" s="122">
        <v>45934.645138888889</v>
      </c>
      <c r="AK30" s="122">
        <v>45934.645833333336</v>
      </c>
      <c r="AL30" s="1" t="s">
        <v>212</v>
      </c>
      <c r="AO30" s="1" t="s">
        <v>113</v>
      </c>
      <c r="AP30" s="1" t="s">
        <v>445</v>
      </c>
      <c r="AQ30" s="122">
        <v>45934.714583333334</v>
      </c>
      <c r="AR30" s="1">
        <v>2385.7399999999998</v>
      </c>
      <c r="AS30" s="1">
        <v>4423.8900000000003</v>
      </c>
      <c r="AT30" s="1" t="s">
        <v>198</v>
      </c>
      <c r="AU30" s="121">
        <v>45934</v>
      </c>
      <c r="AW30" s="1">
        <v>6810</v>
      </c>
      <c r="AX30" s="1" t="s">
        <v>446</v>
      </c>
      <c r="AY30" s="1" t="s">
        <v>447</v>
      </c>
      <c r="AZ30" s="1" t="s">
        <v>288</v>
      </c>
      <c r="BA30" s="1" t="s">
        <v>180</v>
      </c>
      <c r="BB30" s="1">
        <v>530045</v>
      </c>
      <c r="BC30" s="121">
        <v>23536</v>
      </c>
      <c r="BE30" s="1" t="s">
        <v>448</v>
      </c>
      <c r="BF30" s="122">
        <v>45934.496527777781</v>
      </c>
    </row>
    <row r="31" spans="1:58">
      <c r="A31" s="1">
        <v>24</v>
      </c>
      <c r="B31" s="1" t="s">
        <v>179</v>
      </c>
      <c r="C31" s="1" t="s">
        <v>180</v>
      </c>
      <c r="D31" s="1" t="s">
        <v>181</v>
      </c>
      <c r="E31" s="1" t="s">
        <v>449</v>
      </c>
      <c r="F31" s="122">
        <v>45934.63958333333</v>
      </c>
      <c r="G31" s="1" t="s">
        <v>244</v>
      </c>
      <c r="I31" s="1" t="s">
        <v>450</v>
      </c>
      <c r="K31" s="1" t="s">
        <v>451</v>
      </c>
      <c r="M31" s="1" t="s">
        <v>186</v>
      </c>
      <c r="N31" s="1" t="s">
        <v>452</v>
      </c>
      <c r="O31" s="1">
        <v>168299</v>
      </c>
      <c r="P31" s="1">
        <v>7062137</v>
      </c>
      <c r="Q31" s="1" t="s">
        <v>235</v>
      </c>
      <c r="R31" s="1" t="s">
        <v>453</v>
      </c>
      <c r="S31" s="1" t="s">
        <v>368</v>
      </c>
      <c r="T31" s="1" t="s">
        <v>454</v>
      </c>
      <c r="U31" s="122">
        <v>44712.847222222219</v>
      </c>
      <c r="V31" s="1" t="s">
        <v>192</v>
      </c>
      <c r="W31" s="1" t="s">
        <v>19</v>
      </c>
      <c r="X31" s="1" t="s">
        <v>193</v>
      </c>
      <c r="Z31" s="1" t="s">
        <v>4</v>
      </c>
      <c r="AA31" s="1">
        <v>87590</v>
      </c>
      <c r="AB31" s="1">
        <v>1000</v>
      </c>
      <c r="AC31" s="1">
        <v>3000</v>
      </c>
      <c r="AD31" s="122">
        <v>45934.8125</v>
      </c>
      <c r="AE31" s="122">
        <v>45934.8125</v>
      </c>
      <c r="AF31" s="122">
        <v>45934.706250000003</v>
      </c>
      <c r="AG31" s="1">
        <v>3000</v>
      </c>
      <c r="AH31" s="1">
        <v>0</v>
      </c>
      <c r="AI31" s="1" t="s">
        <v>195</v>
      </c>
      <c r="AJ31" s="122">
        <v>45934.647916666669</v>
      </c>
      <c r="AK31" s="122">
        <v>45934.648611111108</v>
      </c>
      <c r="AL31" s="1" t="s">
        <v>212</v>
      </c>
      <c r="AO31" s="1" t="s">
        <v>113</v>
      </c>
      <c r="AP31" s="1" t="s">
        <v>455</v>
      </c>
      <c r="AQ31" s="122">
        <v>45934.707638888889</v>
      </c>
      <c r="AR31" s="1">
        <v>496.8</v>
      </c>
      <c r="AS31" s="1">
        <v>3221.96</v>
      </c>
      <c r="AT31" s="1" t="s">
        <v>198</v>
      </c>
      <c r="AU31" s="121">
        <v>45934</v>
      </c>
      <c r="AW31" s="1">
        <v>3719</v>
      </c>
      <c r="AX31" s="1" t="s">
        <v>456</v>
      </c>
      <c r="AY31" s="1" t="s">
        <v>457</v>
      </c>
      <c r="AZ31" s="1" t="s">
        <v>458</v>
      </c>
      <c r="BA31" s="1" t="s">
        <v>180</v>
      </c>
      <c r="BB31" s="1">
        <v>530046</v>
      </c>
      <c r="BE31" s="1" t="s">
        <v>459</v>
      </c>
      <c r="BF31" s="122">
        <v>45934.637499999997</v>
      </c>
    </row>
    <row r="32" spans="1:58">
      <c r="A32" s="1">
        <v>25</v>
      </c>
      <c r="B32" s="1" t="s">
        <v>179</v>
      </c>
      <c r="C32" s="1" t="s">
        <v>180</v>
      </c>
      <c r="D32" s="1" t="s">
        <v>181</v>
      </c>
      <c r="E32" s="1" t="s">
        <v>460</v>
      </c>
      <c r="F32" s="122">
        <v>45934.633333333331</v>
      </c>
      <c r="G32" s="1" t="s">
        <v>244</v>
      </c>
      <c r="I32" s="1" t="s">
        <v>461</v>
      </c>
      <c r="K32" s="1" t="s">
        <v>462</v>
      </c>
      <c r="M32" s="1" t="s">
        <v>186</v>
      </c>
      <c r="N32" s="1" t="s">
        <v>463</v>
      </c>
      <c r="O32" s="1">
        <v>403641</v>
      </c>
      <c r="P32" s="1">
        <v>4225193</v>
      </c>
      <c r="Q32" s="1" t="s">
        <v>464</v>
      </c>
      <c r="R32" s="1" t="s">
        <v>465</v>
      </c>
      <c r="S32" s="1" t="s">
        <v>368</v>
      </c>
      <c r="T32" s="1" t="s">
        <v>191</v>
      </c>
      <c r="U32" s="122">
        <v>45002.76458333333</v>
      </c>
      <c r="V32" s="1" t="s">
        <v>192</v>
      </c>
      <c r="W32" s="1" t="s">
        <v>21</v>
      </c>
      <c r="X32" s="1" t="s">
        <v>193</v>
      </c>
      <c r="Z32" s="1" t="s">
        <v>4</v>
      </c>
      <c r="AA32" s="1">
        <v>76620</v>
      </c>
      <c r="AB32" s="1">
        <v>0</v>
      </c>
      <c r="AC32" s="1">
        <v>320</v>
      </c>
      <c r="AD32" s="122">
        <v>45934.711111111108</v>
      </c>
      <c r="AE32" s="122">
        <v>45934.711111111108</v>
      </c>
      <c r="AF32" s="122">
        <v>45934.674305555556</v>
      </c>
      <c r="AG32" s="1">
        <v>320</v>
      </c>
      <c r="AH32" s="1">
        <v>0</v>
      </c>
      <c r="AI32" s="1" t="s">
        <v>195</v>
      </c>
      <c r="AJ32" s="122">
        <v>45934.67083333333</v>
      </c>
      <c r="AK32" s="122">
        <v>45934.672222222223</v>
      </c>
      <c r="AL32" s="1" t="s">
        <v>212</v>
      </c>
      <c r="AO32" s="1" t="s">
        <v>113</v>
      </c>
      <c r="AP32" s="1" t="s">
        <v>466</v>
      </c>
      <c r="AQ32" s="122">
        <v>45934.674305555556</v>
      </c>
      <c r="AR32" s="1">
        <v>60.18</v>
      </c>
      <c r="AS32" s="1">
        <v>259.99</v>
      </c>
      <c r="AT32" s="1" t="s">
        <v>198</v>
      </c>
      <c r="AW32" s="1">
        <v>320</v>
      </c>
      <c r="AX32" s="1" t="s">
        <v>467</v>
      </c>
      <c r="AY32" s="1" t="s">
        <v>468</v>
      </c>
      <c r="AZ32" s="1" t="s">
        <v>180</v>
      </c>
      <c r="BA32" s="1" t="s">
        <v>180</v>
      </c>
      <c r="BB32" s="1">
        <v>500055</v>
      </c>
      <c r="BE32" s="1" t="s">
        <v>469</v>
      </c>
      <c r="BF32" s="122">
        <v>45934.631249999999</v>
      </c>
    </row>
    <row r="33" spans="1:58">
      <c r="A33" s="1">
        <v>26</v>
      </c>
      <c r="B33" s="1" t="s">
        <v>179</v>
      </c>
      <c r="C33" s="1" t="s">
        <v>180</v>
      </c>
      <c r="D33" s="1" t="s">
        <v>181</v>
      </c>
      <c r="E33" s="1" t="s">
        <v>470</v>
      </c>
      <c r="F33" s="122">
        <v>45934.551388888889</v>
      </c>
      <c r="G33" s="1" t="s">
        <v>244</v>
      </c>
      <c r="H33" s="1" t="s">
        <v>471</v>
      </c>
      <c r="I33" s="1" t="s">
        <v>472</v>
      </c>
      <c r="K33" s="1" t="s">
        <v>473</v>
      </c>
      <c r="M33" s="1" t="s">
        <v>206</v>
      </c>
      <c r="N33" s="1" t="s">
        <v>474</v>
      </c>
      <c r="O33" s="1">
        <v>1524324</v>
      </c>
      <c r="P33" s="1">
        <v>3760097</v>
      </c>
      <c r="Q33" s="1" t="s">
        <v>260</v>
      </c>
      <c r="R33" s="1" t="s">
        <v>475</v>
      </c>
      <c r="S33" s="1" t="s">
        <v>379</v>
      </c>
      <c r="T33" s="1" t="s">
        <v>454</v>
      </c>
      <c r="U33" s="122">
        <v>40164.787499999999</v>
      </c>
      <c r="V33" s="1" t="s">
        <v>192</v>
      </c>
      <c r="W33" s="1" t="s">
        <v>19</v>
      </c>
      <c r="X33" s="1" t="s">
        <v>226</v>
      </c>
      <c r="Z33" s="1" t="s">
        <v>4</v>
      </c>
      <c r="AA33" s="1">
        <v>43287</v>
      </c>
      <c r="AB33" s="1">
        <v>0</v>
      </c>
      <c r="AC33" s="1">
        <v>0</v>
      </c>
      <c r="AD33" s="122">
        <v>45934.6875</v>
      </c>
      <c r="AE33" s="122">
        <v>45934.6875</v>
      </c>
      <c r="AF33" s="122">
        <v>45934.582638888889</v>
      </c>
      <c r="AG33" s="1">
        <v>0</v>
      </c>
      <c r="AH33" s="1">
        <v>0</v>
      </c>
      <c r="AI33" s="1" t="s">
        <v>195</v>
      </c>
      <c r="AL33" s="1" t="s">
        <v>196</v>
      </c>
      <c r="AO33" s="1" t="s">
        <v>113</v>
      </c>
      <c r="AP33" s="1" t="s">
        <v>476</v>
      </c>
      <c r="AQ33" s="122">
        <v>45934.583333333336</v>
      </c>
      <c r="AR33" s="1">
        <v>0</v>
      </c>
      <c r="AS33" s="1">
        <v>0</v>
      </c>
      <c r="AT33" s="1" t="s">
        <v>198</v>
      </c>
      <c r="AW33" s="1">
        <v>0</v>
      </c>
      <c r="AX33" s="1" t="s">
        <v>477</v>
      </c>
      <c r="AY33" s="1" t="s">
        <v>478</v>
      </c>
      <c r="AZ33" s="1" t="s">
        <v>288</v>
      </c>
      <c r="BA33" s="1" t="s">
        <v>180</v>
      </c>
      <c r="BB33" s="1">
        <v>530045</v>
      </c>
      <c r="BF33" s="122">
        <v>45934.548611111109</v>
      </c>
    </row>
    <row r="34" spans="1:58">
      <c r="A34" s="1">
        <v>27</v>
      </c>
      <c r="B34" s="1" t="s">
        <v>179</v>
      </c>
      <c r="C34" s="1" t="s">
        <v>180</v>
      </c>
      <c r="D34" s="1" t="s">
        <v>181</v>
      </c>
      <c r="E34" s="1" t="s">
        <v>479</v>
      </c>
      <c r="F34" s="122">
        <v>45934.363888888889</v>
      </c>
      <c r="G34" s="1" t="s">
        <v>218</v>
      </c>
      <c r="I34" s="1" t="s">
        <v>480</v>
      </c>
      <c r="K34" s="1" t="s">
        <v>481</v>
      </c>
      <c r="M34" s="1" t="s">
        <v>206</v>
      </c>
      <c r="N34" s="1" t="s">
        <v>482</v>
      </c>
      <c r="O34" s="1">
        <v>901083</v>
      </c>
      <c r="P34" s="1">
        <v>1090425</v>
      </c>
      <c r="Q34" s="1" t="s">
        <v>235</v>
      </c>
      <c r="R34" s="1" t="s">
        <v>483</v>
      </c>
      <c r="S34" s="1" t="s">
        <v>484</v>
      </c>
      <c r="T34" s="1" t="s">
        <v>191</v>
      </c>
      <c r="U34" s="122">
        <v>45469.81527777778</v>
      </c>
      <c r="V34" s="1" t="s">
        <v>192</v>
      </c>
      <c r="W34" s="1" t="s">
        <v>19</v>
      </c>
      <c r="X34" s="1" t="s">
        <v>193</v>
      </c>
      <c r="Z34" s="1" t="s">
        <v>3</v>
      </c>
      <c r="AA34" s="1">
        <v>50940</v>
      </c>
      <c r="AB34" s="1">
        <v>2500</v>
      </c>
      <c r="AC34" s="1">
        <v>2500</v>
      </c>
      <c r="AD34" s="122">
        <v>45934.645833333336</v>
      </c>
      <c r="AE34" s="122">
        <v>45934.645833333336</v>
      </c>
      <c r="AF34" s="122">
        <v>45934.508333333331</v>
      </c>
      <c r="AG34" s="1">
        <v>1694</v>
      </c>
      <c r="AH34" s="1">
        <v>2215</v>
      </c>
      <c r="AI34" s="1" t="s">
        <v>195</v>
      </c>
      <c r="AJ34" s="122">
        <v>45934.368055555555</v>
      </c>
      <c r="AK34" s="122">
        <v>45934.368055555555</v>
      </c>
      <c r="AL34" s="1" t="s">
        <v>212</v>
      </c>
      <c r="AO34" s="1" t="s">
        <v>113</v>
      </c>
      <c r="AP34" s="1" t="s">
        <v>485</v>
      </c>
      <c r="AQ34" s="122">
        <v>45934.509027777778</v>
      </c>
      <c r="AR34" s="1">
        <v>2272.1</v>
      </c>
      <c r="AS34" s="1">
        <v>2394.87</v>
      </c>
      <c r="AT34" s="1" t="s">
        <v>198</v>
      </c>
      <c r="AU34" s="121">
        <v>45934</v>
      </c>
      <c r="AW34" s="1">
        <v>4667</v>
      </c>
      <c r="AX34" s="1" t="s">
        <v>486</v>
      </c>
      <c r="AY34" s="1" t="s">
        <v>487</v>
      </c>
      <c r="AZ34" s="1" t="s">
        <v>488</v>
      </c>
      <c r="BA34" s="1" t="s">
        <v>180</v>
      </c>
      <c r="BB34" s="1">
        <v>530040</v>
      </c>
      <c r="BE34" s="1" t="s">
        <v>489</v>
      </c>
      <c r="BF34" s="122">
        <v>45934.361111111109</v>
      </c>
    </row>
    <row r="35" spans="1:58">
      <c r="A35" s="1">
        <v>28</v>
      </c>
      <c r="B35" s="1" t="s">
        <v>179</v>
      </c>
      <c r="C35" s="1" t="s">
        <v>180</v>
      </c>
      <c r="D35" s="1" t="s">
        <v>181</v>
      </c>
      <c r="E35" s="1" t="s">
        <v>490</v>
      </c>
      <c r="F35" s="122">
        <v>45935.407638888886</v>
      </c>
      <c r="G35" s="1" t="s">
        <v>183</v>
      </c>
      <c r="I35" s="1" t="s">
        <v>491</v>
      </c>
      <c r="K35" s="1" t="s">
        <v>492</v>
      </c>
      <c r="M35" s="1" t="s">
        <v>206</v>
      </c>
      <c r="N35" s="1" t="s">
        <v>493</v>
      </c>
      <c r="O35" s="1" t="s">
        <v>494</v>
      </c>
      <c r="P35" s="1">
        <v>9832706</v>
      </c>
      <c r="Q35" s="1" t="s">
        <v>235</v>
      </c>
      <c r="R35" s="1" t="s">
        <v>495</v>
      </c>
      <c r="S35" s="1" t="s">
        <v>237</v>
      </c>
      <c r="T35" s="1" t="s">
        <v>191</v>
      </c>
      <c r="U35" s="122">
        <v>45876.647916666669</v>
      </c>
      <c r="V35" s="1" t="s">
        <v>192</v>
      </c>
      <c r="W35" s="1" t="s">
        <v>21</v>
      </c>
      <c r="X35" s="1" t="s">
        <v>193</v>
      </c>
      <c r="Z35" s="1" t="s">
        <v>194</v>
      </c>
      <c r="AA35" s="1">
        <v>5529</v>
      </c>
      <c r="AB35" s="1">
        <v>0</v>
      </c>
      <c r="AC35" s="1">
        <v>70</v>
      </c>
      <c r="AD35" s="122">
        <v>45935.520833333336</v>
      </c>
      <c r="AE35" s="122">
        <v>45935.520833333336</v>
      </c>
      <c r="AF35" s="122">
        <v>45935.476388888892</v>
      </c>
      <c r="AG35" s="1">
        <v>70</v>
      </c>
      <c r="AH35" s="1">
        <v>0</v>
      </c>
      <c r="AI35" s="1" t="s">
        <v>195</v>
      </c>
      <c r="AJ35" s="122">
        <v>45935.459027777775</v>
      </c>
      <c r="AK35" s="122">
        <v>45935.474305555559</v>
      </c>
      <c r="AL35" s="1" t="s">
        <v>212</v>
      </c>
      <c r="AO35" s="1" t="s">
        <v>113</v>
      </c>
      <c r="AP35" s="1" t="s">
        <v>496</v>
      </c>
      <c r="AQ35" s="122">
        <v>45935.476388888892</v>
      </c>
      <c r="AR35" s="1">
        <v>0</v>
      </c>
      <c r="AS35" s="1">
        <v>53.96</v>
      </c>
      <c r="AT35" s="1" t="s">
        <v>198</v>
      </c>
      <c r="AW35" s="1">
        <v>54</v>
      </c>
      <c r="AX35" s="1" t="s">
        <v>497</v>
      </c>
      <c r="AY35" s="1" t="s">
        <v>498</v>
      </c>
      <c r="AZ35" s="1" t="s">
        <v>499</v>
      </c>
      <c r="BA35" s="1" t="s">
        <v>180</v>
      </c>
      <c r="BB35" s="1">
        <v>530001</v>
      </c>
      <c r="BE35" s="1" t="s">
        <v>469</v>
      </c>
      <c r="BF35" s="122">
        <v>45935.399305555555</v>
      </c>
    </row>
    <row r="36" spans="1:58">
      <c r="A36" s="1">
        <v>29</v>
      </c>
      <c r="B36" s="1" t="s">
        <v>179</v>
      </c>
      <c r="C36" s="1" t="s">
        <v>180</v>
      </c>
      <c r="D36" s="1" t="s">
        <v>181</v>
      </c>
      <c r="E36" s="1" t="s">
        <v>500</v>
      </c>
      <c r="F36" s="122">
        <v>45934.421527777777</v>
      </c>
      <c r="G36" s="1" t="s">
        <v>218</v>
      </c>
      <c r="I36" s="1" t="s">
        <v>501</v>
      </c>
      <c r="K36" s="1" t="s">
        <v>502</v>
      </c>
      <c r="M36" s="1" t="s">
        <v>206</v>
      </c>
      <c r="N36" s="1" t="s">
        <v>503</v>
      </c>
      <c r="O36" s="1">
        <v>822870</v>
      </c>
      <c r="P36" s="1">
        <v>1664852</v>
      </c>
      <c r="Q36" s="1" t="s">
        <v>235</v>
      </c>
      <c r="R36" s="1" t="s">
        <v>504</v>
      </c>
      <c r="S36" s="1" t="s">
        <v>505</v>
      </c>
      <c r="T36" s="1" t="s">
        <v>191</v>
      </c>
      <c r="U36" s="122">
        <v>42290.748611111114</v>
      </c>
      <c r="V36" s="1" t="s">
        <v>192</v>
      </c>
      <c r="W36" s="1" t="s">
        <v>19</v>
      </c>
      <c r="X36" s="1" t="s">
        <v>193</v>
      </c>
      <c r="Z36" s="1" t="s">
        <v>3</v>
      </c>
      <c r="AA36" s="1">
        <v>119927</v>
      </c>
      <c r="AB36" s="1">
        <v>4500</v>
      </c>
      <c r="AC36" s="1">
        <v>3000</v>
      </c>
      <c r="AD36" s="122">
        <v>45934.710416666669</v>
      </c>
      <c r="AE36" s="122">
        <v>45934.710416666669</v>
      </c>
      <c r="AF36" s="122">
        <v>45935.461111111108</v>
      </c>
      <c r="AG36" s="1">
        <v>6485.4</v>
      </c>
      <c r="AH36" s="1">
        <v>2190</v>
      </c>
      <c r="AI36" s="1" t="s">
        <v>195</v>
      </c>
      <c r="AJ36" s="122">
        <v>45934.647222222222</v>
      </c>
      <c r="AK36" s="122">
        <v>45934.647222222222</v>
      </c>
      <c r="AL36" s="1" t="s">
        <v>212</v>
      </c>
      <c r="AO36" s="1" t="s">
        <v>113</v>
      </c>
      <c r="AP36" s="1" t="s">
        <v>506</v>
      </c>
      <c r="AQ36" s="122">
        <v>45935.461111111108</v>
      </c>
      <c r="AR36" s="1">
        <v>1576.48</v>
      </c>
      <c r="AS36" s="1">
        <v>4756.8</v>
      </c>
      <c r="AT36" s="1" t="s">
        <v>198</v>
      </c>
      <c r="AW36" s="1">
        <v>6333</v>
      </c>
      <c r="AX36" s="1" t="s">
        <v>507</v>
      </c>
      <c r="AY36" s="1" t="s">
        <v>508</v>
      </c>
      <c r="AZ36" s="1" t="s">
        <v>509</v>
      </c>
      <c r="BA36" s="1" t="s">
        <v>180</v>
      </c>
      <c r="BB36" s="1">
        <v>530011</v>
      </c>
      <c r="BF36" s="122">
        <v>45934.414583333331</v>
      </c>
    </row>
    <row r="37" spans="1:58">
      <c r="A37" s="1">
        <v>30</v>
      </c>
      <c r="B37" s="1" t="s">
        <v>179</v>
      </c>
      <c r="C37" s="1" t="s">
        <v>180</v>
      </c>
      <c r="D37" s="1" t="s">
        <v>181</v>
      </c>
      <c r="E37" s="1" t="s">
        <v>510</v>
      </c>
      <c r="F37" s="122">
        <v>45935.397222222222</v>
      </c>
      <c r="G37" s="1" t="s">
        <v>218</v>
      </c>
      <c r="I37" s="1" t="s">
        <v>511</v>
      </c>
      <c r="K37" s="1" t="s">
        <v>512</v>
      </c>
      <c r="M37" s="1" t="s">
        <v>206</v>
      </c>
      <c r="N37" s="1" t="s">
        <v>513</v>
      </c>
      <c r="O37" s="1">
        <v>719415</v>
      </c>
      <c r="P37" s="1">
        <v>2331123</v>
      </c>
      <c r="Q37" s="1" t="s">
        <v>315</v>
      </c>
      <c r="R37" s="1" t="s">
        <v>514</v>
      </c>
      <c r="S37" s="1" t="s">
        <v>348</v>
      </c>
      <c r="T37" s="1" t="s">
        <v>191</v>
      </c>
      <c r="U37" s="122">
        <v>44089.761805555558</v>
      </c>
      <c r="V37" s="1" t="s">
        <v>192</v>
      </c>
      <c r="W37" s="1" t="s">
        <v>21</v>
      </c>
      <c r="X37" s="1" t="s">
        <v>193</v>
      </c>
      <c r="Z37" s="1" t="s">
        <v>3</v>
      </c>
      <c r="AA37" s="1">
        <v>65494</v>
      </c>
      <c r="AB37" s="1">
        <v>2500</v>
      </c>
      <c r="AC37" s="1">
        <v>3000</v>
      </c>
      <c r="AD37" s="122">
        <v>45935.645833333336</v>
      </c>
      <c r="AE37" s="122">
        <v>45935.770833333336</v>
      </c>
      <c r="AF37" s="122">
        <v>45935.714583333334</v>
      </c>
      <c r="AG37" s="1">
        <v>3000</v>
      </c>
      <c r="AH37" s="1">
        <v>770</v>
      </c>
      <c r="AI37" s="1" t="s">
        <v>195</v>
      </c>
      <c r="AJ37" s="122">
        <v>45935.709027777775</v>
      </c>
      <c r="AK37" s="122">
        <v>45935.709722222222</v>
      </c>
      <c r="AL37" s="1" t="s">
        <v>212</v>
      </c>
      <c r="AO37" s="1" t="s">
        <v>113</v>
      </c>
      <c r="AP37" s="1" t="s">
        <v>515</v>
      </c>
      <c r="AQ37" s="122">
        <v>45935.71597222222</v>
      </c>
      <c r="AR37" s="1">
        <v>1780.98</v>
      </c>
      <c r="AS37" s="1">
        <v>2460.04</v>
      </c>
      <c r="AT37" s="1" t="s">
        <v>198</v>
      </c>
      <c r="AW37" s="1">
        <v>4241</v>
      </c>
      <c r="AX37" s="1" t="s">
        <v>516</v>
      </c>
      <c r="AY37" s="1" t="s">
        <v>517</v>
      </c>
      <c r="AZ37" s="1" t="s">
        <v>518</v>
      </c>
      <c r="BA37" s="1" t="s">
        <v>180</v>
      </c>
      <c r="BB37" s="1">
        <v>530017</v>
      </c>
      <c r="BE37" s="1" t="s">
        <v>519</v>
      </c>
      <c r="BF37" s="122">
        <v>45935.394444444442</v>
      </c>
    </row>
    <row r="38" spans="1:58">
      <c r="A38" s="1">
        <v>31</v>
      </c>
      <c r="B38" s="1" t="s">
        <v>179</v>
      </c>
      <c r="C38" s="1" t="s">
        <v>180</v>
      </c>
      <c r="D38" s="1" t="s">
        <v>181</v>
      </c>
      <c r="E38" s="1" t="s">
        <v>520</v>
      </c>
      <c r="F38" s="122">
        <v>45936.513194444444</v>
      </c>
      <c r="G38" s="1" t="s">
        <v>203</v>
      </c>
      <c r="I38" s="1" t="s">
        <v>521</v>
      </c>
      <c r="K38" s="1" t="s">
        <v>522</v>
      </c>
      <c r="M38" s="1" t="s">
        <v>206</v>
      </c>
      <c r="N38" s="1" t="s">
        <v>523</v>
      </c>
      <c r="O38" s="1" t="s">
        <v>524</v>
      </c>
      <c r="P38" s="1">
        <v>1072393</v>
      </c>
      <c r="Q38" s="1" t="s">
        <v>260</v>
      </c>
      <c r="R38" s="1" t="s">
        <v>525</v>
      </c>
      <c r="S38" s="1" t="s">
        <v>526</v>
      </c>
      <c r="T38" s="1" t="s">
        <v>191</v>
      </c>
      <c r="U38" s="122">
        <v>45576.745833333334</v>
      </c>
      <c r="V38" s="1" t="s">
        <v>192</v>
      </c>
      <c r="W38" s="1" t="s">
        <v>21</v>
      </c>
      <c r="X38" s="1" t="s">
        <v>193</v>
      </c>
      <c r="Z38" s="1" t="s">
        <v>211</v>
      </c>
      <c r="AA38" s="1">
        <v>11196</v>
      </c>
      <c r="AB38" s="1">
        <v>0</v>
      </c>
      <c r="AC38" s="1">
        <v>3500</v>
      </c>
      <c r="AD38" s="122">
        <v>45936.6875</v>
      </c>
      <c r="AE38" s="122">
        <v>45936.6875</v>
      </c>
      <c r="AF38" s="122">
        <v>45936.708333333336</v>
      </c>
      <c r="AG38" s="1">
        <v>3500</v>
      </c>
      <c r="AH38" s="1">
        <v>0</v>
      </c>
      <c r="AI38" s="1" t="s">
        <v>195</v>
      </c>
      <c r="AL38" s="1" t="s">
        <v>196</v>
      </c>
      <c r="AO38" s="1" t="s">
        <v>113</v>
      </c>
      <c r="AP38" s="1" t="s">
        <v>527</v>
      </c>
      <c r="AQ38" s="122">
        <v>45936.709027777775</v>
      </c>
      <c r="AR38" s="1">
        <v>944</v>
      </c>
      <c r="AS38" s="1">
        <v>2642.39</v>
      </c>
      <c r="AT38" s="1" t="s">
        <v>198</v>
      </c>
      <c r="AW38" s="1">
        <v>3586</v>
      </c>
      <c r="AX38" s="1" t="s">
        <v>528</v>
      </c>
      <c r="AY38" s="1" t="s">
        <v>529</v>
      </c>
      <c r="AZ38" s="1" t="s">
        <v>530</v>
      </c>
      <c r="BA38" s="1" t="s">
        <v>180</v>
      </c>
      <c r="BB38" s="1">
        <v>530045</v>
      </c>
      <c r="BE38" s="1" t="s">
        <v>531</v>
      </c>
      <c r="BF38" s="122">
        <v>45936.507638888892</v>
      </c>
    </row>
    <row r="39" spans="1:58">
      <c r="A39" s="1">
        <v>32</v>
      </c>
      <c r="B39" s="1" t="s">
        <v>179</v>
      </c>
      <c r="C39" s="1" t="s">
        <v>180</v>
      </c>
      <c r="D39" s="1" t="s">
        <v>181</v>
      </c>
      <c r="E39" s="1" t="s">
        <v>532</v>
      </c>
      <c r="F39" s="122">
        <v>45936.474305555559</v>
      </c>
      <c r="G39" s="1" t="s">
        <v>533</v>
      </c>
      <c r="I39" s="1" t="s">
        <v>534</v>
      </c>
      <c r="K39" s="1" t="s">
        <v>535</v>
      </c>
      <c r="M39" s="1" t="s">
        <v>186</v>
      </c>
      <c r="N39" s="1" t="s">
        <v>536</v>
      </c>
      <c r="O39" s="1">
        <v>270046</v>
      </c>
      <c r="P39" s="1">
        <v>4665153</v>
      </c>
      <c r="Q39" s="1" t="s">
        <v>235</v>
      </c>
      <c r="R39" s="1" t="s">
        <v>537</v>
      </c>
      <c r="S39" s="1" t="s">
        <v>411</v>
      </c>
      <c r="T39" s="1" t="s">
        <v>191</v>
      </c>
      <c r="U39" s="122">
        <v>44008.620138888888</v>
      </c>
      <c r="V39" s="1" t="s">
        <v>192</v>
      </c>
      <c r="W39" s="1" t="s">
        <v>20</v>
      </c>
      <c r="X39" s="1" t="s">
        <v>193</v>
      </c>
      <c r="Z39" s="1" t="s">
        <v>538</v>
      </c>
      <c r="AA39" s="1">
        <v>29523</v>
      </c>
      <c r="AB39" s="1">
        <v>0</v>
      </c>
      <c r="AC39" s="1">
        <v>0</v>
      </c>
      <c r="AD39" s="122">
        <v>45940.765972222223</v>
      </c>
      <c r="AE39" s="122">
        <v>45940.765972222223</v>
      </c>
      <c r="AF39" s="122">
        <v>45936.59097222222</v>
      </c>
      <c r="AG39" s="1">
        <v>0</v>
      </c>
      <c r="AH39" s="1">
        <v>0</v>
      </c>
      <c r="AI39" s="1" t="s">
        <v>195</v>
      </c>
      <c r="AJ39" s="122">
        <v>45936.477777777778</v>
      </c>
      <c r="AK39" s="122">
        <v>45936.511111111111</v>
      </c>
      <c r="AL39" s="1" t="s">
        <v>212</v>
      </c>
      <c r="AO39" s="1" t="s">
        <v>113</v>
      </c>
      <c r="AP39" s="1" t="s">
        <v>539</v>
      </c>
      <c r="AQ39" s="122">
        <v>45936.59097222222</v>
      </c>
      <c r="AR39" s="1">
        <v>2709.28</v>
      </c>
      <c r="AS39" s="1">
        <v>0</v>
      </c>
      <c r="AT39" s="1" t="s">
        <v>198</v>
      </c>
      <c r="AW39" s="1">
        <v>2709</v>
      </c>
      <c r="AX39" s="1" t="s">
        <v>540</v>
      </c>
      <c r="AY39" s="1" t="s">
        <v>541</v>
      </c>
      <c r="AZ39" s="1" t="s">
        <v>542</v>
      </c>
      <c r="BA39" s="1" t="s">
        <v>180</v>
      </c>
      <c r="BB39" s="1">
        <v>530016</v>
      </c>
      <c r="BE39" s="1" t="s">
        <v>543</v>
      </c>
      <c r="BF39" s="122">
        <v>45936.47152777778</v>
      </c>
    </row>
    <row r="40" spans="1:58">
      <c r="A40" s="1">
        <v>33</v>
      </c>
      <c r="B40" s="1" t="s">
        <v>179</v>
      </c>
      <c r="C40" s="1" t="s">
        <v>180</v>
      </c>
      <c r="D40" s="1" t="s">
        <v>181</v>
      </c>
      <c r="E40" s="1" t="s">
        <v>544</v>
      </c>
      <c r="F40" s="122">
        <v>45936.689583333333</v>
      </c>
      <c r="G40" s="1" t="s">
        <v>244</v>
      </c>
      <c r="I40" s="1" t="s">
        <v>545</v>
      </c>
      <c r="K40" s="1" t="s">
        <v>546</v>
      </c>
      <c r="M40" s="1" t="s">
        <v>206</v>
      </c>
      <c r="N40" s="1" t="s">
        <v>547</v>
      </c>
      <c r="O40" s="1">
        <v>223010</v>
      </c>
      <c r="P40" s="1">
        <v>9214864</v>
      </c>
      <c r="Q40" s="1" t="s">
        <v>235</v>
      </c>
      <c r="R40" s="1" t="s">
        <v>548</v>
      </c>
      <c r="S40" s="1" t="s">
        <v>357</v>
      </c>
      <c r="T40" s="1" t="s">
        <v>191</v>
      </c>
      <c r="U40" s="122">
        <v>45016.89166666667</v>
      </c>
      <c r="V40" s="1" t="s">
        <v>192</v>
      </c>
      <c r="W40" s="1" t="s">
        <v>21</v>
      </c>
      <c r="X40" s="1" t="s">
        <v>193</v>
      </c>
      <c r="Z40" s="1" t="s">
        <v>4</v>
      </c>
      <c r="AA40" s="1">
        <v>36970</v>
      </c>
      <c r="AB40" s="1">
        <v>0</v>
      </c>
      <c r="AC40" s="1">
        <v>0</v>
      </c>
      <c r="AD40" s="122">
        <v>45936.770833333336</v>
      </c>
      <c r="AE40" s="122">
        <v>45936.770833333336</v>
      </c>
      <c r="AF40" s="122">
        <v>45936.70416666667</v>
      </c>
      <c r="AG40" s="1">
        <v>0</v>
      </c>
      <c r="AH40" s="1">
        <v>0</v>
      </c>
      <c r="AI40" s="1" t="s">
        <v>195</v>
      </c>
      <c r="AJ40" s="122">
        <v>45936.700694444444</v>
      </c>
      <c r="AK40" s="122">
        <v>45936.70208333333</v>
      </c>
      <c r="AL40" s="1" t="s">
        <v>212</v>
      </c>
      <c r="AO40" s="1" t="s">
        <v>113</v>
      </c>
      <c r="AP40" s="1" t="s">
        <v>549</v>
      </c>
      <c r="AQ40" s="122">
        <v>45936.70416666667</v>
      </c>
      <c r="AR40" s="1">
        <v>299.72000000000003</v>
      </c>
      <c r="AS40" s="1">
        <v>0</v>
      </c>
      <c r="AT40" s="1" t="s">
        <v>198</v>
      </c>
      <c r="AW40" s="1">
        <v>300</v>
      </c>
      <c r="AX40" s="1" t="s">
        <v>550</v>
      </c>
      <c r="AY40" s="1" t="s">
        <v>551</v>
      </c>
      <c r="AZ40" s="1" t="s">
        <v>552</v>
      </c>
      <c r="BA40" s="1" t="s">
        <v>180</v>
      </c>
      <c r="BB40" s="1">
        <v>530045</v>
      </c>
      <c r="BE40" s="1" t="s">
        <v>553</v>
      </c>
      <c r="BF40" s="122">
        <v>45936.686805555553</v>
      </c>
    </row>
    <row r="41" spans="1:58">
      <c r="A41" s="1">
        <v>34</v>
      </c>
      <c r="B41" s="1" t="s">
        <v>179</v>
      </c>
      <c r="C41" s="1" t="s">
        <v>180</v>
      </c>
      <c r="D41" s="1" t="s">
        <v>181</v>
      </c>
      <c r="E41" s="1" t="s">
        <v>554</v>
      </c>
      <c r="F41" s="122">
        <v>45934.530555555553</v>
      </c>
      <c r="G41" s="1" t="s">
        <v>533</v>
      </c>
      <c r="I41" s="1" t="s">
        <v>555</v>
      </c>
      <c r="K41" s="1" t="s">
        <v>556</v>
      </c>
      <c r="M41" s="1" t="s">
        <v>186</v>
      </c>
      <c r="N41" s="1" t="s">
        <v>557</v>
      </c>
      <c r="O41" s="1">
        <v>568758</v>
      </c>
      <c r="P41" s="1">
        <v>4343422</v>
      </c>
      <c r="Q41" s="1" t="s">
        <v>283</v>
      </c>
      <c r="R41" s="1" t="s">
        <v>465</v>
      </c>
      <c r="S41" s="1" t="s">
        <v>368</v>
      </c>
      <c r="T41" s="1" t="s">
        <v>191</v>
      </c>
      <c r="U41" s="122">
        <v>45283.538888888892</v>
      </c>
      <c r="V41" s="1" t="s">
        <v>558</v>
      </c>
      <c r="W41" s="1" t="s">
        <v>20</v>
      </c>
      <c r="X41" s="1" t="s">
        <v>559</v>
      </c>
      <c r="Z41" s="1" t="s">
        <v>538</v>
      </c>
      <c r="AA41" s="1">
        <v>11172</v>
      </c>
      <c r="AB41" s="1">
        <v>0</v>
      </c>
      <c r="AC41" s="1">
        <v>0</v>
      </c>
      <c r="AD41" s="122">
        <v>45938.769444444442</v>
      </c>
      <c r="AE41" s="122">
        <v>45938.769444444442</v>
      </c>
      <c r="AF41" s="122">
        <v>45937.763888888891</v>
      </c>
      <c r="AG41" s="1">
        <v>0</v>
      </c>
      <c r="AH41" s="1">
        <v>4960</v>
      </c>
      <c r="AI41" s="1" t="s">
        <v>195</v>
      </c>
      <c r="AJ41" s="122">
        <v>45937.762499999997</v>
      </c>
      <c r="AL41" s="1" t="s">
        <v>196</v>
      </c>
      <c r="AO41" s="1" t="s">
        <v>113</v>
      </c>
      <c r="AP41" s="1" t="s">
        <v>560</v>
      </c>
      <c r="AQ41" s="122">
        <v>45937.76458333333</v>
      </c>
      <c r="AR41" s="1">
        <v>5852.8</v>
      </c>
      <c r="AS41" s="1">
        <v>0</v>
      </c>
      <c r="AT41" s="1" t="s">
        <v>198</v>
      </c>
      <c r="AW41" s="1">
        <v>5853</v>
      </c>
      <c r="AX41" s="1" t="s">
        <v>561</v>
      </c>
      <c r="AY41" s="1" t="s">
        <v>562</v>
      </c>
      <c r="AZ41" s="1" t="s">
        <v>563</v>
      </c>
      <c r="BA41" s="1" t="s">
        <v>180</v>
      </c>
      <c r="BB41" s="1">
        <v>530045</v>
      </c>
      <c r="BE41" s="1" t="s">
        <v>564</v>
      </c>
      <c r="BF41" s="122">
        <v>45934.518055555556</v>
      </c>
    </row>
    <row r="42" spans="1:58">
      <c r="A42" s="1">
        <v>35</v>
      </c>
      <c r="B42" s="1" t="s">
        <v>179</v>
      </c>
      <c r="C42" s="1" t="s">
        <v>180</v>
      </c>
      <c r="D42" s="1" t="s">
        <v>181</v>
      </c>
      <c r="E42" s="1" t="s">
        <v>565</v>
      </c>
      <c r="F42" s="122">
        <v>45937.418055555558</v>
      </c>
      <c r="G42" s="1" t="s">
        <v>218</v>
      </c>
      <c r="I42" s="1" t="s">
        <v>566</v>
      </c>
      <c r="K42" s="1" t="s">
        <v>567</v>
      </c>
      <c r="M42" s="1" t="s">
        <v>206</v>
      </c>
      <c r="N42" s="1" t="s">
        <v>568</v>
      </c>
      <c r="O42" s="1">
        <v>305743</v>
      </c>
      <c r="P42" s="1">
        <v>8376490</v>
      </c>
      <c r="Q42" s="1" t="s">
        <v>260</v>
      </c>
      <c r="R42" s="1" t="s">
        <v>569</v>
      </c>
      <c r="S42" s="1" t="s">
        <v>329</v>
      </c>
      <c r="T42" s="1" t="s">
        <v>191</v>
      </c>
      <c r="U42" s="122">
        <v>44005.486111111109</v>
      </c>
      <c r="V42" s="1" t="s">
        <v>192</v>
      </c>
      <c r="W42" s="1" t="s">
        <v>19</v>
      </c>
      <c r="X42" s="1" t="s">
        <v>226</v>
      </c>
      <c r="Z42" s="1" t="s">
        <v>3</v>
      </c>
      <c r="AA42" s="1">
        <v>104796</v>
      </c>
      <c r="AB42" s="1">
        <v>3500</v>
      </c>
      <c r="AC42" s="1">
        <v>5000</v>
      </c>
      <c r="AD42" s="122">
        <v>45937.770833333336</v>
      </c>
      <c r="AE42" s="122">
        <v>45937.770833333336</v>
      </c>
      <c r="AF42" s="122">
        <v>45937.775000000001</v>
      </c>
      <c r="AG42" s="1">
        <v>2846</v>
      </c>
      <c r="AH42" s="1">
        <v>2140</v>
      </c>
      <c r="AI42" s="1" t="s">
        <v>195</v>
      </c>
      <c r="AJ42" s="122">
        <v>45937.456250000003</v>
      </c>
      <c r="AK42" s="122">
        <v>45937.458333333336</v>
      </c>
      <c r="AL42" s="1" t="s">
        <v>212</v>
      </c>
      <c r="AO42" s="1" t="s">
        <v>113</v>
      </c>
      <c r="AP42" s="1" t="s">
        <v>570</v>
      </c>
      <c r="AQ42" s="122">
        <v>45937.775694444441</v>
      </c>
      <c r="AR42" s="1">
        <v>3208.09</v>
      </c>
      <c r="AS42" s="1">
        <v>5077.29</v>
      </c>
      <c r="AT42" s="1" t="s">
        <v>198</v>
      </c>
      <c r="AU42" s="121">
        <v>45937</v>
      </c>
      <c r="AW42" s="1">
        <v>8285</v>
      </c>
      <c r="AX42" s="1" t="s">
        <v>571</v>
      </c>
      <c r="AY42" s="1" t="s">
        <v>572</v>
      </c>
      <c r="AZ42" s="1" t="s">
        <v>573</v>
      </c>
      <c r="BA42" s="1" t="s">
        <v>180</v>
      </c>
      <c r="BB42" s="1">
        <v>530045</v>
      </c>
      <c r="BE42" s="1" t="s">
        <v>574</v>
      </c>
      <c r="BF42" s="122">
        <v>45937.411805555559</v>
      </c>
    </row>
    <row r="43" spans="1:58">
      <c r="A43" s="1">
        <v>36</v>
      </c>
      <c r="B43" s="1" t="s">
        <v>179</v>
      </c>
      <c r="C43" s="1" t="s">
        <v>180</v>
      </c>
      <c r="D43" s="1" t="s">
        <v>181</v>
      </c>
      <c r="E43" s="1" t="s">
        <v>575</v>
      </c>
      <c r="F43" s="122">
        <v>45937.523611111108</v>
      </c>
      <c r="G43" s="1" t="s">
        <v>244</v>
      </c>
      <c r="I43" s="1" t="s">
        <v>576</v>
      </c>
      <c r="K43" s="1" t="s">
        <v>577</v>
      </c>
      <c r="N43" s="1" t="s">
        <v>578</v>
      </c>
      <c r="O43" s="1">
        <v>882301</v>
      </c>
      <c r="P43" s="1">
        <v>1074838</v>
      </c>
      <c r="Q43" s="1" t="s">
        <v>235</v>
      </c>
      <c r="R43" s="1" t="s">
        <v>483</v>
      </c>
      <c r="S43" s="1" t="s">
        <v>484</v>
      </c>
      <c r="T43" s="1" t="s">
        <v>191</v>
      </c>
      <c r="U43" s="122">
        <v>45456.79791666667</v>
      </c>
      <c r="V43" s="1" t="s">
        <v>192</v>
      </c>
      <c r="W43" s="1" t="s">
        <v>19</v>
      </c>
      <c r="X43" s="1" t="s">
        <v>226</v>
      </c>
      <c r="Z43" s="1" t="s">
        <v>4</v>
      </c>
      <c r="AA43" s="1">
        <v>40398</v>
      </c>
      <c r="AB43" s="1">
        <v>280</v>
      </c>
      <c r="AC43" s="1">
        <v>500</v>
      </c>
      <c r="AD43" s="122">
        <v>45937.6875</v>
      </c>
      <c r="AE43" s="122">
        <v>45937.6875</v>
      </c>
      <c r="AF43" s="122">
        <v>45937.630555555559</v>
      </c>
      <c r="AG43" s="1">
        <v>500</v>
      </c>
      <c r="AH43" s="1">
        <v>0</v>
      </c>
      <c r="AI43" s="1" t="s">
        <v>195</v>
      </c>
      <c r="AJ43" s="122">
        <v>45937.61041666667</v>
      </c>
      <c r="AK43" s="122">
        <v>45937.611111111109</v>
      </c>
      <c r="AL43" s="1" t="s">
        <v>212</v>
      </c>
      <c r="AO43" s="1" t="s">
        <v>113</v>
      </c>
      <c r="AP43" s="1" t="s">
        <v>579</v>
      </c>
      <c r="AQ43" s="122">
        <v>45937.631249999999</v>
      </c>
      <c r="AR43" s="1">
        <v>307.39999999999998</v>
      </c>
      <c r="AS43" s="1">
        <v>442.5</v>
      </c>
      <c r="AT43" s="1" t="s">
        <v>198</v>
      </c>
      <c r="AU43" s="121">
        <v>45937</v>
      </c>
      <c r="AW43" s="1">
        <v>750</v>
      </c>
      <c r="AX43" s="1" t="s">
        <v>580</v>
      </c>
      <c r="AY43" s="1" t="s">
        <v>581</v>
      </c>
      <c r="AZ43" s="1" t="s">
        <v>582</v>
      </c>
      <c r="BA43" s="1" t="s">
        <v>180</v>
      </c>
      <c r="BB43" s="1">
        <v>530011</v>
      </c>
      <c r="BF43" s="122">
        <v>45937.515277777777</v>
      </c>
    </row>
    <row r="44" spans="1:58">
      <c r="A44" s="1">
        <v>37</v>
      </c>
      <c r="B44" s="1" t="s">
        <v>179</v>
      </c>
      <c r="C44" s="1" t="s">
        <v>180</v>
      </c>
      <c r="D44" s="1" t="s">
        <v>181</v>
      </c>
      <c r="E44" s="1" t="s">
        <v>583</v>
      </c>
      <c r="F44" s="122">
        <v>45937.406944444447</v>
      </c>
      <c r="G44" s="1" t="s">
        <v>584</v>
      </c>
      <c r="I44" s="1" t="s">
        <v>585</v>
      </c>
      <c r="K44" s="1" t="s">
        <v>586</v>
      </c>
      <c r="N44" s="1" t="s">
        <v>587</v>
      </c>
      <c r="O44" s="1">
        <v>794639</v>
      </c>
      <c r="P44" s="1">
        <v>1055138</v>
      </c>
      <c r="Q44" s="1" t="s">
        <v>235</v>
      </c>
      <c r="R44" s="1" t="s">
        <v>588</v>
      </c>
      <c r="S44" s="1" t="s">
        <v>225</v>
      </c>
      <c r="T44" s="1" t="s">
        <v>191</v>
      </c>
      <c r="U44" s="122">
        <v>44330.371527777781</v>
      </c>
      <c r="V44" s="1" t="s">
        <v>192</v>
      </c>
      <c r="W44" s="1" t="s">
        <v>19</v>
      </c>
      <c r="X44" s="1" t="s">
        <v>226</v>
      </c>
      <c r="Z44" s="1" t="s">
        <v>589</v>
      </c>
      <c r="AA44" s="1">
        <v>84496</v>
      </c>
      <c r="AB44" s="1">
        <v>200</v>
      </c>
      <c r="AC44" s="1">
        <v>200</v>
      </c>
      <c r="AD44" s="122">
        <v>45937.686805555553</v>
      </c>
      <c r="AE44" s="122">
        <v>45937.686805555553</v>
      </c>
      <c r="AF44" s="122">
        <v>45937.707638888889</v>
      </c>
      <c r="AG44" s="1">
        <v>0</v>
      </c>
      <c r="AH44" s="1">
        <v>0</v>
      </c>
      <c r="AI44" s="1" t="s">
        <v>195</v>
      </c>
      <c r="AJ44" s="122">
        <v>45937.45416666667</v>
      </c>
      <c r="AK44" s="122">
        <v>45937.455555555556</v>
      </c>
      <c r="AL44" s="1" t="s">
        <v>212</v>
      </c>
      <c r="AO44" s="1" t="s">
        <v>113</v>
      </c>
      <c r="AP44" s="1" t="s">
        <v>590</v>
      </c>
      <c r="AQ44" s="122">
        <v>45937.709027777775</v>
      </c>
      <c r="AR44" s="1">
        <v>0</v>
      </c>
      <c r="AS44" s="1">
        <v>778.96</v>
      </c>
      <c r="AT44" s="1" t="s">
        <v>198</v>
      </c>
      <c r="AU44" s="121">
        <v>45937</v>
      </c>
      <c r="AW44" s="1">
        <v>779</v>
      </c>
      <c r="AX44" s="1" t="s">
        <v>591</v>
      </c>
      <c r="AY44" s="1" t="s">
        <v>592</v>
      </c>
      <c r="AZ44" s="1" t="s">
        <v>593</v>
      </c>
      <c r="BA44" s="1" t="s">
        <v>180</v>
      </c>
      <c r="BB44" s="1">
        <v>530047</v>
      </c>
      <c r="BF44" s="122">
        <v>45937.390972222223</v>
      </c>
    </row>
    <row r="45" spans="1:58">
      <c r="A45" s="1">
        <v>38</v>
      </c>
      <c r="B45" s="1" t="s">
        <v>179</v>
      </c>
      <c r="C45" s="1" t="s">
        <v>180</v>
      </c>
      <c r="D45" s="1" t="s">
        <v>181</v>
      </c>
      <c r="E45" s="1" t="s">
        <v>594</v>
      </c>
      <c r="F45" s="122">
        <v>45937.675694444442</v>
      </c>
      <c r="G45" s="1" t="s">
        <v>595</v>
      </c>
      <c r="I45" s="1" t="s">
        <v>596</v>
      </c>
      <c r="K45" s="1" t="s">
        <v>597</v>
      </c>
      <c r="N45" s="1" t="s">
        <v>598</v>
      </c>
      <c r="O45" s="1">
        <v>330940</v>
      </c>
      <c r="P45" s="1">
        <v>784544</v>
      </c>
      <c r="Q45" s="1" t="s">
        <v>599</v>
      </c>
      <c r="R45" s="1" t="s">
        <v>600</v>
      </c>
      <c r="S45" s="1" t="s">
        <v>601</v>
      </c>
      <c r="T45" s="1" t="s">
        <v>191</v>
      </c>
      <c r="U45" s="122">
        <v>43477.583333333336</v>
      </c>
      <c r="V45" s="1" t="s">
        <v>192</v>
      </c>
      <c r="W45" s="1" t="s">
        <v>19</v>
      </c>
      <c r="X45" s="1" t="s">
        <v>193</v>
      </c>
      <c r="Z45" s="1" t="s">
        <v>602</v>
      </c>
      <c r="AA45" s="1">
        <v>81067</v>
      </c>
      <c r="AB45" s="1">
        <v>0</v>
      </c>
      <c r="AC45" s="1">
        <v>0</v>
      </c>
      <c r="AD45" s="122">
        <v>45937.770833333336</v>
      </c>
      <c r="AE45" s="122">
        <v>45937.770833333336</v>
      </c>
      <c r="AF45" s="122">
        <v>45937.757638888892</v>
      </c>
      <c r="AG45" s="1">
        <v>0</v>
      </c>
      <c r="AH45" s="1">
        <v>0</v>
      </c>
      <c r="AI45" s="1" t="s">
        <v>195</v>
      </c>
      <c r="AL45" s="1" t="s">
        <v>196</v>
      </c>
      <c r="AO45" s="1" t="s">
        <v>113</v>
      </c>
      <c r="AP45" s="1" t="s">
        <v>603</v>
      </c>
      <c r="AQ45" s="122">
        <v>45937.76666666667</v>
      </c>
      <c r="AR45" s="1">
        <v>0</v>
      </c>
      <c r="AS45" s="1">
        <v>0</v>
      </c>
      <c r="AT45" s="1" t="s">
        <v>198</v>
      </c>
      <c r="AW45" s="1">
        <v>0</v>
      </c>
      <c r="AX45" s="1" t="s">
        <v>604</v>
      </c>
      <c r="AY45" s="1" t="s">
        <v>605</v>
      </c>
      <c r="BA45" s="1" t="s">
        <v>180</v>
      </c>
      <c r="BB45" s="1">
        <v>530003</v>
      </c>
      <c r="BE45" s="1" t="s">
        <v>606</v>
      </c>
      <c r="BF45" s="122">
        <v>45937.673611111109</v>
      </c>
    </row>
    <row r="46" spans="1:58">
      <c r="A46" s="1">
        <v>39</v>
      </c>
      <c r="B46" s="1" t="s">
        <v>179</v>
      </c>
      <c r="C46" s="1" t="s">
        <v>180</v>
      </c>
      <c r="D46" s="1" t="s">
        <v>181</v>
      </c>
      <c r="E46" s="1" t="s">
        <v>607</v>
      </c>
      <c r="F46" s="122">
        <v>45937.513888888891</v>
      </c>
      <c r="G46" s="1" t="s">
        <v>244</v>
      </c>
      <c r="I46" s="1" t="s">
        <v>608</v>
      </c>
      <c r="K46" s="1" t="s">
        <v>609</v>
      </c>
      <c r="M46" s="1" t="s">
        <v>206</v>
      </c>
      <c r="N46" s="1" t="s">
        <v>610</v>
      </c>
      <c r="O46" s="1">
        <v>628000</v>
      </c>
      <c r="P46" s="1">
        <v>4059112</v>
      </c>
      <c r="Q46" s="1" t="s">
        <v>611</v>
      </c>
      <c r="R46" s="1" t="s">
        <v>612</v>
      </c>
      <c r="S46" s="1" t="s">
        <v>613</v>
      </c>
      <c r="T46" s="1" t="s">
        <v>454</v>
      </c>
      <c r="U46" s="122">
        <v>40502.709722222222</v>
      </c>
      <c r="V46" s="1" t="s">
        <v>192</v>
      </c>
      <c r="W46" s="1" t="s">
        <v>19</v>
      </c>
      <c r="X46" s="1" t="s">
        <v>226</v>
      </c>
      <c r="Z46" s="1" t="s">
        <v>4</v>
      </c>
      <c r="AA46" s="1">
        <v>67438</v>
      </c>
      <c r="AB46" s="1">
        <v>150</v>
      </c>
      <c r="AC46" s="1">
        <v>1000</v>
      </c>
      <c r="AD46" s="122">
        <v>45937.645833333336</v>
      </c>
      <c r="AE46" s="122">
        <v>45937.645833333336</v>
      </c>
      <c r="AF46" s="122">
        <v>45937.620138888888</v>
      </c>
      <c r="AG46" s="1">
        <v>1000</v>
      </c>
      <c r="AH46" s="1">
        <v>0</v>
      </c>
      <c r="AI46" s="1" t="s">
        <v>195</v>
      </c>
      <c r="AJ46" s="122">
        <v>45937.609722222223</v>
      </c>
      <c r="AK46" s="122">
        <v>45937.609722222223</v>
      </c>
      <c r="AL46" s="1" t="s">
        <v>212</v>
      </c>
      <c r="AO46" s="1" t="s">
        <v>113</v>
      </c>
      <c r="AP46" s="1" t="s">
        <v>614</v>
      </c>
      <c r="AQ46" s="122">
        <v>45937.620833333334</v>
      </c>
      <c r="AR46" s="1">
        <v>354.6</v>
      </c>
      <c r="AS46" s="1">
        <v>1044.99</v>
      </c>
      <c r="AT46" s="1" t="s">
        <v>198</v>
      </c>
      <c r="AW46" s="1">
        <v>1400</v>
      </c>
      <c r="AX46" s="1" t="s">
        <v>615</v>
      </c>
      <c r="AY46" s="1" t="s">
        <v>616</v>
      </c>
      <c r="BA46" s="1" t="s">
        <v>180</v>
      </c>
      <c r="BB46" s="1">
        <v>530024</v>
      </c>
      <c r="BF46" s="122">
        <v>45937.511805555558</v>
      </c>
    </row>
    <row r="47" spans="1:58">
      <c r="A47" s="1">
        <v>40</v>
      </c>
      <c r="B47" s="1" t="s">
        <v>179</v>
      </c>
      <c r="C47" s="1" t="s">
        <v>180</v>
      </c>
      <c r="D47" s="1" t="s">
        <v>181</v>
      </c>
      <c r="E47" s="1" t="s">
        <v>617</v>
      </c>
      <c r="F47" s="122">
        <v>45937.502083333333</v>
      </c>
      <c r="G47" s="1" t="s">
        <v>244</v>
      </c>
      <c r="I47" s="1" t="s">
        <v>618</v>
      </c>
      <c r="K47" s="1" t="s">
        <v>619</v>
      </c>
      <c r="N47" s="1" t="s">
        <v>620</v>
      </c>
      <c r="O47" s="1">
        <v>888437</v>
      </c>
      <c r="P47" s="1">
        <v>9188590</v>
      </c>
      <c r="Q47" s="1" t="s">
        <v>248</v>
      </c>
      <c r="R47" s="1" t="s">
        <v>621</v>
      </c>
      <c r="S47" s="1" t="s">
        <v>526</v>
      </c>
      <c r="T47" s="1" t="s">
        <v>191</v>
      </c>
      <c r="U47" s="122">
        <v>45045.645138888889</v>
      </c>
      <c r="V47" s="1" t="s">
        <v>192</v>
      </c>
      <c r="W47" s="1" t="s">
        <v>19</v>
      </c>
      <c r="X47" s="1" t="s">
        <v>226</v>
      </c>
      <c r="Z47" s="1" t="s">
        <v>4</v>
      </c>
      <c r="AA47" s="1">
        <v>16222</v>
      </c>
      <c r="AB47" s="1">
        <v>200</v>
      </c>
      <c r="AC47" s="1">
        <v>100</v>
      </c>
      <c r="AD47" s="122">
        <v>45937.645833333336</v>
      </c>
      <c r="AE47" s="122">
        <v>45937.645833333336</v>
      </c>
      <c r="AF47" s="122">
        <v>45937.613888888889</v>
      </c>
      <c r="AG47" s="1">
        <v>100</v>
      </c>
      <c r="AH47" s="1">
        <v>0</v>
      </c>
      <c r="AI47" s="1" t="s">
        <v>195</v>
      </c>
      <c r="AJ47" s="122">
        <v>45937.60833333333</v>
      </c>
      <c r="AK47" s="122">
        <v>45937.609027777777</v>
      </c>
      <c r="AL47" s="1" t="s">
        <v>212</v>
      </c>
      <c r="AO47" s="1" t="s">
        <v>113</v>
      </c>
      <c r="AP47" s="1" t="s">
        <v>622</v>
      </c>
      <c r="AQ47" s="122">
        <v>45937.613888888889</v>
      </c>
      <c r="AR47" s="1">
        <v>118</v>
      </c>
      <c r="AS47" s="1">
        <v>31.96</v>
      </c>
      <c r="AT47" s="1" t="s">
        <v>198</v>
      </c>
      <c r="AW47" s="1">
        <v>150</v>
      </c>
      <c r="AX47" s="1" t="s">
        <v>623</v>
      </c>
      <c r="AY47" s="1" t="s">
        <v>624</v>
      </c>
      <c r="AZ47" s="1" t="s">
        <v>625</v>
      </c>
      <c r="BA47" s="1" t="s">
        <v>180</v>
      </c>
      <c r="BB47" s="1">
        <v>530045</v>
      </c>
      <c r="BE47" s="1" t="s">
        <v>626</v>
      </c>
      <c r="BF47" s="122">
        <v>45937.498611111114</v>
      </c>
    </row>
    <row r="48" spans="1:58">
      <c r="A48" s="1">
        <v>41</v>
      </c>
      <c r="B48" s="1" t="s">
        <v>179</v>
      </c>
      <c r="C48" s="1" t="s">
        <v>180</v>
      </c>
      <c r="D48" s="1" t="s">
        <v>181</v>
      </c>
      <c r="E48" s="1" t="s">
        <v>627</v>
      </c>
      <c r="F48" s="122">
        <v>45920.487500000003</v>
      </c>
      <c r="G48" s="1" t="s">
        <v>533</v>
      </c>
      <c r="I48" s="1" t="s">
        <v>628</v>
      </c>
      <c r="K48" s="1" t="s">
        <v>629</v>
      </c>
      <c r="M48" s="1" t="s">
        <v>206</v>
      </c>
      <c r="N48" s="1" t="s">
        <v>630</v>
      </c>
      <c r="O48" s="1">
        <v>197380</v>
      </c>
      <c r="P48" s="1">
        <v>2340772</v>
      </c>
      <c r="Q48" s="1" t="s">
        <v>260</v>
      </c>
      <c r="R48" s="1" t="s">
        <v>631</v>
      </c>
      <c r="S48" s="1" t="s">
        <v>632</v>
      </c>
      <c r="T48" s="1" t="s">
        <v>191</v>
      </c>
      <c r="U48" s="122">
        <v>44132.517361111109</v>
      </c>
      <c r="V48" s="1" t="s">
        <v>558</v>
      </c>
      <c r="W48" s="1" t="s">
        <v>20</v>
      </c>
      <c r="X48" s="1" t="s">
        <v>559</v>
      </c>
      <c r="Z48" s="1" t="s">
        <v>538</v>
      </c>
      <c r="AA48" s="1">
        <v>42948</v>
      </c>
      <c r="AB48" s="1">
        <v>0</v>
      </c>
      <c r="AC48" s="1">
        <v>0</v>
      </c>
      <c r="AD48" s="122">
        <v>45924.768750000003</v>
      </c>
      <c r="AE48" s="122">
        <v>45924.768750000003</v>
      </c>
      <c r="AF48" s="122">
        <v>45938.609722222223</v>
      </c>
      <c r="AG48" s="1">
        <v>0</v>
      </c>
      <c r="AH48" s="1">
        <v>0</v>
      </c>
      <c r="AI48" s="1" t="s">
        <v>195</v>
      </c>
      <c r="AJ48" s="122">
        <v>45920.488194444442</v>
      </c>
      <c r="AL48" s="1" t="s">
        <v>196</v>
      </c>
      <c r="AO48" s="1" t="s">
        <v>113</v>
      </c>
      <c r="AP48" s="1" t="s">
        <v>633</v>
      </c>
      <c r="AQ48" s="122">
        <v>45938.609722222223</v>
      </c>
      <c r="AR48" s="1">
        <v>13699.22</v>
      </c>
      <c r="AS48" s="1">
        <v>3346.39</v>
      </c>
      <c r="AT48" s="1" t="s">
        <v>198</v>
      </c>
      <c r="AW48" s="1">
        <v>17046</v>
      </c>
      <c r="AX48" s="1" t="s">
        <v>634</v>
      </c>
      <c r="AY48" s="1" t="s">
        <v>635</v>
      </c>
      <c r="AZ48" s="1" t="s">
        <v>636</v>
      </c>
      <c r="BA48" s="1" t="s">
        <v>180</v>
      </c>
      <c r="BB48" s="1">
        <v>531126</v>
      </c>
      <c r="BE48" s="1" t="s">
        <v>637</v>
      </c>
      <c r="BF48" s="122">
        <v>45920.475694444445</v>
      </c>
    </row>
    <row r="49" spans="1:58">
      <c r="A49" s="1">
        <v>42</v>
      </c>
      <c r="B49" s="1" t="s">
        <v>179</v>
      </c>
      <c r="C49" s="1" t="s">
        <v>180</v>
      </c>
      <c r="D49" s="1" t="s">
        <v>181</v>
      </c>
      <c r="E49" s="1" t="s">
        <v>627</v>
      </c>
      <c r="F49" s="122">
        <v>45920.487500000003</v>
      </c>
      <c r="G49" s="1" t="s">
        <v>533</v>
      </c>
      <c r="I49" s="1" t="s">
        <v>628</v>
      </c>
      <c r="K49" s="1" t="s">
        <v>629</v>
      </c>
      <c r="M49" s="1" t="s">
        <v>206</v>
      </c>
      <c r="N49" s="1" t="s">
        <v>630</v>
      </c>
      <c r="O49" s="1">
        <v>197380</v>
      </c>
      <c r="P49" s="1">
        <v>2340772</v>
      </c>
      <c r="Q49" s="1" t="s">
        <v>260</v>
      </c>
      <c r="R49" s="1" t="s">
        <v>631</v>
      </c>
      <c r="S49" s="1" t="s">
        <v>632</v>
      </c>
      <c r="T49" s="1" t="s">
        <v>191</v>
      </c>
      <c r="U49" s="122">
        <v>44132.517361111109</v>
      </c>
      <c r="V49" s="1" t="s">
        <v>558</v>
      </c>
      <c r="W49" s="1" t="s">
        <v>20</v>
      </c>
      <c r="X49" s="1" t="s">
        <v>559</v>
      </c>
      <c r="Z49" s="1" t="s">
        <v>538</v>
      </c>
      <c r="AA49" s="1">
        <v>42948</v>
      </c>
      <c r="AB49" s="1">
        <v>0</v>
      </c>
      <c r="AC49" s="1">
        <v>0</v>
      </c>
      <c r="AD49" s="122">
        <v>45924.768750000003</v>
      </c>
      <c r="AE49" s="122">
        <v>45924.768750000003</v>
      </c>
      <c r="AF49" s="122">
        <v>45938.609722222223</v>
      </c>
      <c r="AG49" s="1">
        <v>0</v>
      </c>
      <c r="AH49" s="1">
        <v>0</v>
      </c>
      <c r="AI49" s="1" t="s">
        <v>195</v>
      </c>
      <c r="AJ49" s="122">
        <v>45920.488194444442</v>
      </c>
      <c r="AL49" s="1" t="s">
        <v>196</v>
      </c>
      <c r="AO49" s="1" t="s">
        <v>113</v>
      </c>
      <c r="AP49" s="1" t="s">
        <v>638</v>
      </c>
      <c r="AQ49" s="122">
        <v>45938.609722222223</v>
      </c>
      <c r="AR49" s="1">
        <v>0</v>
      </c>
      <c r="AS49" s="1">
        <v>0</v>
      </c>
      <c r="AT49" s="1" t="s">
        <v>198</v>
      </c>
      <c r="AW49" s="1">
        <v>0</v>
      </c>
      <c r="AX49" s="1" t="s">
        <v>634</v>
      </c>
      <c r="AY49" s="1" t="s">
        <v>635</v>
      </c>
      <c r="AZ49" s="1" t="s">
        <v>636</v>
      </c>
      <c r="BA49" s="1" t="s">
        <v>180</v>
      </c>
      <c r="BB49" s="1">
        <v>531126</v>
      </c>
      <c r="BE49" s="1" t="s">
        <v>637</v>
      </c>
      <c r="BF49" s="122">
        <v>45920.475694444445</v>
      </c>
    </row>
    <row r="50" spans="1:58">
      <c r="A50" s="1">
        <v>43</v>
      </c>
      <c r="B50" s="1" t="s">
        <v>179</v>
      </c>
      <c r="C50" s="1" t="s">
        <v>180</v>
      </c>
      <c r="D50" s="1" t="s">
        <v>181</v>
      </c>
      <c r="E50" s="1" t="s">
        <v>639</v>
      </c>
      <c r="F50" s="122">
        <v>45938.624305555553</v>
      </c>
      <c r="G50" s="1" t="s">
        <v>244</v>
      </c>
      <c r="H50" s="1" t="s">
        <v>471</v>
      </c>
      <c r="I50" s="1" t="s">
        <v>640</v>
      </c>
      <c r="K50" s="1" t="s">
        <v>641</v>
      </c>
      <c r="M50" s="1" t="s">
        <v>206</v>
      </c>
      <c r="N50" s="1" t="s">
        <v>642</v>
      </c>
      <c r="O50" s="1">
        <v>492463</v>
      </c>
      <c r="P50" s="1">
        <v>5276638</v>
      </c>
      <c r="Q50" s="1" t="s">
        <v>643</v>
      </c>
      <c r="R50" s="1" t="s">
        <v>644</v>
      </c>
      <c r="S50" s="1" t="s">
        <v>645</v>
      </c>
      <c r="T50" s="1" t="s">
        <v>454</v>
      </c>
      <c r="U50" s="122">
        <v>41963.630555555559</v>
      </c>
      <c r="V50" s="1" t="s">
        <v>192</v>
      </c>
      <c r="W50" s="1" t="s">
        <v>19</v>
      </c>
      <c r="X50" s="1" t="s">
        <v>226</v>
      </c>
      <c r="Z50" s="1" t="s">
        <v>4</v>
      </c>
      <c r="AA50" s="1">
        <v>55988</v>
      </c>
      <c r="AB50" s="1">
        <v>500</v>
      </c>
      <c r="AC50" s="1">
        <v>1250</v>
      </c>
      <c r="AD50" s="122">
        <v>45938.770833333336</v>
      </c>
      <c r="AE50" s="122">
        <v>45938.770833333336</v>
      </c>
      <c r="AF50" s="122">
        <v>45938.745138888888</v>
      </c>
      <c r="AG50" s="1">
        <v>1250</v>
      </c>
      <c r="AH50" s="1">
        <v>0</v>
      </c>
      <c r="AI50" s="1" t="s">
        <v>195</v>
      </c>
      <c r="AJ50" s="122">
        <v>45938.669444444444</v>
      </c>
      <c r="AK50" s="122">
        <v>45938.670138888891</v>
      </c>
      <c r="AL50" s="1" t="s">
        <v>212</v>
      </c>
      <c r="AO50" s="1" t="s">
        <v>113</v>
      </c>
      <c r="AP50" s="1" t="s">
        <v>646</v>
      </c>
      <c r="AQ50" s="122">
        <v>45938.745138888888</v>
      </c>
      <c r="AR50" s="1">
        <v>280.01</v>
      </c>
      <c r="AS50" s="1">
        <v>1129.99</v>
      </c>
      <c r="AT50" s="1" t="s">
        <v>198</v>
      </c>
      <c r="AU50" s="121">
        <v>45938</v>
      </c>
      <c r="AW50" s="1">
        <v>1410</v>
      </c>
      <c r="AX50" s="1" t="s">
        <v>647</v>
      </c>
      <c r="AY50" s="1" t="s">
        <v>648</v>
      </c>
      <c r="BA50" s="1" t="s">
        <v>180</v>
      </c>
      <c r="BB50" s="1">
        <v>760001</v>
      </c>
      <c r="BC50" s="121">
        <v>23133</v>
      </c>
      <c r="BE50" s="1" t="s">
        <v>649</v>
      </c>
      <c r="BF50" s="122">
        <v>45938.62222222222</v>
      </c>
    </row>
    <row r="51" spans="1:58">
      <c r="A51" s="1">
        <v>44</v>
      </c>
      <c r="B51" s="1" t="s">
        <v>179</v>
      </c>
      <c r="C51" s="1" t="s">
        <v>180</v>
      </c>
      <c r="D51" s="1" t="s">
        <v>181</v>
      </c>
      <c r="E51" s="1" t="s">
        <v>650</v>
      </c>
      <c r="F51" s="122">
        <v>45938.401388888888</v>
      </c>
      <c r="G51" s="1" t="s">
        <v>651</v>
      </c>
      <c r="I51" s="1" t="s">
        <v>652</v>
      </c>
      <c r="K51" s="1" t="s">
        <v>653</v>
      </c>
      <c r="N51" s="1" t="s">
        <v>654</v>
      </c>
      <c r="O51" s="1">
        <v>399640</v>
      </c>
      <c r="P51" s="1">
        <v>1295927</v>
      </c>
      <c r="Q51" s="1" t="s">
        <v>655</v>
      </c>
      <c r="R51" s="1" t="s">
        <v>656</v>
      </c>
      <c r="S51" s="1" t="s">
        <v>657</v>
      </c>
      <c r="U51" s="122">
        <v>45897.792361111111</v>
      </c>
      <c r="V51" s="1" t="s">
        <v>192</v>
      </c>
      <c r="W51" s="1" t="s">
        <v>19</v>
      </c>
      <c r="X51" s="1" t="s">
        <v>226</v>
      </c>
      <c r="Z51" s="1" t="s">
        <v>658</v>
      </c>
      <c r="AA51" s="1">
        <v>1077</v>
      </c>
      <c r="AB51" s="1">
        <v>0</v>
      </c>
      <c r="AC51" s="1">
        <v>60</v>
      </c>
      <c r="AD51" s="122">
        <v>45938.5625</v>
      </c>
      <c r="AE51" s="122">
        <v>45938.5625</v>
      </c>
      <c r="AF51" s="122">
        <v>45938.710416666669</v>
      </c>
      <c r="AG51" s="1">
        <v>0</v>
      </c>
      <c r="AH51" s="1">
        <v>0</v>
      </c>
      <c r="AI51" s="1" t="s">
        <v>195</v>
      </c>
      <c r="AJ51" s="122">
        <v>45938.444444444445</v>
      </c>
      <c r="AK51" s="122">
        <v>45938.445138888892</v>
      </c>
      <c r="AL51" s="1" t="s">
        <v>212</v>
      </c>
      <c r="AO51" s="1" t="s">
        <v>113</v>
      </c>
      <c r="AP51" s="1" t="s">
        <v>659</v>
      </c>
      <c r="AQ51" s="122">
        <v>45938.710416666669</v>
      </c>
      <c r="AR51" s="1">
        <v>0</v>
      </c>
      <c r="AS51" s="1">
        <v>53.96</v>
      </c>
      <c r="AT51" s="1" t="s">
        <v>198</v>
      </c>
      <c r="AU51" s="121">
        <v>45938</v>
      </c>
      <c r="AW51" s="1">
        <v>54</v>
      </c>
      <c r="AX51" s="1" t="s">
        <v>660</v>
      </c>
      <c r="AY51" s="1" t="s">
        <v>661</v>
      </c>
      <c r="AZ51" s="1" t="s">
        <v>662</v>
      </c>
      <c r="BA51" s="1" t="s">
        <v>180</v>
      </c>
      <c r="BB51" s="1">
        <v>531002</v>
      </c>
      <c r="BF51" s="122">
        <v>45938.397222222222</v>
      </c>
    </row>
    <row r="52" spans="1:58">
      <c r="A52" s="1">
        <v>45</v>
      </c>
      <c r="B52" s="1" t="s">
        <v>179</v>
      </c>
      <c r="C52" s="1" t="s">
        <v>180</v>
      </c>
      <c r="D52" s="1" t="s">
        <v>181</v>
      </c>
      <c r="E52" s="1" t="s">
        <v>663</v>
      </c>
      <c r="F52" s="122">
        <v>45938.515972222223</v>
      </c>
      <c r="G52" s="1" t="s">
        <v>595</v>
      </c>
      <c r="I52" s="1" t="s">
        <v>664</v>
      </c>
      <c r="K52" s="1" t="s">
        <v>665</v>
      </c>
      <c r="N52" s="1" t="s">
        <v>666</v>
      </c>
      <c r="O52" s="1">
        <v>316285</v>
      </c>
      <c r="P52" s="1">
        <v>1297009</v>
      </c>
      <c r="Q52" s="1" t="s">
        <v>248</v>
      </c>
      <c r="R52" s="1" t="s">
        <v>667</v>
      </c>
      <c r="S52" s="1" t="s">
        <v>484</v>
      </c>
      <c r="T52" s="1" t="s">
        <v>191</v>
      </c>
      <c r="U52" s="122">
        <v>44833.50277777778</v>
      </c>
      <c r="V52" s="1" t="s">
        <v>192</v>
      </c>
      <c r="W52" s="1" t="s">
        <v>19</v>
      </c>
      <c r="X52" s="1" t="s">
        <v>226</v>
      </c>
      <c r="Z52" s="1" t="s">
        <v>602</v>
      </c>
      <c r="AA52" s="1">
        <v>49200</v>
      </c>
      <c r="AB52" s="1">
        <v>0</v>
      </c>
      <c r="AC52" s="1">
        <v>0</v>
      </c>
      <c r="AD52" s="122">
        <v>45938.5625</v>
      </c>
      <c r="AE52" s="122">
        <v>45938.5625</v>
      </c>
      <c r="AF52" s="122">
        <v>45938.542361111111</v>
      </c>
      <c r="AG52" s="1">
        <v>0</v>
      </c>
      <c r="AH52" s="1">
        <v>0</v>
      </c>
      <c r="AI52" s="1" t="s">
        <v>195</v>
      </c>
      <c r="AJ52" s="122">
        <v>45938.539583333331</v>
      </c>
      <c r="AK52" s="122">
        <v>45938.539583333331</v>
      </c>
      <c r="AL52" s="1" t="s">
        <v>212</v>
      </c>
      <c r="AO52" s="1" t="s">
        <v>113</v>
      </c>
      <c r="AP52" s="1" t="s">
        <v>668</v>
      </c>
      <c r="AQ52" s="122">
        <v>45938.542361111111</v>
      </c>
      <c r="AR52" s="1">
        <v>82.02</v>
      </c>
      <c r="AS52" s="1">
        <v>67.98</v>
      </c>
      <c r="AT52" s="1" t="s">
        <v>198</v>
      </c>
      <c r="AW52" s="1">
        <v>150</v>
      </c>
      <c r="AX52" s="1" t="s">
        <v>669</v>
      </c>
      <c r="AY52" s="1" t="s">
        <v>670</v>
      </c>
      <c r="AZ52" s="1" t="s">
        <v>671</v>
      </c>
      <c r="BA52" s="1" t="s">
        <v>180</v>
      </c>
      <c r="BB52" s="1">
        <v>530040</v>
      </c>
      <c r="BF52" s="122">
        <v>45938.511805555558</v>
      </c>
    </row>
    <row r="53" spans="1:58">
      <c r="A53" s="1">
        <v>46</v>
      </c>
      <c r="B53" s="1" t="s">
        <v>179</v>
      </c>
      <c r="C53" s="1" t="s">
        <v>180</v>
      </c>
      <c r="D53" s="1" t="s">
        <v>181</v>
      </c>
      <c r="E53" s="1" t="s">
        <v>672</v>
      </c>
      <c r="F53" s="122">
        <v>45937.473611111112</v>
      </c>
      <c r="G53" s="1" t="s">
        <v>218</v>
      </c>
      <c r="I53" s="1" t="s">
        <v>673</v>
      </c>
      <c r="K53" s="1" t="s">
        <v>674</v>
      </c>
      <c r="M53" s="1" t="s">
        <v>325</v>
      </c>
      <c r="N53" s="1" t="s">
        <v>675</v>
      </c>
      <c r="O53" s="1">
        <v>493835</v>
      </c>
      <c r="P53" s="1">
        <v>1113159</v>
      </c>
      <c r="Q53" s="1" t="s">
        <v>235</v>
      </c>
      <c r="R53" s="1" t="s">
        <v>676</v>
      </c>
      <c r="S53" s="1" t="s">
        <v>225</v>
      </c>
      <c r="T53" s="1" t="s">
        <v>191</v>
      </c>
      <c r="U53" s="122">
        <v>43763.761805555558</v>
      </c>
      <c r="V53" s="1" t="s">
        <v>192</v>
      </c>
      <c r="W53" s="1" t="s">
        <v>19</v>
      </c>
      <c r="X53" s="1" t="s">
        <v>226</v>
      </c>
      <c r="Z53" s="1" t="s">
        <v>3</v>
      </c>
      <c r="AA53" s="1">
        <v>37063</v>
      </c>
      <c r="AB53" s="1">
        <v>3000</v>
      </c>
      <c r="AC53" s="1">
        <v>4000</v>
      </c>
      <c r="AD53" s="122">
        <v>45937.770833333336</v>
      </c>
      <c r="AE53" s="122">
        <v>45937.770833333336</v>
      </c>
      <c r="AF53" s="122">
        <v>45938.408333333333</v>
      </c>
      <c r="AG53" s="1">
        <v>4921.8999999999996</v>
      </c>
      <c r="AH53" s="1">
        <v>2190</v>
      </c>
      <c r="AI53" s="1" t="s">
        <v>195</v>
      </c>
      <c r="AJ53" s="122">
        <v>45937.605555555558</v>
      </c>
      <c r="AK53" s="122">
        <v>45937.605555555558</v>
      </c>
      <c r="AL53" s="1" t="s">
        <v>212</v>
      </c>
      <c r="AO53" s="1" t="s">
        <v>113</v>
      </c>
      <c r="AP53" s="1" t="s">
        <v>677</v>
      </c>
      <c r="AQ53" s="122">
        <v>45938.408333333333</v>
      </c>
      <c r="AR53" s="1">
        <v>2835.54</v>
      </c>
      <c r="AS53" s="1">
        <v>3442.12</v>
      </c>
      <c r="AT53" s="1" t="s">
        <v>198</v>
      </c>
      <c r="AU53" s="121">
        <v>45937</v>
      </c>
      <c r="AW53" s="1">
        <v>6278</v>
      </c>
      <c r="AX53" s="1" t="s">
        <v>678</v>
      </c>
      <c r="AY53" s="1" t="s">
        <v>679</v>
      </c>
      <c r="AZ53" s="1" t="s">
        <v>680</v>
      </c>
      <c r="BA53" s="1" t="s">
        <v>180</v>
      </c>
      <c r="BB53" s="1">
        <v>530027</v>
      </c>
      <c r="BE53" s="1" t="s">
        <v>681</v>
      </c>
      <c r="BF53" s="122">
        <v>45937.46597222222</v>
      </c>
    </row>
    <row r="54" spans="1:58">
      <c r="A54" s="1">
        <v>47</v>
      </c>
      <c r="B54" s="1" t="s">
        <v>179</v>
      </c>
      <c r="C54" s="1" t="s">
        <v>180</v>
      </c>
      <c r="D54" s="1" t="s">
        <v>181</v>
      </c>
      <c r="E54" s="1" t="s">
        <v>682</v>
      </c>
      <c r="F54" s="122">
        <v>45938.425694444442</v>
      </c>
      <c r="G54" s="1" t="s">
        <v>244</v>
      </c>
      <c r="I54" s="1" t="s">
        <v>683</v>
      </c>
      <c r="K54" s="1" t="s">
        <v>684</v>
      </c>
      <c r="M54" s="1" t="s">
        <v>408</v>
      </c>
      <c r="N54" s="1" t="s">
        <v>685</v>
      </c>
      <c r="O54" s="1">
        <v>174801</v>
      </c>
      <c r="P54" s="1">
        <v>5561792</v>
      </c>
      <c r="Q54" s="1" t="s">
        <v>303</v>
      </c>
      <c r="R54" s="1" t="s">
        <v>686</v>
      </c>
      <c r="S54" s="1" t="s">
        <v>687</v>
      </c>
      <c r="T54" s="1" t="s">
        <v>454</v>
      </c>
      <c r="U54" s="122">
        <v>43099.894444444442</v>
      </c>
      <c r="V54" s="1" t="s">
        <v>192</v>
      </c>
      <c r="W54" s="1" t="s">
        <v>21</v>
      </c>
      <c r="X54" s="1" t="s">
        <v>226</v>
      </c>
      <c r="Z54" s="1" t="s">
        <v>4</v>
      </c>
      <c r="AA54" s="1">
        <v>108194</v>
      </c>
      <c r="AB54" s="1">
        <v>800</v>
      </c>
      <c r="AC54" s="1">
        <v>200</v>
      </c>
      <c r="AD54" s="122">
        <v>45938.770833333336</v>
      </c>
      <c r="AE54" s="122">
        <v>45938.729166666664</v>
      </c>
      <c r="AF54" s="122">
        <v>45938.626388888886</v>
      </c>
      <c r="AG54" s="1">
        <v>200</v>
      </c>
      <c r="AH54" s="1">
        <v>0</v>
      </c>
      <c r="AI54" s="1" t="s">
        <v>195</v>
      </c>
      <c r="AJ54" s="122">
        <v>45938.613194444442</v>
      </c>
      <c r="AK54" s="122">
        <v>45938.613888888889</v>
      </c>
      <c r="AL54" s="1" t="s">
        <v>212</v>
      </c>
      <c r="AO54" s="1" t="s">
        <v>113</v>
      </c>
      <c r="AP54" s="1" t="s">
        <v>688</v>
      </c>
      <c r="AQ54" s="122">
        <v>45938.647916666669</v>
      </c>
      <c r="AR54" s="1">
        <v>1062</v>
      </c>
      <c r="AS54" s="1">
        <v>0</v>
      </c>
      <c r="AT54" s="1" t="s">
        <v>198</v>
      </c>
      <c r="AW54" s="1">
        <v>1062</v>
      </c>
      <c r="AX54" s="1" t="s">
        <v>689</v>
      </c>
      <c r="AY54" s="1" t="s">
        <v>690</v>
      </c>
      <c r="AZ54" s="1" t="s">
        <v>691</v>
      </c>
      <c r="BA54" s="1" t="s">
        <v>180</v>
      </c>
      <c r="BB54" s="1">
        <v>500090</v>
      </c>
      <c r="BE54" s="1" t="s">
        <v>692</v>
      </c>
      <c r="BF54" s="122">
        <v>45938.421527777777</v>
      </c>
    </row>
    <row r="55" spans="1:58">
      <c r="A55" s="1">
        <v>48</v>
      </c>
      <c r="B55" s="1" t="s">
        <v>179</v>
      </c>
      <c r="C55" s="1" t="s">
        <v>180</v>
      </c>
      <c r="D55" s="1" t="s">
        <v>181</v>
      </c>
      <c r="E55" s="1" t="s">
        <v>693</v>
      </c>
      <c r="F55" s="122">
        <v>45938.463194444441</v>
      </c>
      <c r="G55" s="1" t="s">
        <v>203</v>
      </c>
      <c r="I55" s="1" t="s">
        <v>694</v>
      </c>
      <c r="K55" s="1" t="s">
        <v>695</v>
      </c>
      <c r="M55" s="1" t="s">
        <v>206</v>
      </c>
      <c r="N55" s="1" t="s">
        <v>696</v>
      </c>
      <c r="O55" s="1">
        <v>954909</v>
      </c>
      <c r="P55" s="1">
        <v>9690346</v>
      </c>
      <c r="Q55" s="1" t="s">
        <v>235</v>
      </c>
      <c r="R55" s="1" t="s">
        <v>697</v>
      </c>
      <c r="S55" s="1" t="s">
        <v>237</v>
      </c>
      <c r="T55" s="1" t="s">
        <v>191</v>
      </c>
      <c r="U55" s="122">
        <v>45694.715277777781</v>
      </c>
      <c r="V55" s="1" t="s">
        <v>192</v>
      </c>
      <c r="W55" s="1" t="s">
        <v>19</v>
      </c>
      <c r="X55" s="1" t="s">
        <v>226</v>
      </c>
      <c r="Z55" s="1" t="s">
        <v>211</v>
      </c>
      <c r="AA55" s="1">
        <v>12197</v>
      </c>
      <c r="AB55" s="1">
        <v>0</v>
      </c>
      <c r="AC55" s="1">
        <v>2500</v>
      </c>
      <c r="AD55" s="122">
        <v>45938.770833333336</v>
      </c>
      <c r="AE55" s="122">
        <v>45938.770833333336</v>
      </c>
      <c r="AF55" s="122">
        <v>45938.650694444441</v>
      </c>
      <c r="AG55" s="1">
        <v>2500</v>
      </c>
      <c r="AH55" s="1">
        <v>0</v>
      </c>
      <c r="AI55" s="1" t="s">
        <v>195</v>
      </c>
      <c r="AJ55" s="122">
        <v>45938.646527777775</v>
      </c>
      <c r="AK55" s="122">
        <v>45938.646527777775</v>
      </c>
      <c r="AL55" s="1" t="s">
        <v>212</v>
      </c>
      <c r="AO55" s="1" t="s">
        <v>113</v>
      </c>
      <c r="AP55" s="1" t="s">
        <v>698</v>
      </c>
      <c r="AQ55" s="122">
        <v>45938.651388888888</v>
      </c>
      <c r="AR55" s="1">
        <v>0</v>
      </c>
      <c r="AS55" s="1">
        <v>1790.91</v>
      </c>
      <c r="AT55" s="1" t="s">
        <v>198</v>
      </c>
      <c r="AU55" s="121">
        <v>45938</v>
      </c>
      <c r="AW55" s="1">
        <v>1791</v>
      </c>
      <c r="AX55" s="1" t="s">
        <v>699</v>
      </c>
      <c r="AY55" s="1" t="s">
        <v>700</v>
      </c>
      <c r="AZ55" s="1" t="s">
        <v>701</v>
      </c>
      <c r="BA55" s="1" t="s">
        <v>180</v>
      </c>
      <c r="BB55" s="1">
        <v>530040</v>
      </c>
      <c r="BE55" s="1" t="s">
        <v>489</v>
      </c>
      <c r="BF55" s="122">
        <v>45938.456944444442</v>
      </c>
    </row>
    <row r="56" spans="1:58">
      <c r="A56" s="1">
        <v>49</v>
      </c>
      <c r="B56" s="1" t="s">
        <v>179</v>
      </c>
      <c r="C56" s="1" t="s">
        <v>180</v>
      </c>
      <c r="D56" s="1" t="s">
        <v>181</v>
      </c>
      <c r="E56" s="1" t="s">
        <v>702</v>
      </c>
      <c r="F56" s="122">
        <v>45938.4375</v>
      </c>
      <c r="G56" s="1" t="s">
        <v>533</v>
      </c>
      <c r="I56" s="1" t="s">
        <v>703</v>
      </c>
      <c r="K56" s="1" t="s">
        <v>704</v>
      </c>
      <c r="M56" s="1" t="s">
        <v>206</v>
      </c>
      <c r="N56" s="1" t="s">
        <v>705</v>
      </c>
      <c r="O56" s="1">
        <v>693585</v>
      </c>
      <c r="P56" s="1">
        <v>8355924</v>
      </c>
      <c r="Q56" s="1" t="s">
        <v>706</v>
      </c>
      <c r="R56" s="1" t="s">
        <v>707</v>
      </c>
      <c r="S56" s="1" t="s">
        <v>348</v>
      </c>
      <c r="T56" s="1" t="s">
        <v>191</v>
      </c>
      <c r="U56" s="122">
        <v>43890.818055555559</v>
      </c>
      <c r="V56" s="1" t="s">
        <v>192</v>
      </c>
      <c r="W56" s="1" t="s">
        <v>20</v>
      </c>
      <c r="X56" s="1" t="s">
        <v>708</v>
      </c>
      <c r="Z56" s="1" t="s">
        <v>538</v>
      </c>
      <c r="AA56" s="1">
        <v>8224</v>
      </c>
      <c r="AB56" s="1">
        <v>0</v>
      </c>
      <c r="AC56" s="1">
        <v>0</v>
      </c>
      <c r="AD56" s="122">
        <v>45938.645833333336</v>
      </c>
      <c r="AE56" s="122">
        <v>45938.645833333336</v>
      </c>
      <c r="AF56" s="122">
        <v>45938.470138888886</v>
      </c>
      <c r="AG56" s="1">
        <v>0</v>
      </c>
      <c r="AH56" s="1">
        <v>0</v>
      </c>
      <c r="AI56" s="1" t="s">
        <v>195</v>
      </c>
      <c r="AJ56" s="122">
        <v>45938.462500000001</v>
      </c>
      <c r="AL56" s="1" t="s">
        <v>196</v>
      </c>
      <c r="AO56" s="1" t="s">
        <v>113</v>
      </c>
      <c r="AP56" s="1" t="s">
        <v>709</v>
      </c>
      <c r="AQ56" s="122">
        <v>45938.470833333333</v>
      </c>
      <c r="AR56" s="1">
        <v>1298</v>
      </c>
      <c r="AS56" s="1">
        <v>0</v>
      </c>
      <c r="AT56" s="1" t="s">
        <v>198</v>
      </c>
      <c r="AW56" s="1">
        <v>1298</v>
      </c>
      <c r="AX56" s="1" t="s">
        <v>710</v>
      </c>
      <c r="AY56" s="1" t="s">
        <v>711</v>
      </c>
      <c r="AZ56" s="1" t="s">
        <v>712</v>
      </c>
      <c r="BA56" s="1" t="s">
        <v>180</v>
      </c>
      <c r="BB56" s="1">
        <v>530017</v>
      </c>
      <c r="BE56" s="1" t="s">
        <v>713</v>
      </c>
      <c r="BF56" s="122">
        <v>45938.432638888888</v>
      </c>
    </row>
    <row r="57" spans="1:58">
      <c r="A57" s="1">
        <v>50</v>
      </c>
      <c r="B57" s="1" t="s">
        <v>179</v>
      </c>
      <c r="C57" s="1" t="s">
        <v>180</v>
      </c>
      <c r="D57" s="1" t="s">
        <v>181</v>
      </c>
      <c r="E57" s="1" t="s">
        <v>714</v>
      </c>
      <c r="F57" s="122">
        <v>45937.761111111111</v>
      </c>
      <c r="G57" s="1" t="s">
        <v>533</v>
      </c>
      <c r="I57" s="1" t="s">
        <v>715</v>
      </c>
      <c r="K57" s="1" t="s">
        <v>716</v>
      </c>
      <c r="M57" s="1" t="s">
        <v>206</v>
      </c>
      <c r="N57" s="1" t="s">
        <v>717</v>
      </c>
      <c r="O57" s="1">
        <v>200044</v>
      </c>
      <c r="P57" s="1">
        <v>7270471</v>
      </c>
      <c r="Q57" s="1" t="s">
        <v>599</v>
      </c>
      <c r="R57" s="1" t="s">
        <v>718</v>
      </c>
      <c r="S57" s="1" t="s">
        <v>225</v>
      </c>
      <c r="T57" s="1" t="s">
        <v>454</v>
      </c>
      <c r="U57" s="122">
        <v>43264.717361111114</v>
      </c>
      <c r="V57" s="1" t="s">
        <v>558</v>
      </c>
      <c r="W57" s="1" t="s">
        <v>20</v>
      </c>
      <c r="X57" s="1" t="s">
        <v>559</v>
      </c>
      <c r="Z57" s="1" t="s">
        <v>538</v>
      </c>
      <c r="AA57" s="1">
        <v>21112</v>
      </c>
      <c r="AB57" s="1">
        <v>0</v>
      </c>
      <c r="AC57" s="1">
        <v>0</v>
      </c>
      <c r="AD57" s="122">
        <v>45939.754861111112</v>
      </c>
      <c r="AE57" s="122">
        <v>45939.754861111112</v>
      </c>
      <c r="AF57" s="122">
        <v>45939.487500000003</v>
      </c>
      <c r="AG57" s="1">
        <v>5517</v>
      </c>
      <c r="AH57" s="1">
        <v>0</v>
      </c>
      <c r="AI57" s="1" t="s">
        <v>195</v>
      </c>
      <c r="AJ57" s="122">
        <v>45937.772916666669</v>
      </c>
      <c r="AL57" s="1" t="s">
        <v>196</v>
      </c>
      <c r="AO57" s="1" t="s">
        <v>113</v>
      </c>
      <c r="AP57" s="1" t="s">
        <v>719</v>
      </c>
      <c r="AQ57" s="122">
        <v>45939.487500000003</v>
      </c>
      <c r="AR57" s="1">
        <v>1831.96</v>
      </c>
      <c r="AS57" s="1">
        <v>6066.97</v>
      </c>
      <c r="AT57" s="1" t="s">
        <v>198</v>
      </c>
      <c r="AW57" s="1">
        <v>7899</v>
      </c>
      <c r="AX57" s="1" t="s">
        <v>720</v>
      </c>
      <c r="AY57" s="1" t="s">
        <v>721</v>
      </c>
      <c r="AZ57" s="1" t="s">
        <v>722</v>
      </c>
      <c r="BA57" s="1" t="s">
        <v>180</v>
      </c>
      <c r="BB57" s="1">
        <v>530017</v>
      </c>
      <c r="BE57" s="1" t="s">
        <v>723</v>
      </c>
      <c r="BF57" s="122">
        <v>45937.752083333333</v>
      </c>
    </row>
    <row r="58" spans="1:58">
      <c r="A58" s="1">
        <v>51</v>
      </c>
      <c r="B58" s="1" t="s">
        <v>179</v>
      </c>
      <c r="C58" s="1" t="s">
        <v>180</v>
      </c>
      <c r="D58" s="1" t="s">
        <v>181</v>
      </c>
      <c r="E58" s="1" t="s">
        <v>724</v>
      </c>
      <c r="F58" s="122">
        <v>45939.631249999999</v>
      </c>
      <c r="G58" s="1" t="s">
        <v>595</v>
      </c>
      <c r="I58" s="1" t="s">
        <v>353</v>
      </c>
      <c r="K58" s="1" t="s">
        <v>354</v>
      </c>
      <c r="M58" s="1" t="s">
        <v>233</v>
      </c>
      <c r="N58" s="1" t="s">
        <v>355</v>
      </c>
      <c r="O58" s="1">
        <v>148074</v>
      </c>
      <c r="P58" s="1">
        <v>7039084</v>
      </c>
      <c r="Q58" s="1" t="s">
        <v>235</v>
      </c>
      <c r="R58" s="1" t="s">
        <v>356</v>
      </c>
      <c r="S58" s="1" t="s">
        <v>357</v>
      </c>
      <c r="T58" s="1" t="s">
        <v>191</v>
      </c>
      <c r="U58" s="122">
        <v>44848.813888888886</v>
      </c>
      <c r="V58" s="1" t="s">
        <v>192</v>
      </c>
      <c r="W58" s="1" t="s">
        <v>19</v>
      </c>
      <c r="X58" s="1" t="s">
        <v>193</v>
      </c>
      <c r="Z58" s="1" t="s">
        <v>602</v>
      </c>
      <c r="AA58" s="1">
        <v>83580</v>
      </c>
      <c r="AB58" s="1">
        <v>3000</v>
      </c>
      <c r="AC58" s="1">
        <v>500</v>
      </c>
      <c r="AD58" s="122">
        <v>45939.770833333336</v>
      </c>
      <c r="AE58" s="122">
        <v>45939.770833333336</v>
      </c>
      <c r="AF58" s="122">
        <v>45939.776388888888</v>
      </c>
      <c r="AG58" s="1">
        <v>500</v>
      </c>
      <c r="AH58" s="1">
        <v>3000</v>
      </c>
      <c r="AI58" s="1" t="s">
        <v>195</v>
      </c>
      <c r="AL58" s="1" t="s">
        <v>196</v>
      </c>
      <c r="AO58" s="1" t="s">
        <v>113</v>
      </c>
      <c r="AP58" s="1" t="s">
        <v>725</v>
      </c>
      <c r="AQ58" s="122">
        <v>45939.776388888888</v>
      </c>
      <c r="AR58" s="1">
        <v>0</v>
      </c>
      <c r="AS58" s="1">
        <v>0</v>
      </c>
      <c r="AT58" s="1" t="s">
        <v>198</v>
      </c>
      <c r="AW58" s="1">
        <v>0</v>
      </c>
      <c r="AX58" s="1" t="s">
        <v>359</v>
      </c>
      <c r="AY58" s="1" t="s">
        <v>360</v>
      </c>
      <c r="AZ58" s="1" t="s">
        <v>361</v>
      </c>
      <c r="BA58" s="1" t="s">
        <v>180</v>
      </c>
      <c r="BB58" s="1">
        <v>530045</v>
      </c>
      <c r="BE58" s="1" t="s">
        <v>362</v>
      </c>
      <c r="BF58" s="122">
        <v>45939.629166666666</v>
      </c>
    </row>
    <row r="59" spans="1:58">
      <c r="A59" s="1">
        <v>52</v>
      </c>
      <c r="B59" s="1" t="s">
        <v>179</v>
      </c>
      <c r="C59" s="1" t="s">
        <v>180</v>
      </c>
      <c r="D59" s="1" t="s">
        <v>181</v>
      </c>
      <c r="E59" s="1" t="s">
        <v>726</v>
      </c>
      <c r="F59" s="122">
        <v>45939.460416666669</v>
      </c>
      <c r="G59" s="1" t="s">
        <v>244</v>
      </c>
      <c r="H59" s="1" t="s">
        <v>471</v>
      </c>
      <c r="I59" s="1" t="s">
        <v>472</v>
      </c>
      <c r="K59" s="1" t="s">
        <v>473</v>
      </c>
      <c r="M59" s="1" t="s">
        <v>206</v>
      </c>
      <c r="N59" s="1" t="s">
        <v>474</v>
      </c>
      <c r="O59" s="1">
        <v>1524324</v>
      </c>
      <c r="P59" s="1">
        <v>3760097</v>
      </c>
      <c r="Q59" s="1" t="s">
        <v>260</v>
      </c>
      <c r="R59" s="1" t="s">
        <v>475</v>
      </c>
      <c r="S59" s="1" t="s">
        <v>379</v>
      </c>
      <c r="T59" s="1" t="s">
        <v>454</v>
      </c>
      <c r="U59" s="122">
        <v>40164.787499999999</v>
      </c>
      <c r="V59" s="1" t="s">
        <v>192</v>
      </c>
      <c r="W59" s="1" t="s">
        <v>19</v>
      </c>
      <c r="X59" s="1" t="s">
        <v>193</v>
      </c>
      <c r="Z59" s="1" t="s">
        <v>4</v>
      </c>
      <c r="AA59" s="1">
        <v>43324</v>
      </c>
      <c r="AB59" s="1">
        <v>500</v>
      </c>
      <c r="AC59" s="1">
        <v>2500</v>
      </c>
      <c r="AD59" s="122">
        <v>45939.770833333336</v>
      </c>
      <c r="AE59" s="122">
        <v>45939.770833333336</v>
      </c>
      <c r="AF59" s="122">
        <v>45939.730555555558</v>
      </c>
      <c r="AG59" s="1">
        <v>2500</v>
      </c>
      <c r="AH59" s="1">
        <v>0</v>
      </c>
      <c r="AI59" s="1" t="s">
        <v>195</v>
      </c>
      <c r="AJ59" s="122">
        <v>45939.642361111109</v>
      </c>
      <c r="AK59" s="122">
        <v>45939.642361111109</v>
      </c>
      <c r="AL59" s="1" t="s">
        <v>212</v>
      </c>
      <c r="AO59" s="1" t="s">
        <v>113</v>
      </c>
      <c r="AP59" s="1" t="s">
        <v>727</v>
      </c>
      <c r="AQ59" s="122">
        <v>45939.730555555558</v>
      </c>
      <c r="AR59" s="1">
        <v>892.04</v>
      </c>
      <c r="AS59" s="1">
        <v>3364.94</v>
      </c>
      <c r="AT59" s="1" t="s">
        <v>198</v>
      </c>
      <c r="AW59" s="1">
        <v>4257</v>
      </c>
      <c r="AX59" s="1" t="s">
        <v>477</v>
      </c>
      <c r="AY59" s="1" t="s">
        <v>478</v>
      </c>
      <c r="AZ59" s="1" t="s">
        <v>288</v>
      </c>
      <c r="BA59" s="1" t="s">
        <v>180</v>
      </c>
      <c r="BB59" s="1">
        <v>530045</v>
      </c>
      <c r="BF59" s="122">
        <v>45939.457638888889</v>
      </c>
    </row>
    <row r="60" spans="1:58">
      <c r="A60" s="1">
        <v>53</v>
      </c>
      <c r="B60" s="1" t="s">
        <v>179</v>
      </c>
      <c r="C60" s="1" t="s">
        <v>180</v>
      </c>
      <c r="D60" s="1" t="s">
        <v>181</v>
      </c>
      <c r="E60" s="1" t="s">
        <v>728</v>
      </c>
      <c r="F60" s="122">
        <v>45939.63958333333</v>
      </c>
      <c r="G60" s="1" t="s">
        <v>183</v>
      </c>
      <c r="I60" s="1" t="s">
        <v>729</v>
      </c>
      <c r="K60" s="1" t="s">
        <v>730</v>
      </c>
      <c r="M60" s="1" t="s">
        <v>186</v>
      </c>
      <c r="N60" s="1" t="s">
        <v>731</v>
      </c>
      <c r="O60" s="1">
        <v>917586</v>
      </c>
      <c r="P60" s="1">
        <v>4606581</v>
      </c>
      <c r="Q60" s="1" t="s">
        <v>188</v>
      </c>
      <c r="R60" s="1" t="s">
        <v>732</v>
      </c>
      <c r="S60" s="1" t="s">
        <v>733</v>
      </c>
      <c r="T60" s="1" t="s">
        <v>191</v>
      </c>
      <c r="U60" s="122">
        <v>45862.495138888888</v>
      </c>
      <c r="V60" s="1" t="s">
        <v>192</v>
      </c>
      <c r="W60" s="1" t="s">
        <v>21</v>
      </c>
      <c r="X60" s="1" t="s">
        <v>226</v>
      </c>
      <c r="Z60" s="1" t="s">
        <v>194</v>
      </c>
      <c r="AA60" s="1">
        <v>5896</v>
      </c>
      <c r="AB60" s="1">
        <v>0</v>
      </c>
      <c r="AC60" s="1">
        <v>60</v>
      </c>
      <c r="AD60" s="122">
        <v>45939.729166666664</v>
      </c>
      <c r="AE60" s="122">
        <v>45939.729166666664</v>
      </c>
      <c r="AF60" s="122">
        <v>45939.669444444444</v>
      </c>
      <c r="AG60" s="1">
        <v>0</v>
      </c>
      <c r="AH60" s="1">
        <v>0</v>
      </c>
      <c r="AI60" s="1" t="s">
        <v>195</v>
      </c>
      <c r="AJ60" s="122">
        <v>45939.663888888892</v>
      </c>
      <c r="AL60" s="1" t="s">
        <v>196</v>
      </c>
      <c r="AO60" s="1" t="s">
        <v>113</v>
      </c>
      <c r="AP60" s="1" t="s">
        <v>734</v>
      </c>
      <c r="AQ60" s="122">
        <v>45939.670138888891</v>
      </c>
      <c r="AR60" s="1">
        <v>0</v>
      </c>
      <c r="AS60" s="1">
        <v>53.97</v>
      </c>
      <c r="AT60" s="1" t="s">
        <v>198</v>
      </c>
      <c r="AW60" s="1">
        <v>54</v>
      </c>
      <c r="AX60" s="1" t="s">
        <v>735</v>
      </c>
      <c r="AY60" s="1" t="s">
        <v>736</v>
      </c>
      <c r="AZ60" s="1" t="s">
        <v>737</v>
      </c>
      <c r="BA60" s="1" t="s">
        <v>180</v>
      </c>
      <c r="BB60" s="1">
        <v>400702</v>
      </c>
      <c r="BE60" s="1" t="s">
        <v>738</v>
      </c>
      <c r="BF60" s="122">
        <v>45939.636805555558</v>
      </c>
    </row>
    <row r="61" spans="1:58">
      <c r="A61" s="1">
        <v>54</v>
      </c>
      <c r="B61" s="1" t="s">
        <v>179</v>
      </c>
      <c r="C61" s="1" t="s">
        <v>180</v>
      </c>
      <c r="D61" s="1" t="s">
        <v>181</v>
      </c>
      <c r="E61" s="1" t="s">
        <v>739</v>
      </c>
      <c r="F61" s="122">
        <v>45939.435416666667</v>
      </c>
      <c r="G61" s="1" t="s">
        <v>218</v>
      </c>
      <c r="I61" s="1" t="s">
        <v>740</v>
      </c>
      <c r="K61" s="1" t="s">
        <v>741</v>
      </c>
      <c r="M61" s="1" t="s">
        <v>325</v>
      </c>
      <c r="N61" s="1" t="s">
        <v>742</v>
      </c>
      <c r="O61" s="1">
        <v>279357</v>
      </c>
      <c r="P61" s="1">
        <v>8347238</v>
      </c>
      <c r="Q61" s="1" t="s">
        <v>260</v>
      </c>
      <c r="R61" s="1" t="s">
        <v>569</v>
      </c>
      <c r="S61" s="1" t="s">
        <v>329</v>
      </c>
      <c r="T61" s="1" t="s">
        <v>454</v>
      </c>
      <c r="U61" s="122">
        <v>43888.79583333333</v>
      </c>
      <c r="V61" s="1" t="s">
        <v>192</v>
      </c>
      <c r="W61" s="1" t="s">
        <v>21</v>
      </c>
      <c r="X61" s="1" t="s">
        <v>193</v>
      </c>
      <c r="Z61" s="1" t="s">
        <v>3</v>
      </c>
      <c r="AA61" s="1">
        <v>29500</v>
      </c>
      <c r="AB61" s="1">
        <v>2115</v>
      </c>
      <c r="AC61" s="1">
        <v>4500</v>
      </c>
      <c r="AD61" s="122">
        <v>45939.645833333336</v>
      </c>
      <c r="AE61" s="122">
        <v>45939.645833333336</v>
      </c>
      <c r="AF61" s="122">
        <v>45939.693749999999</v>
      </c>
      <c r="AG61" s="1">
        <v>4500</v>
      </c>
      <c r="AH61" s="1">
        <v>2115</v>
      </c>
      <c r="AI61" s="1" t="s">
        <v>195</v>
      </c>
      <c r="AL61" s="1" t="s">
        <v>196</v>
      </c>
      <c r="AO61" s="1" t="s">
        <v>113</v>
      </c>
      <c r="AP61" s="1" t="s">
        <v>743</v>
      </c>
      <c r="AQ61" s="122">
        <v>45939.762499999997</v>
      </c>
      <c r="AR61" s="1">
        <v>2148.1999999999998</v>
      </c>
      <c r="AS61" s="1">
        <v>3228.5</v>
      </c>
      <c r="AT61" s="1" t="s">
        <v>198</v>
      </c>
      <c r="AW61" s="1">
        <v>5377</v>
      </c>
      <c r="AX61" s="1" t="s">
        <v>744</v>
      </c>
      <c r="AY61" s="1" t="s">
        <v>745</v>
      </c>
      <c r="AZ61" s="1" t="s">
        <v>746</v>
      </c>
      <c r="BA61" s="1" t="s">
        <v>180</v>
      </c>
      <c r="BB61" s="1">
        <v>530041</v>
      </c>
      <c r="BF61" s="122">
        <v>45939.433333333334</v>
      </c>
    </row>
    <row r="62" spans="1:58">
      <c r="A62" s="1">
        <v>55</v>
      </c>
      <c r="B62" s="1" t="s">
        <v>179</v>
      </c>
      <c r="C62" s="1" t="s">
        <v>180</v>
      </c>
      <c r="D62" s="1" t="s">
        <v>181</v>
      </c>
      <c r="E62" s="1" t="s">
        <v>747</v>
      </c>
      <c r="F62" s="122">
        <v>45940.618055555555</v>
      </c>
      <c r="G62" s="1" t="s">
        <v>244</v>
      </c>
      <c r="I62" s="1" t="s">
        <v>748</v>
      </c>
      <c r="K62" s="1" t="s">
        <v>749</v>
      </c>
      <c r="M62" s="1" t="s">
        <v>186</v>
      </c>
      <c r="N62" s="1" t="s">
        <v>750</v>
      </c>
      <c r="O62" s="1">
        <v>101800</v>
      </c>
      <c r="P62" s="1">
        <v>5129893</v>
      </c>
      <c r="Q62" s="1" t="s">
        <v>235</v>
      </c>
      <c r="R62" s="1" t="s">
        <v>751</v>
      </c>
      <c r="S62" s="1" t="s">
        <v>687</v>
      </c>
      <c r="U62" s="122">
        <v>42362.56527777778</v>
      </c>
      <c r="V62" s="1" t="s">
        <v>192</v>
      </c>
      <c r="W62" s="1" t="s">
        <v>21</v>
      </c>
      <c r="X62" s="1" t="s">
        <v>193</v>
      </c>
      <c r="Z62" s="1" t="s">
        <v>4</v>
      </c>
      <c r="AA62" s="1">
        <v>140607</v>
      </c>
      <c r="AB62" s="1">
        <v>0</v>
      </c>
      <c r="AC62" s="1">
        <v>1000</v>
      </c>
      <c r="AD62" s="122">
        <v>45940.729166666664</v>
      </c>
      <c r="AE62" s="122">
        <v>45940.729166666664</v>
      </c>
      <c r="AF62" s="122">
        <v>45940.654166666667</v>
      </c>
      <c r="AG62" s="1">
        <v>1000</v>
      </c>
      <c r="AH62" s="1">
        <v>0</v>
      </c>
      <c r="AI62" s="1" t="s">
        <v>195</v>
      </c>
      <c r="AL62" s="1" t="s">
        <v>196</v>
      </c>
      <c r="AO62" s="1" t="s">
        <v>113</v>
      </c>
      <c r="AP62" s="1" t="s">
        <v>752</v>
      </c>
      <c r="AQ62" s="122">
        <v>45940.654166666667</v>
      </c>
      <c r="AR62" s="1">
        <v>317.45999999999998</v>
      </c>
      <c r="AS62" s="1">
        <v>677.49</v>
      </c>
      <c r="AT62" s="1" t="s">
        <v>198</v>
      </c>
      <c r="AW62" s="1">
        <v>995</v>
      </c>
      <c r="AX62" s="1" t="s">
        <v>753</v>
      </c>
      <c r="AY62" s="1" t="s">
        <v>754</v>
      </c>
      <c r="AZ62" s="1" t="s">
        <v>755</v>
      </c>
      <c r="BA62" s="1" t="s">
        <v>180</v>
      </c>
      <c r="BB62" s="1">
        <v>530017</v>
      </c>
      <c r="BE62" s="1" t="s">
        <v>519</v>
      </c>
      <c r="BF62" s="122">
        <v>45940.614583333336</v>
      </c>
    </row>
    <row r="63" spans="1:58">
      <c r="A63" s="1">
        <v>56</v>
      </c>
      <c r="B63" s="1" t="s">
        <v>179</v>
      </c>
      <c r="C63" s="1" t="s">
        <v>180</v>
      </c>
      <c r="D63" s="1" t="s">
        <v>181</v>
      </c>
      <c r="E63" s="1" t="s">
        <v>756</v>
      </c>
      <c r="F63" s="122">
        <v>45940.57916666667</v>
      </c>
      <c r="G63" s="1" t="s">
        <v>533</v>
      </c>
      <c r="I63" s="1" t="s">
        <v>757</v>
      </c>
      <c r="K63" s="1" t="s">
        <v>758</v>
      </c>
      <c r="M63" s="1" t="s">
        <v>206</v>
      </c>
      <c r="N63" s="1" t="s">
        <v>759</v>
      </c>
      <c r="O63" s="1">
        <v>712609</v>
      </c>
      <c r="P63" s="1">
        <v>8393208</v>
      </c>
      <c r="Q63" s="1" t="s">
        <v>315</v>
      </c>
      <c r="R63" s="1" t="s">
        <v>760</v>
      </c>
      <c r="S63" s="1" t="s">
        <v>348</v>
      </c>
      <c r="T63" s="1" t="s">
        <v>191</v>
      </c>
      <c r="U63" s="122">
        <v>44056.840277777781</v>
      </c>
      <c r="V63" s="1" t="s">
        <v>558</v>
      </c>
      <c r="W63" s="1" t="s">
        <v>20</v>
      </c>
      <c r="X63" s="1" t="s">
        <v>559</v>
      </c>
      <c r="Z63" s="1" t="s">
        <v>538</v>
      </c>
      <c r="AA63" s="1">
        <v>61988</v>
      </c>
      <c r="AB63" s="1">
        <v>0</v>
      </c>
      <c r="AC63" s="1">
        <v>0</v>
      </c>
      <c r="AD63" s="122">
        <v>45941.57916666667</v>
      </c>
      <c r="AE63" s="122">
        <v>45941.57916666667</v>
      </c>
      <c r="AF63" s="122">
        <v>45940.738888888889</v>
      </c>
      <c r="AG63" s="1">
        <v>0</v>
      </c>
      <c r="AH63" s="1">
        <v>0</v>
      </c>
      <c r="AI63" s="1" t="s">
        <v>195</v>
      </c>
      <c r="AJ63" s="122">
        <v>45940.580555555556</v>
      </c>
      <c r="AL63" s="1" t="s">
        <v>196</v>
      </c>
      <c r="AO63" s="1" t="s">
        <v>113</v>
      </c>
      <c r="AP63" s="1" t="s">
        <v>761</v>
      </c>
      <c r="AQ63" s="122">
        <v>45940.738888888889</v>
      </c>
      <c r="AR63" s="1">
        <v>630.03</v>
      </c>
      <c r="AS63" s="1">
        <v>239.98</v>
      </c>
      <c r="AT63" s="1" t="s">
        <v>198</v>
      </c>
      <c r="AW63" s="1">
        <v>870</v>
      </c>
      <c r="AX63" s="1" t="s">
        <v>762</v>
      </c>
      <c r="AY63" s="1" t="s">
        <v>763</v>
      </c>
      <c r="AZ63" s="1" t="s">
        <v>764</v>
      </c>
      <c r="BA63" s="1" t="s">
        <v>180</v>
      </c>
      <c r="BB63" s="1">
        <v>530026</v>
      </c>
      <c r="BE63" s="1" t="s">
        <v>765</v>
      </c>
      <c r="BF63" s="122">
        <v>45940.577777777777</v>
      </c>
    </row>
    <row r="64" spans="1:58">
      <c r="A64" s="1">
        <v>57</v>
      </c>
      <c r="B64" s="1" t="s">
        <v>179</v>
      </c>
      <c r="C64" s="1" t="s">
        <v>180</v>
      </c>
      <c r="D64" s="1" t="s">
        <v>181</v>
      </c>
      <c r="E64" s="1" t="s">
        <v>766</v>
      </c>
      <c r="F64" s="122">
        <v>45940.51458333333</v>
      </c>
      <c r="G64" s="1" t="s">
        <v>218</v>
      </c>
      <c r="I64" s="1" t="s">
        <v>767</v>
      </c>
      <c r="K64" s="1" t="s">
        <v>768</v>
      </c>
      <c r="M64" s="1" t="s">
        <v>769</v>
      </c>
      <c r="N64" s="1" t="s">
        <v>770</v>
      </c>
      <c r="O64" s="1">
        <v>576868</v>
      </c>
      <c r="P64" s="1">
        <v>4116317</v>
      </c>
      <c r="Q64" s="1" t="s">
        <v>303</v>
      </c>
      <c r="R64" s="1" t="s">
        <v>249</v>
      </c>
      <c r="S64" s="1" t="s">
        <v>250</v>
      </c>
      <c r="T64" s="1" t="s">
        <v>191</v>
      </c>
      <c r="U64" s="122">
        <v>44169.55</v>
      </c>
      <c r="V64" s="1" t="s">
        <v>192</v>
      </c>
      <c r="W64" s="1" t="s">
        <v>21</v>
      </c>
      <c r="X64" s="1" t="s">
        <v>193</v>
      </c>
      <c r="Z64" s="1" t="s">
        <v>3</v>
      </c>
      <c r="AA64" s="1">
        <v>60161</v>
      </c>
      <c r="AB64" s="1">
        <v>3500</v>
      </c>
      <c r="AC64" s="1">
        <v>5000</v>
      </c>
      <c r="AD64" s="122">
        <v>45940.770833333336</v>
      </c>
      <c r="AE64" s="122">
        <v>45940.770833333336</v>
      </c>
      <c r="AF64" s="122">
        <v>45940.737500000003</v>
      </c>
      <c r="AG64" s="1">
        <v>5000</v>
      </c>
      <c r="AH64" s="1">
        <v>3500</v>
      </c>
      <c r="AI64" s="1" t="s">
        <v>195</v>
      </c>
      <c r="AL64" s="1" t="s">
        <v>196</v>
      </c>
      <c r="AO64" s="1" t="s">
        <v>113</v>
      </c>
      <c r="AP64" s="1" t="s">
        <v>771</v>
      </c>
      <c r="AQ64" s="122">
        <v>45940.741666666669</v>
      </c>
      <c r="AR64" s="1">
        <v>2388.8000000000002</v>
      </c>
      <c r="AS64" s="1">
        <v>5386.94</v>
      </c>
      <c r="AT64" s="1" t="s">
        <v>413</v>
      </c>
      <c r="AU64" s="121">
        <v>45940</v>
      </c>
      <c r="AW64" s="1">
        <v>7776</v>
      </c>
      <c r="AX64" s="1" t="s">
        <v>288</v>
      </c>
      <c r="AY64" s="1" t="s">
        <v>772</v>
      </c>
      <c r="AZ64" s="1" t="s">
        <v>180</v>
      </c>
      <c r="BA64" s="1" t="s">
        <v>180</v>
      </c>
      <c r="BB64" s="1">
        <v>530042</v>
      </c>
      <c r="BE64" s="1" t="s">
        <v>773</v>
      </c>
      <c r="BF64" s="122">
        <v>45940.506944444445</v>
      </c>
    </row>
    <row r="65" spans="1:58">
      <c r="A65" s="1">
        <v>58</v>
      </c>
      <c r="B65" s="1" t="s">
        <v>179</v>
      </c>
      <c r="C65" s="1" t="s">
        <v>180</v>
      </c>
      <c r="D65" s="1" t="s">
        <v>181</v>
      </c>
      <c r="E65" s="1" t="s">
        <v>774</v>
      </c>
      <c r="F65" s="122">
        <v>45940.420138888891</v>
      </c>
      <c r="G65" s="1" t="s">
        <v>244</v>
      </c>
      <c r="H65" s="1" t="s">
        <v>471</v>
      </c>
      <c r="I65" s="1" t="s">
        <v>511</v>
      </c>
      <c r="K65" s="1" t="s">
        <v>512</v>
      </c>
      <c r="M65" s="1" t="s">
        <v>206</v>
      </c>
      <c r="N65" s="1" t="s">
        <v>513</v>
      </c>
      <c r="O65" s="1">
        <v>719415</v>
      </c>
      <c r="P65" s="1">
        <v>2331123</v>
      </c>
      <c r="Q65" s="1" t="s">
        <v>315</v>
      </c>
      <c r="R65" s="1" t="s">
        <v>514</v>
      </c>
      <c r="S65" s="1" t="s">
        <v>348</v>
      </c>
      <c r="T65" s="1" t="s">
        <v>191</v>
      </c>
      <c r="U65" s="122">
        <v>44089.761805555558</v>
      </c>
      <c r="V65" s="1" t="s">
        <v>192</v>
      </c>
      <c r="W65" s="1" t="s">
        <v>21</v>
      </c>
      <c r="X65" s="1" t="s">
        <v>193</v>
      </c>
      <c r="Z65" s="1" t="s">
        <v>4</v>
      </c>
      <c r="AA65" s="1">
        <v>65495</v>
      </c>
      <c r="AB65" s="1">
        <v>1000</v>
      </c>
      <c r="AC65" s="1">
        <v>4000</v>
      </c>
      <c r="AD65" s="122">
        <v>45940.645833333336</v>
      </c>
      <c r="AE65" s="122">
        <v>45940.8125</v>
      </c>
      <c r="AF65" s="122">
        <v>45940.686805555553</v>
      </c>
      <c r="AG65" s="1">
        <v>4000</v>
      </c>
      <c r="AH65" s="1">
        <v>0</v>
      </c>
      <c r="AI65" s="1" t="s">
        <v>195</v>
      </c>
      <c r="AJ65" s="122">
        <v>45940.681250000001</v>
      </c>
      <c r="AK65" s="122">
        <v>45940.682638888888</v>
      </c>
      <c r="AL65" s="1" t="s">
        <v>212</v>
      </c>
      <c r="AO65" s="1" t="s">
        <v>113</v>
      </c>
      <c r="AP65" s="1" t="s">
        <v>775</v>
      </c>
      <c r="AQ65" s="122">
        <v>45940.686805555553</v>
      </c>
      <c r="AR65" s="1">
        <v>700.03</v>
      </c>
      <c r="AS65" s="1">
        <v>2405.96</v>
      </c>
      <c r="AT65" s="1" t="s">
        <v>198</v>
      </c>
      <c r="AW65" s="1">
        <v>3106</v>
      </c>
      <c r="AX65" s="1" t="s">
        <v>516</v>
      </c>
      <c r="AY65" s="1" t="s">
        <v>517</v>
      </c>
      <c r="AZ65" s="1" t="s">
        <v>518</v>
      </c>
      <c r="BA65" s="1" t="s">
        <v>180</v>
      </c>
      <c r="BB65" s="1">
        <v>530017</v>
      </c>
      <c r="BE65" s="1" t="s">
        <v>519</v>
      </c>
      <c r="BF65" s="122">
        <v>45940.417361111111</v>
      </c>
    </row>
    <row r="66" spans="1:58">
      <c r="A66" s="1">
        <v>59</v>
      </c>
      <c r="B66" s="1" t="s">
        <v>179</v>
      </c>
      <c r="C66" s="1" t="s">
        <v>180</v>
      </c>
      <c r="D66" s="1" t="s">
        <v>181</v>
      </c>
      <c r="E66" s="1" t="s">
        <v>776</v>
      </c>
      <c r="F66" s="122">
        <v>45940.367361111108</v>
      </c>
      <c r="G66" s="1" t="s">
        <v>218</v>
      </c>
      <c r="I66" s="1" t="s">
        <v>777</v>
      </c>
      <c r="K66" s="1" t="s">
        <v>778</v>
      </c>
      <c r="M66" s="1" t="s">
        <v>325</v>
      </c>
      <c r="N66" s="1" t="s">
        <v>779</v>
      </c>
      <c r="O66" s="1">
        <v>616929</v>
      </c>
      <c r="P66" s="1">
        <v>9049572</v>
      </c>
      <c r="Q66" s="1" t="s">
        <v>780</v>
      </c>
      <c r="R66" s="1" t="s">
        <v>781</v>
      </c>
      <c r="S66" s="1" t="s">
        <v>484</v>
      </c>
      <c r="T66" s="1" t="s">
        <v>191</v>
      </c>
      <c r="U66" s="122">
        <v>43827.874305555553</v>
      </c>
      <c r="V66" s="1" t="s">
        <v>192</v>
      </c>
      <c r="W66" s="1" t="s">
        <v>19</v>
      </c>
      <c r="X66" s="1" t="s">
        <v>193</v>
      </c>
      <c r="Z66" s="1" t="s">
        <v>3</v>
      </c>
      <c r="AA66" s="1">
        <v>22681</v>
      </c>
      <c r="AB66" s="1">
        <v>2500</v>
      </c>
      <c r="AC66" s="1">
        <v>7000</v>
      </c>
      <c r="AD66" s="122">
        <v>45940.6875</v>
      </c>
      <c r="AE66" s="122">
        <v>45940.6875</v>
      </c>
      <c r="AF66" s="122">
        <v>45940.536805555559</v>
      </c>
      <c r="AG66" s="1">
        <v>4921.8999999999996</v>
      </c>
      <c r="AH66" s="1">
        <v>2190</v>
      </c>
      <c r="AI66" s="1" t="s">
        <v>195</v>
      </c>
      <c r="AJ66" s="122">
        <v>45940.401388888888</v>
      </c>
      <c r="AK66" s="122">
        <v>45940.402083333334</v>
      </c>
      <c r="AL66" s="1" t="s">
        <v>212</v>
      </c>
      <c r="AO66" s="1" t="s">
        <v>113</v>
      </c>
      <c r="AP66" s="1" t="s">
        <v>782</v>
      </c>
      <c r="AQ66" s="122">
        <v>45940.536805555559</v>
      </c>
      <c r="AR66" s="1">
        <v>1576.48</v>
      </c>
      <c r="AS66" s="1">
        <v>7678.94</v>
      </c>
      <c r="AT66" s="1" t="s">
        <v>198</v>
      </c>
      <c r="AU66" s="121">
        <v>45940</v>
      </c>
      <c r="AW66" s="1">
        <v>9255</v>
      </c>
      <c r="AX66" s="1" t="s">
        <v>783</v>
      </c>
      <c r="AY66" s="1" t="s">
        <v>784</v>
      </c>
      <c r="BA66" s="1" t="s">
        <v>180</v>
      </c>
      <c r="BB66" s="1">
        <v>535002</v>
      </c>
      <c r="BC66" s="121">
        <v>27212</v>
      </c>
      <c r="BF66" s="122">
        <v>45940.364583333336</v>
      </c>
    </row>
    <row r="67" spans="1:58">
      <c r="A67" s="1">
        <v>60</v>
      </c>
      <c r="B67" s="1" t="s">
        <v>179</v>
      </c>
      <c r="C67" s="1" t="s">
        <v>180</v>
      </c>
      <c r="D67" s="1" t="s">
        <v>181</v>
      </c>
      <c r="E67" s="1" t="s">
        <v>785</v>
      </c>
      <c r="F67" s="122">
        <v>45940.635416666664</v>
      </c>
      <c r="G67" s="1" t="s">
        <v>218</v>
      </c>
      <c r="I67" s="1" t="s">
        <v>786</v>
      </c>
      <c r="K67" s="1" t="s">
        <v>787</v>
      </c>
      <c r="M67" s="1" t="s">
        <v>206</v>
      </c>
      <c r="N67" s="1" t="s">
        <v>788</v>
      </c>
      <c r="O67" s="1">
        <v>172031</v>
      </c>
      <c r="P67" s="1" t="s">
        <v>789</v>
      </c>
      <c r="Q67" s="1" t="s">
        <v>235</v>
      </c>
      <c r="R67" s="1" t="s">
        <v>790</v>
      </c>
      <c r="S67" s="1" t="s">
        <v>791</v>
      </c>
      <c r="T67" s="1" t="s">
        <v>191</v>
      </c>
      <c r="U67" s="122">
        <v>45770.705555555556</v>
      </c>
      <c r="V67" s="1" t="s">
        <v>192</v>
      </c>
      <c r="W67" s="1" t="s">
        <v>19</v>
      </c>
      <c r="X67" s="1" t="s">
        <v>193</v>
      </c>
      <c r="Z67" s="1" t="s">
        <v>3</v>
      </c>
      <c r="AA67" s="1">
        <v>20581</v>
      </c>
      <c r="AB67" s="1">
        <v>2500</v>
      </c>
      <c r="AC67" s="1">
        <v>4000</v>
      </c>
      <c r="AD67" s="122">
        <v>45940.8125</v>
      </c>
      <c r="AE67" s="122">
        <v>45940.8125</v>
      </c>
      <c r="AF67" s="122">
        <v>45940.728472222225</v>
      </c>
      <c r="AG67" s="1">
        <v>3962</v>
      </c>
      <c r="AH67" s="1">
        <v>1670</v>
      </c>
      <c r="AI67" s="1" t="s">
        <v>195</v>
      </c>
      <c r="AJ67" s="122">
        <v>45940.704861111109</v>
      </c>
      <c r="AK67" s="122">
        <v>45940.705555555556</v>
      </c>
      <c r="AL67" s="1" t="s">
        <v>212</v>
      </c>
      <c r="AO67" s="1" t="s">
        <v>113</v>
      </c>
      <c r="AP67" s="1" t="s">
        <v>792</v>
      </c>
      <c r="AQ67" s="122">
        <v>45940.729166666664</v>
      </c>
      <c r="AR67" s="1">
        <v>2028.42</v>
      </c>
      <c r="AS67" s="1">
        <v>2545.13</v>
      </c>
      <c r="AT67" s="1" t="s">
        <v>198</v>
      </c>
      <c r="AU67" s="121">
        <v>45940</v>
      </c>
      <c r="AW67" s="1">
        <v>4574</v>
      </c>
      <c r="AX67" s="245">
        <v>45845</v>
      </c>
      <c r="AY67" s="1" t="s">
        <v>793</v>
      </c>
      <c r="AZ67" s="1" t="s">
        <v>794</v>
      </c>
      <c r="BA67" s="1" t="s">
        <v>180</v>
      </c>
      <c r="BB67" s="1">
        <v>530045</v>
      </c>
      <c r="BF67" s="122">
        <v>45940.620833333334</v>
      </c>
    </row>
    <row r="68" spans="1:58">
      <c r="A68" s="1">
        <v>61</v>
      </c>
      <c r="B68" s="1" t="s">
        <v>179</v>
      </c>
      <c r="C68" s="1" t="s">
        <v>180</v>
      </c>
      <c r="D68" s="1" t="s">
        <v>181</v>
      </c>
      <c r="E68" s="1" t="s">
        <v>795</v>
      </c>
      <c r="F68" s="122">
        <v>45940.503472222219</v>
      </c>
      <c r="G68" s="1" t="s">
        <v>183</v>
      </c>
      <c r="I68" s="1" t="s">
        <v>796</v>
      </c>
      <c r="K68" s="1" t="s">
        <v>291</v>
      </c>
      <c r="M68" s="1" t="s">
        <v>206</v>
      </c>
      <c r="N68" s="1" t="s">
        <v>797</v>
      </c>
      <c r="O68" s="1">
        <v>598783</v>
      </c>
      <c r="P68" s="1">
        <v>7708335</v>
      </c>
      <c r="Q68" s="1" t="s">
        <v>235</v>
      </c>
      <c r="R68" s="1" t="s">
        <v>798</v>
      </c>
      <c r="S68" s="1" t="s">
        <v>357</v>
      </c>
      <c r="T68" s="1" t="s">
        <v>191</v>
      </c>
      <c r="U68" s="122">
        <v>45790.785416666666</v>
      </c>
      <c r="V68" s="1" t="s">
        <v>192</v>
      </c>
      <c r="W68" s="1" t="s">
        <v>21</v>
      </c>
      <c r="X68" s="1" t="s">
        <v>226</v>
      </c>
      <c r="Z68" s="1" t="s">
        <v>194</v>
      </c>
      <c r="AA68" s="1">
        <v>5341</v>
      </c>
      <c r="AB68" s="1">
        <v>0</v>
      </c>
      <c r="AC68" s="1">
        <v>80</v>
      </c>
      <c r="AD68" s="122">
        <v>45940.645833333336</v>
      </c>
      <c r="AE68" s="122">
        <v>45940.729166666664</v>
      </c>
      <c r="AF68" s="122">
        <v>45940.650694444441</v>
      </c>
      <c r="AG68" s="1">
        <v>80</v>
      </c>
      <c r="AH68" s="1">
        <v>0</v>
      </c>
      <c r="AI68" s="1" t="s">
        <v>195</v>
      </c>
      <c r="AJ68" s="122">
        <v>45940.646527777775</v>
      </c>
      <c r="AK68" s="122">
        <v>45940.647222222222</v>
      </c>
      <c r="AL68" s="1" t="s">
        <v>212</v>
      </c>
      <c r="AO68" s="1" t="s">
        <v>113</v>
      </c>
      <c r="AP68" s="1" t="s">
        <v>799</v>
      </c>
      <c r="AQ68" s="122">
        <v>45940.650694444441</v>
      </c>
      <c r="AR68" s="1">
        <v>0</v>
      </c>
      <c r="AS68" s="1">
        <v>53.96</v>
      </c>
      <c r="AT68" s="1" t="s">
        <v>198</v>
      </c>
      <c r="AW68" s="1">
        <v>54</v>
      </c>
      <c r="AX68" s="248">
        <v>47150</v>
      </c>
      <c r="AY68" s="1" t="s">
        <v>800</v>
      </c>
      <c r="AZ68" s="1" t="s">
        <v>801</v>
      </c>
      <c r="BA68" s="1" t="s">
        <v>180</v>
      </c>
      <c r="BB68" s="1">
        <v>521180</v>
      </c>
      <c r="BE68" s="1" t="s">
        <v>802</v>
      </c>
      <c r="BF68" s="122">
        <v>45940.501388888886</v>
      </c>
    </row>
    <row r="69" spans="1:58">
      <c r="A69" s="1">
        <v>62</v>
      </c>
      <c r="B69" s="1" t="s">
        <v>179</v>
      </c>
      <c r="C69" s="1" t="s">
        <v>180</v>
      </c>
      <c r="D69" s="1" t="s">
        <v>181</v>
      </c>
      <c r="E69" s="1" t="s">
        <v>803</v>
      </c>
      <c r="F69" s="122">
        <v>45938.441666666666</v>
      </c>
      <c r="G69" s="1" t="s">
        <v>244</v>
      </c>
      <c r="I69" s="1" t="s">
        <v>804</v>
      </c>
      <c r="K69" s="1" t="s">
        <v>805</v>
      </c>
      <c r="M69" s="1" t="s">
        <v>233</v>
      </c>
      <c r="N69" s="1" t="s">
        <v>806</v>
      </c>
      <c r="O69" s="1">
        <v>936523</v>
      </c>
      <c r="P69" s="1">
        <v>2829289</v>
      </c>
      <c r="Q69" s="1" t="s">
        <v>248</v>
      </c>
      <c r="R69" s="1" t="s">
        <v>807</v>
      </c>
      <c r="S69" s="1" t="s">
        <v>808</v>
      </c>
      <c r="U69" s="122">
        <v>42508.785416666666</v>
      </c>
      <c r="V69" s="1" t="s">
        <v>192</v>
      </c>
      <c r="W69" s="1" t="s">
        <v>21</v>
      </c>
      <c r="X69" s="1" t="s">
        <v>193</v>
      </c>
      <c r="Z69" s="1" t="s">
        <v>4</v>
      </c>
      <c r="AA69" s="1">
        <v>183557</v>
      </c>
      <c r="AB69" s="1">
        <v>0</v>
      </c>
      <c r="AC69" s="1">
        <v>1500</v>
      </c>
      <c r="AD69" s="122">
        <v>45938.6875</v>
      </c>
      <c r="AE69" s="122">
        <v>45938.770833333336</v>
      </c>
      <c r="AF69" s="122">
        <v>45940.696527777778</v>
      </c>
      <c r="AG69" s="1">
        <v>1500</v>
      </c>
      <c r="AH69" s="1">
        <v>0</v>
      </c>
      <c r="AI69" s="1" t="s">
        <v>195</v>
      </c>
      <c r="AJ69" s="122">
        <v>45940.64166666667</v>
      </c>
      <c r="AK69" s="122">
        <v>45940.642361111109</v>
      </c>
      <c r="AL69" s="1" t="s">
        <v>212</v>
      </c>
      <c r="AO69" s="1" t="s">
        <v>113</v>
      </c>
      <c r="AP69" s="1" t="s">
        <v>809</v>
      </c>
      <c r="AQ69" s="122">
        <v>45940.696527777778</v>
      </c>
      <c r="AR69" s="1">
        <v>1219.06</v>
      </c>
      <c r="AS69" s="1">
        <v>2650.49</v>
      </c>
      <c r="AT69" s="1" t="s">
        <v>198</v>
      </c>
      <c r="AW69" s="1">
        <v>3870</v>
      </c>
      <c r="AX69" s="1" t="s">
        <v>810</v>
      </c>
      <c r="AY69" s="1" t="s">
        <v>811</v>
      </c>
      <c r="AZ69" s="1" t="s">
        <v>812</v>
      </c>
      <c r="BA69" s="1" t="s">
        <v>180</v>
      </c>
      <c r="BB69" s="1">
        <v>530001</v>
      </c>
      <c r="BE69" s="1" t="s">
        <v>802</v>
      </c>
      <c r="BF69" s="122">
        <v>45938.438888888886</v>
      </c>
    </row>
    <row r="70" spans="1:58">
      <c r="A70" s="1">
        <v>63</v>
      </c>
      <c r="B70" s="1" t="s">
        <v>179</v>
      </c>
      <c r="C70" s="1" t="s">
        <v>180</v>
      </c>
      <c r="D70" s="1" t="s">
        <v>181</v>
      </c>
      <c r="E70" s="1" t="s">
        <v>813</v>
      </c>
      <c r="F70" s="122">
        <v>45936.70416666667</v>
      </c>
      <c r="G70" s="1" t="s">
        <v>533</v>
      </c>
      <c r="I70" s="1" t="s">
        <v>521</v>
      </c>
      <c r="K70" s="1" t="s">
        <v>522</v>
      </c>
      <c r="M70" s="1" t="s">
        <v>233</v>
      </c>
      <c r="N70" s="1" t="s">
        <v>523</v>
      </c>
      <c r="O70" s="1" t="s">
        <v>524</v>
      </c>
      <c r="P70" s="1">
        <v>1072393</v>
      </c>
      <c r="Q70" s="1" t="s">
        <v>260</v>
      </c>
      <c r="R70" s="1" t="s">
        <v>525</v>
      </c>
      <c r="S70" s="1" t="s">
        <v>526</v>
      </c>
      <c r="T70" s="1" t="s">
        <v>191</v>
      </c>
      <c r="U70" s="122">
        <v>45576.745833333334</v>
      </c>
      <c r="V70" s="1" t="s">
        <v>558</v>
      </c>
      <c r="W70" s="1" t="s">
        <v>20</v>
      </c>
      <c r="X70" s="1" t="s">
        <v>559</v>
      </c>
      <c r="Z70" s="1" t="s">
        <v>538</v>
      </c>
      <c r="AA70" s="1">
        <v>11196</v>
      </c>
      <c r="AB70" s="1">
        <v>0</v>
      </c>
      <c r="AC70" s="1">
        <v>0</v>
      </c>
      <c r="AD70" s="122">
        <v>45939.787499999999</v>
      </c>
      <c r="AE70" s="122">
        <v>45939.787499999999</v>
      </c>
      <c r="AF70" s="122">
        <v>45940.767361111109</v>
      </c>
      <c r="AG70" s="1">
        <v>0</v>
      </c>
      <c r="AH70" s="1">
        <v>0</v>
      </c>
      <c r="AI70" s="1" t="s">
        <v>195</v>
      </c>
      <c r="AJ70" s="122">
        <v>45940.583333333336</v>
      </c>
      <c r="AL70" s="1" t="s">
        <v>196</v>
      </c>
      <c r="AO70" s="1" t="s">
        <v>113</v>
      </c>
      <c r="AP70" s="1" t="s">
        <v>814</v>
      </c>
      <c r="AQ70" s="122">
        <v>45940.768055555556</v>
      </c>
      <c r="AR70" s="1">
        <v>1548.76</v>
      </c>
      <c r="AS70" s="1">
        <v>5546.53</v>
      </c>
      <c r="AT70" s="1" t="s">
        <v>198</v>
      </c>
      <c r="AW70" s="1">
        <v>7095</v>
      </c>
      <c r="AX70" s="1" t="s">
        <v>528</v>
      </c>
      <c r="AY70" s="1" t="s">
        <v>529</v>
      </c>
      <c r="AZ70" s="1" t="s">
        <v>530</v>
      </c>
      <c r="BA70" s="1" t="s">
        <v>180</v>
      </c>
      <c r="BB70" s="1">
        <v>530045</v>
      </c>
      <c r="BE70" s="1" t="s">
        <v>531</v>
      </c>
      <c r="BF70" s="122">
        <v>45936.70208333333</v>
      </c>
    </row>
    <row r="71" spans="1:58">
      <c r="A71" s="1">
        <v>64</v>
      </c>
      <c r="B71" s="1" t="s">
        <v>179</v>
      </c>
      <c r="C71" s="1" t="s">
        <v>180</v>
      </c>
      <c r="D71" s="1" t="s">
        <v>181</v>
      </c>
      <c r="E71" s="1" t="s">
        <v>813</v>
      </c>
      <c r="F71" s="122">
        <v>45936.70416666667</v>
      </c>
      <c r="G71" s="1" t="s">
        <v>533</v>
      </c>
      <c r="I71" s="1" t="s">
        <v>521</v>
      </c>
      <c r="K71" s="1" t="s">
        <v>522</v>
      </c>
      <c r="M71" s="1" t="s">
        <v>233</v>
      </c>
      <c r="N71" s="1" t="s">
        <v>523</v>
      </c>
      <c r="O71" s="1" t="s">
        <v>524</v>
      </c>
      <c r="P71" s="1">
        <v>1072393</v>
      </c>
      <c r="Q71" s="1" t="s">
        <v>260</v>
      </c>
      <c r="R71" s="1" t="s">
        <v>525</v>
      </c>
      <c r="S71" s="1" t="s">
        <v>526</v>
      </c>
      <c r="T71" s="1" t="s">
        <v>191</v>
      </c>
      <c r="U71" s="122">
        <v>45576.745833333334</v>
      </c>
      <c r="V71" s="1" t="s">
        <v>558</v>
      </c>
      <c r="W71" s="1" t="s">
        <v>20</v>
      </c>
      <c r="X71" s="1" t="s">
        <v>559</v>
      </c>
      <c r="Z71" s="1" t="s">
        <v>538</v>
      </c>
      <c r="AA71" s="1">
        <v>11196</v>
      </c>
      <c r="AB71" s="1">
        <v>0</v>
      </c>
      <c r="AC71" s="1">
        <v>0</v>
      </c>
      <c r="AD71" s="122">
        <v>45939.787499999999</v>
      </c>
      <c r="AE71" s="122">
        <v>45939.787499999999</v>
      </c>
      <c r="AF71" s="122">
        <v>45940.767361111109</v>
      </c>
      <c r="AG71" s="1">
        <v>0</v>
      </c>
      <c r="AH71" s="1">
        <v>0</v>
      </c>
      <c r="AI71" s="1" t="s">
        <v>195</v>
      </c>
      <c r="AJ71" s="122">
        <v>45940.583333333336</v>
      </c>
      <c r="AL71" s="1" t="s">
        <v>196</v>
      </c>
      <c r="AO71" s="1" t="s">
        <v>113</v>
      </c>
      <c r="AP71" s="1" t="s">
        <v>815</v>
      </c>
      <c r="AQ71" s="122">
        <v>45940.768055555556</v>
      </c>
      <c r="AR71" s="1">
        <v>0</v>
      </c>
      <c r="AS71" s="1">
        <v>0</v>
      </c>
      <c r="AT71" s="1" t="s">
        <v>198</v>
      </c>
      <c r="AW71" s="1">
        <v>0</v>
      </c>
      <c r="AX71" s="1" t="s">
        <v>528</v>
      </c>
      <c r="AY71" s="1" t="s">
        <v>529</v>
      </c>
      <c r="AZ71" s="1" t="s">
        <v>530</v>
      </c>
      <c r="BA71" s="1" t="s">
        <v>180</v>
      </c>
      <c r="BB71" s="1">
        <v>530045</v>
      </c>
      <c r="BE71" s="1" t="s">
        <v>531</v>
      </c>
      <c r="BF71" s="122">
        <v>45936.70208333333</v>
      </c>
    </row>
    <row r="72" spans="1:58">
      <c r="A72" s="1">
        <v>65</v>
      </c>
      <c r="B72" s="1" t="s">
        <v>179</v>
      </c>
      <c r="C72" s="1" t="s">
        <v>180</v>
      </c>
      <c r="D72" s="1" t="s">
        <v>181</v>
      </c>
      <c r="E72" s="1" t="s">
        <v>816</v>
      </c>
      <c r="F72" s="122">
        <v>45941.497916666667</v>
      </c>
      <c r="G72" s="1" t="s">
        <v>533</v>
      </c>
      <c r="I72" s="1" t="s">
        <v>817</v>
      </c>
      <c r="K72" s="1" t="s">
        <v>818</v>
      </c>
      <c r="M72" s="1" t="s">
        <v>206</v>
      </c>
      <c r="N72" s="1" t="s">
        <v>819</v>
      </c>
      <c r="O72" s="1">
        <v>478713</v>
      </c>
      <c r="P72" s="1">
        <v>7533519</v>
      </c>
      <c r="Q72" s="1" t="s">
        <v>235</v>
      </c>
      <c r="R72" s="1" t="s">
        <v>820</v>
      </c>
      <c r="S72" s="1" t="s">
        <v>357</v>
      </c>
      <c r="T72" s="1" t="s">
        <v>191</v>
      </c>
      <c r="U72" s="122">
        <v>45561.713194444441</v>
      </c>
      <c r="V72" s="1" t="s">
        <v>558</v>
      </c>
      <c r="W72" s="1" t="s">
        <v>20</v>
      </c>
      <c r="X72" s="1" t="s">
        <v>559</v>
      </c>
      <c r="Z72" s="1" t="s">
        <v>538</v>
      </c>
      <c r="AA72" s="1">
        <v>17616</v>
      </c>
      <c r="AB72" s="1">
        <v>0</v>
      </c>
      <c r="AC72" s="1">
        <v>0</v>
      </c>
      <c r="AD72" s="122">
        <v>45942.497916666667</v>
      </c>
      <c r="AE72" s="122">
        <v>45942.497916666667</v>
      </c>
      <c r="AF72" s="122">
        <v>45941.511111111111</v>
      </c>
      <c r="AG72" s="1">
        <v>0</v>
      </c>
      <c r="AH72" s="1">
        <v>0</v>
      </c>
      <c r="AI72" s="1" t="s">
        <v>195</v>
      </c>
      <c r="AJ72" s="122">
        <v>45941.500694444447</v>
      </c>
      <c r="AL72" s="1" t="s">
        <v>196</v>
      </c>
      <c r="AO72" s="1" t="s">
        <v>113</v>
      </c>
      <c r="AP72" s="1" t="s">
        <v>821</v>
      </c>
      <c r="AQ72" s="122">
        <v>45941.511111111111</v>
      </c>
      <c r="AR72" s="1">
        <v>1949.36</v>
      </c>
      <c r="AS72" s="1">
        <v>6780.98</v>
      </c>
      <c r="AT72" s="1" t="s">
        <v>198</v>
      </c>
      <c r="AW72" s="1">
        <v>8730</v>
      </c>
      <c r="AX72" s="1" t="s">
        <v>822</v>
      </c>
      <c r="AY72" s="1" t="s">
        <v>823</v>
      </c>
      <c r="AZ72" s="1" t="s">
        <v>824</v>
      </c>
      <c r="BA72" s="1" t="s">
        <v>180</v>
      </c>
      <c r="BB72" s="1">
        <v>530017</v>
      </c>
      <c r="BF72" s="122">
        <v>45941.495833333334</v>
      </c>
    </row>
    <row r="73" spans="1:58">
      <c r="A73" s="1">
        <v>66</v>
      </c>
      <c r="B73" s="1" t="s">
        <v>179</v>
      </c>
      <c r="C73" s="1" t="s">
        <v>180</v>
      </c>
      <c r="D73" s="1" t="s">
        <v>181</v>
      </c>
      <c r="E73" s="1" t="s">
        <v>825</v>
      </c>
      <c r="F73" s="122">
        <v>45941.436111111114</v>
      </c>
      <c r="G73" s="1" t="s">
        <v>218</v>
      </c>
      <c r="I73" s="1" t="s">
        <v>826</v>
      </c>
      <c r="K73" s="1" t="s">
        <v>827</v>
      </c>
      <c r="M73" s="1" t="s">
        <v>325</v>
      </c>
      <c r="N73" s="1" t="s">
        <v>828</v>
      </c>
      <c r="O73" s="1">
        <v>121009</v>
      </c>
      <c r="P73" s="1">
        <v>1020688</v>
      </c>
      <c r="Q73" s="1" t="s">
        <v>235</v>
      </c>
      <c r="R73" s="1" t="s">
        <v>829</v>
      </c>
      <c r="S73" s="1" t="s">
        <v>657</v>
      </c>
      <c r="T73" s="1" t="s">
        <v>191</v>
      </c>
      <c r="U73" s="122">
        <v>45501.728472222225</v>
      </c>
      <c r="V73" s="1" t="s">
        <v>192</v>
      </c>
      <c r="W73" s="1" t="s">
        <v>19</v>
      </c>
      <c r="X73" s="1" t="s">
        <v>226</v>
      </c>
      <c r="Z73" s="1" t="s">
        <v>3</v>
      </c>
      <c r="AA73" s="1">
        <v>20390</v>
      </c>
      <c r="AB73" s="1">
        <v>2500</v>
      </c>
      <c r="AC73" s="1">
        <v>5000</v>
      </c>
      <c r="AD73" s="122">
        <v>45941.770833333336</v>
      </c>
      <c r="AE73" s="122">
        <v>45941.770833333336</v>
      </c>
      <c r="AF73" s="122">
        <v>45941.605555555558</v>
      </c>
      <c r="AG73" s="1">
        <v>1937.3</v>
      </c>
      <c r="AH73" s="1">
        <v>2190</v>
      </c>
      <c r="AI73" s="1" t="s">
        <v>195</v>
      </c>
      <c r="AJ73" s="122">
        <v>45941.472916666666</v>
      </c>
      <c r="AK73" s="122">
        <v>45941.473611111112</v>
      </c>
      <c r="AL73" s="1" t="s">
        <v>212</v>
      </c>
      <c r="AO73" s="1" t="s">
        <v>113</v>
      </c>
      <c r="AP73" s="1" t="s">
        <v>830</v>
      </c>
      <c r="AQ73" s="122">
        <v>45941.606249999997</v>
      </c>
      <c r="AR73" s="1">
        <v>1576.48</v>
      </c>
      <c r="AS73" s="1">
        <v>2848.77</v>
      </c>
      <c r="AT73" s="1" t="s">
        <v>198</v>
      </c>
      <c r="AU73" s="121">
        <v>45941</v>
      </c>
      <c r="AW73" s="1">
        <v>4425</v>
      </c>
      <c r="AX73" s="1" t="s">
        <v>831</v>
      </c>
      <c r="AY73" s="1" t="s">
        <v>832</v>
      </c>
      <c r="AZ73" s="1" t="s">
        <v>833</v>
      </c>
      <c r="BA73" s="1" t="s">
        <v>180</v>
      </c>
      <c r="BB73" s="1">
        <v>530041</v>
      </c>
      <c r="BE73" s="1" t="s">
        <v>834</v>
      </c>
      <c r="BF73" s="122">
        <v>45941.431944444441</v>
      </c>
    </row>
    <row r="74" spans="1:58">
      <c r="A74" s="1">
        <v>67</v>
      </c>
      <c r="B74" s="1" t="s">
        <v>179</v>
      </c>
      <c r="C74" s="1" t="s">
        <v>180</v>
      </c>
      <c r="D74" s="1" t="s">
        <v>181</v>
      </c>
      <c r="E74" s="1" t="s">
        <v>835</v>
      </c>
      <c r="F74" s="122">
        <v>45941.40347222222</v>
      </c>
      <c r="G74" s="1" t="s">
        <v>218</v>
      </c>
      <c r="I74" s="1" t="s">
        <v>836</v>
      </c>
      <c r="K74" s="1" t="s">
        <v>837</v>
      </c>
      <c r="M74" s="1" t="s">
        <v>186</v>
      </c>
      <c r="N74" s="1" t="s">
        <v>838</v>
      </c>
      <c r="O74" s="1">
        <v>114253</v>
      </c>
      <c r="P74" s="1">
        <v>5172021</v>
      </c>
      <c r="Q74" s="1" t="s">
        <v>235</v>
      </c>
      <c r="R74" s="1" t="s">
        <v>839</v>
      </c>
      <c r="S74" s="1" t="s">
        <v>687</v>
      </c>
      <c r="T74" s="1" t="s">
        <v>454</v>
      </c>
      <c r="U74" s="122">
        <v>42318.705555555556</v>
      </c>
      <c r="V74" s="1" t="s">
        <v>192</v>
      </c>
      <c r="W74" s="1" t="s">
        <v>19</v>
      </c>
      <c r="X74" s="1" t="s">
        <v>193</v>
      </c>
      <c r="Z74" s="1" t="s">
        <v>3</v>
      </c>
      <c r="AA74" s="1">
        <v>145706</v>
      </c>
      <c r="AB74" s="1">
        <v>3000</v>
      </c>
      <c r="AC74" s="1">
        <v>5500</v>
      </c>
      <c r="AD74" s="122">
        <v>45941.729166666664</v>
      </c>
      <c r="AE74" s="122">
        <v>45941.729166666664</v>
      </c>
      <c r="AF74" s="122">
        <v>45941.635416666664</v>
      </c>
      <c r="AG74" s="1">
        <v>1839</v>
      </c>
      <c r="AH74" s="1">
        <v>3760</v>
      </c>
      <c r="AI74" s="1" t="s">
        <v>195</v>
      </c>
      <c r="AJ74" s="122">
        <v>45941.47152777778</v>
      </c>
      <c r="AK74" s="122">
        <v>45941.472222222219</v>
      </c>
      <c r="AL74" s="1" t="s">
        <v>212</v>
      </c>
      <c r="AO74" s="1" t="s">
        <v>113</v>
      </c>
      <c r="AP74" s="1" t="s">
        <v>840</v>
      </c>
      <c r="AQ74" s="122">
        <v>45941.636805555558</v>
      </c>
      <c r="AR74" s="1">
        <v>2983.64</v>
      </c>
      <c r="AS74" s="1">
        <v>4896.42</v>
      </c>
      <c r="AT74" s="1" t="s">
        <v>198</v>
      </c>
      <c r="AU74" s="121">
        <v>45941</v>
      </c>
      <c r="AW74" s="1">
        <v>7880</v>
      </c>
      <c r="AX74" s="1" t="s">
        <v>841</v>
      </c>
      <c r="AY74" s="1" t="s">
        <v>842</v>
      </c>
      <c r="AZ74" s="1" t="s">
        <v>843</v>
      </c>
      <c r="BA74" s="1" t="s">
        <v>180</v>
      </c>
      <c r="BB74" s="1">
        <v>530012</v>
      </c>
      <c r="BE74" s="1" t="s">
        <v>844</v>
      </c>
      <c r="BF74" s="122">
        <v>45941.38958333333</v>
      </c>
    </row>
    <row r="75" spans="1:58">
      <c r="A75" s="1">
        <v>68</v>
      </c>
      <c r="B75" s="1" t="s">
        <v>179</v>
      </c>
      <c r="C75" s="1" t="s">
        <v>180</v>
      </c>
      <c r="D75" s="1" t="s">
        <v>181</v>
      </c>
      <c r="E75" s="1" t="s">
        <v>845</v>
      </c>
      <c r="F75" s="122">
        <v>45937.529861111114</v>
      </c>
      <c r="G75" s="1" t="s">
        <v>533</v>
      </c>
      <c r="I75" s="1" t="s">
        <v>846</v>
      </c>
      <c r="K75" s="1" t="s">
        <v>847</v>
      </c>
      <c r="M75" s="1" t="s">
        <v>206</v>
      </c>
      <c r="N75" s="1" t="s">
        <v>848</v>
      </c>
      <c r="O75" s="1">
        <v>448078</v>
      </c>
      <c r="P75" s="1">
        <v>5731026</v>
      </c>
      <c r="Q75" s="1" t="s">
        <v>235</v>
      </c>
      <c r="R75" s="1" t="s">
        <v>849</v>
      </c>
      <c r="S75" s="1" t="s">
        <v>850</v>
      </c>
      <c r="T75" s="1" t="s">
        <v>454</v>
      </c>
      <c r="U75" s="122">
        <v>43427.400694444441</v>
      </c>
      <c r="V75" s="1" t="s">
        <v>558</v>
      </c>
      <c r="W75" s="1" t="s">
        <v>20</v>
      </c>
      <c r="X75" s="1" t="s">
        <v>559</v>
      </c>
      <c r="Z75" s="1" t="s">
        <v>538</v>
      </c>
      <c r="AA75" s="1">
        <v>182020</v>
      </c>
      <c r="AB75" s="1">
        <v>0</v>
      </c>
      <c r="AC75" s="1">
        <v>0</v>
      </c>
      <c r="AD75" s="122">
        <v>45939.779166666667</v>
      </c>
      <c r="AE75" s="122">
        <v>45939.779166666667</v>
      </c>
      <c r="AF75" s="122">
        <v>45941.469444444447</v>
      </c>
      <c r="AG75" s="1">
        <v>0</v>
      </c>
      <c r="AH75" s="1">
        <v>0</v>
      </c>
      <c r="AI75" s="1" t="s">
        <v>195</v>
      </c>
      <c r="AJ75" s="122">
        <v>45937.533333333333</v>
      </c>
      <c r="AL75" s="1" t="s">
        <v>196</v>
      </c>
      <c r="AO75" s="1" t="s">
        <v>113</v>
      </c>
      <c r="AP75" s="1" t="s">
        <v>851</v>
      </c>
      <c r="AQ75" s="122">
        <v>45941.470138888886</v>
      </c>
      <c r="AR75" s="1">
        <v>778.8</v>
      </c>
      <c r="AS75" s="1">
        <v>216.99</v>
      </c>
      <c r="AT75" s="1" t="s">
        <v>198</v>
      </c>
      <c r="AW75" s="1">
        <v>996</v>
      </c>
      <c r="AX75" s="247">
        <v>17759</v>
      </c>
      <c r="AY75" s="1" t="s">
        <v>852</v>
      </c>
      <c r="BA75" s="1" t="s">
        <v>180</v>
      </c>
      <c r="BB75" s="1">
        <v>530026</v>
      </c>
      <c r="BF75" s="122">
        <v>45937.488194444442</v>
      </c>
    </row>
    <row r="76" spans="1:58">
      <c r="A76" s="1">
        <v>69</v>
      </c>
      <c r="B76" s="1" t="s">
        <v>179</v>
      </c>
      <c r="C76" s="1" t="s">
        <v>180</v>
      </c>
      <c r="D76" s="1" t="s">
        <v>181</v>
      </c>
      <c r="E76" s="1" t="s">
        <v>853</v>
      </c>
      <c r="F76" s="122">
        <v>45940.616666666669</v>
      </c>
      <c r="G76" s="1" t="s">
        <v>533</v>
      </c>
      <c r="I76" s="1" t="s">
        <v>854</v>
      </c>
      <c r="K76" s="1" t="s">
        <v>855</v>
      </c>
      <c r="M76" s="1" t="s">
        <v>186</v>
      </c>
      <c r="N76" s="1" t="s">
        <v>856</v>
      </c>
      <c r="O76" s="1">
        <v>205956</v>
      </c>
      <c r="P76" s="1">
        <v>4175490</v>
      </c>
      <c r="Q76" s="1" t="s">
        <v>599</v>
      </c>
      <c r="R76" s="1" t="s">
        <v>857</v>
      </c>
      <c r="S76" s="1" t="s">
        <v>250</v>
      </c>
      <c r="T76" s="1" t="s">
        <v>191</v>
      </c>
      <c r="U76" s="122">
        <v>42594.756944444445</v>
      </c>
      <c r="V76" s="1" t="s">
        <v>558</v>
      </c>
      <c r="W76" s="1" t="s">
        <v>20</v>
      </c>
      <c r="X76" s="1" t="s">
        <v>559</v>
      </c>
      <c r="Z76" s="1" t="s">
        <v>538</v>
      </c>
      <c r="AA76" s="1">
        <v>68668</v>
      </c>
      <c r="AB76" s="1">
        <v>0</v>
      </c>
      <c r="AC76" s="1">
        <v>0</v>
      </c>
      <c r="AD76" s="122">
        <v>45944.824999999997</v>
      </c>
      <c r="AE76" s="122">
        <v>45944.824999999997</v>
      </c>
      <c r="AF76" s="122">
        <v>45941.601388888892</v>
      </c>
      <c r="AG76" s="1">
        <v>0</v>
      </c>
      <c r="AH76" s="1">
        <v>0</v>
      </c>
      <c r="AI76" s="1" t="s">
        <v>195</v>
      </c>
      <c r="AJ76" s="122">
        <v>45940.617361111108</v>
      </c>
      <c r="AL76" s="1" t="s">
        <v>196</v>
      </c>
      <c r="AO76" s="1" t="s">
        <v>113</v>
      </c>
      <c r="AP76" s="1" t="s">
        <v>858</v>
      </c>
      <c r="AQ76" s="122">
        <v>45941.602083333331</v>
      </c>
      <c r="AR76" s="1">
        <v>8968</v>
      </c>
      <c r="AS76" s="1">
        <v>0</v>
      </c>
      <c r="AT76" s="1" t="s">
        <v>198</v>
      </c>
      <c r="AW76" s="1">
        <v>8968</v>
      </c>
      <c r="AX76" s="1" t="s">
        <v>859</v>
      </c>
      <c r="AY76" s="1" t="s">
        <v>860</v>
      </c>
      <c r="AZ76" s="1" t="s">
        <v>861</v>
      </c>
      <c r="BA76" s="1" t="s">
        <v>180</v>
      </c>
      <c r="BB76" s="1">
        <v>530001</v>
      </c>
      <c r="BE76" s="1" t="s">
        <v>862</v>
      </c>
      <c r="BF76" s="122">
        <v>45940.615277777775</v>
      </c>
    </row>
    <row r="77" spans="1:58">
      <c r="A77" s="1">
        <v>70</v>
      </c>
      <c r="B77" s="1" t="s">
        <v>179</v>
      </c>
      <c r="C77" s="1" t="s">
        <v>180</v>
      </c>
      <c r="D77" s="1" t="s">
        <v>181</v>
      </c>
      <c r="E77" s="1" t="s">
        <v>863</v>
      </c>
      <c r="F77" s="122">
        <v>45942.620138888888</v>
      </c>
      <c r="G77" s="1" t="s">
        <v>244</v>
      </c>
      <c r="H77" s="1" t="s">
        <v>471</v>
      </c>
      <c r="I77" s="1" t="s">
        <v>864</v>
      </c>
      <c r="K77" s="1" t="s">
        <v>865</v>
      </c>
      <c r="M77" s="1" t="s">
        <v>206</v>
      </c>
      <c r="N77" s="1" t="s">
        <v>866</v>
      </c>
      <c r="O77" s="1">
        <v>415698</v>
      </c>
      <c r="P77" s="1">
        <v>2045131</v>
      </c>
      <c r="Q77" s="1" t="s">
        <v>260</v>
      </c>
      <c r="R77" s="1" t="s">
        <v>867</v>
      </c>
      <c r="S77" s="1" t="s">
        <v>348</v>
      </c>
      <c r="T77" s="1" t="s">
        <v>454</v>
      </c>
      <c r="U77" s="122">
        <v>42882.779166666667</v>
      </c>
      <c r="V77" s="1" t="s">
        <v>192</v>
      </c>
      <c r="W77" s="1" t="s">
        <v>21</v>
      </c>
      <c r="X77" s="1" t="s">
        <v>193</v>
      </c>
      <c r="Z77" s="1" t="s">
        <v>4</v>
      </c>
      <c r="AA77" s="1">
        <v>86560</v>
      </c>
      <c r="AB77" s="1">
        <v>450</v>
      </c>
      <c r="AC77" s="1">
        <v>0</v>
      </c>
      <c r="AD77" s="122">
        <v>45942.6875</v>
      </c>
      <c r="AE77" s="122">
        <v>45942.6875</v>
      </c>
      <c r="AF77" s="122">
        <v>45942.625694444447</v>
      </c>
      <c r="AG77" s="1">
        <v>0</v>
      </c>
      <c r="AH77" s="1">
        <v>450</v>
      </c>
      <c r="AI77" s="1" t="s">
        <v>195</v>
      </c>
      <c r="AL77" s="1" t="s">
        <v>196</v>
      </c>
      <c r="AO77" s="1" t="s">
        <v>113</v>
      </c>
      <c r="AP77" s="1" t="s">
        <v>868</v>
      </c>
      <c r="AQ77" s="122">
        <v>45942.626388888886</v>
      </c>
      <c r="AR77" s="1">
        <v>460.2</v>
      </c>
      <c r="AS77" s="1">
        <v>0</v>
      </c>
      <c r="AT77" s="1" t="s">
        <v>198</v>
      </c>
      <c r="AW77" s="1">
        <v>460</v>
      </c>
      <c r="AX77" s="1" t="s">
        <v>869</v>
      </c>
      <c r="AY77" s="1" t="s">
        <v>870</v>
      </c>
      <c r="BA77" s="1" t="s">
        <v>180</v>
      </c>
      <c r="BB77" s="1">
        <v>530015</v>
      </c>
      <c r="BF77" s="122">
        <v>45942.60833333333</v>
      </c>
    </row>
    <row r="78" spans="1:58">
      <c r="A78" s="1">
        <v>71</v>
      </c>
      <c r="B78" s="1" t="s">
        <v>179</v>
      </c>
      <c r="C78" s="1" t="s">
        <v>180</v>
      </c>
      <c r="D78" s="1" t="s">
        <v>181</v>
      </c>
      <c r="E78" s="1" t="s">
        <v>871</v>
      </c>
      <c r="F78" s="122">
        <v>45942.705555555556</v>
      </c>
      <c r="G78" s="1" t="s">
        <v>872</v>
      </c>
      <c r="I78" s="1" t="s">
        <v>873</v>
      </c>
      <c r="K78" s="1" t="s">
        <v>874</v>
      </c>
      <c r="N78" s="1" t="s">
        <v>875</v>
      </c>
      <c r="O78" s="1">
        <v>459333</v>
      </c>
      <c r="P78" s="1">
        <v>9262297</v>
      </c>
      <c r="Q78" s="1" t="s">
        <v>235</v>
      </c>
      <c r="R78" s="1" t="s">
        <v>876</v>
      </c>
      <c r="S78" s="1" t="s">
        <v>237</v>
      </c>
      <c r="U78" s="122">
        <v>44637.79791666667</v>
      </c>
      <c r="V78" s="1" t="s">
        <v>192</v>
      </c>
      <c r="W78" s="1" t="s">
        <v>19</v>
      </c>
      <c r="X78" s="1" t="s">
        <v>193</v>
      </c>
      <c r="Z78" s="1" t="s">
        <v>877</v>
      </c>
      <c r="AA78" s="1">
        <v>178527</v>
      </c>
      <c r="AB78" s="1">
        <v>250</v>
      </c>
      <c r="AC78" s="1">
        <v>0</v>
      </c>
      <c r="AD78" s="122">
        <v>45942.770833333336</v>
      </c>
      <c r="AE78" s="122">
        <v>45942.770833333336</v>
      </c>
      <c r="AF78" s="122">
        <v>45942.711805555555</v>
      </c>
      <c r="AG78" s="1">
        <v>0</v>
      </c>
      <c r="AH78" s="1">
        <v>250</v>
      </c>
      <c r="AI78" s="1" t="s">
        <v>195</v>
      </c>
      <c r="AL78" s="1" t="s">
        <v>196</v>
      </c>
      <c r="AO78" s="1" t="s">
        <v>113</v>
      </c>
      <c r="AP78" s="1" t="s">
        <v>878</v>
      </c>
      <c r="AQ78" s="122">
        <v>45942.712500000001</v>
      </c>
      <c r="AR78" s="1">
        <v>294.42</v>
      </c>
      <c r="AS78" s="1">
        <v>0</v>
      </c>
      <c r="AT78" s="1" t="s">
        <v>198</v>
      </c>
      <c r="AW78" s="1">
        <v>294</v>
      </c>
      <c r="AX78" s="1" t="s">
        <v>879</v>
      </c>
      <c r="AY78" s="1" t="s">
        <v>880</v>
      </c>
      <c r="AZ78" s="1" t="s">
        <v>881</v>
      </c>
      <c r="BA78" s="1" t="s">
        <v>180</v>
      </c>
      <c r="BB78" s="1">
        <v>530017</v>
      </c>
      <c r="BE78" s="1" t="s">
        <v>882</v>
      </c>
      <c r="BF78" s="122">
        <v>45942.701388888891</v>
      </c>
    </row>
    <row r="79" spans="1:58">
      <c r="A79" s="1">
        <v>72</v>
      </c>
      <c r="B79" s="1" t="s">
        <v>179</v>
      </c>
      <c r="C79" s="1" t="s">
        <v>180</v>
      </c>
      <c r="D79" s="1" t="s">
        <v>181</v>
      </c>
      <c r="E79" s="1" t="s">
        <v>883</v>
      </c>
      <c r="F79" s="122">
        <v>45941.322916666664</v>
      </c>
      <c r="G79" s="1" t="s">
        <v>218</v>
      </c>
      <c r="I79" s="1" t="s">
        <v>884</v>
      </c>
      <c r="K79" s="1" t="s">
        <v>885</v>
      </c>
      <c r="M79" s="1" t="s">
        <v>206</v>
      </c>
      <c r="N79" s="1" t="s">
        <v>886</v>
      </c>
      <c r="O79" s="1">
        <v>615855</v>
      </c>
      <c r="P79" s="1">
        <v>1240203</v>
      </c>
      <c r="Q79" s="1" t="s">
        <v>599</v>
      </c>
      <c r="R79" s="1" t="s">
        <v>887</v>
      </c>
      <c r="S79" s="1" t="s">
        <v>225</v>
      </c>
      <c r="T79" s="1" t="s">
        <v>454</v>
      </c>
      <c r="U79" s="122">
        <v>44075.657638888886</v>
      </c>
      <c r="V79" s="1" t="s">
        <v>192</v>
      </c>
      <c r="W79" s="1" t="s">
        <v>19</v>
      </c>
      <c r="X79" s="1" t="s">
        <v>226</v>
      </c>
      <c r="Z79" s="1" t="s">
        <v>3</v>
      </c>
      <c r="AA79" s="1">
        <v>68805</v>
      </c>
      <c r="AB79" s="1">
        <v>2500</v>
      </c>
      <c r="AC79" s="1">
        <v>3000</v>
      </c>
      <c r="AD79" s="122">
        <v>45941.604166666664</v>
      </c>
      <c r="AE79" s="122">
        <v>45941.604166666664</v>
      </c>
      <c r="AF79" s="122">
        <v>45942.744444444441</v>
      </c>
      <c r="AG79" s="1">
        <v>4208.2</v>
      </c>
      <c r="AH79" s="1">
        <v>2545</v>
      </c>
      <c r="AI79" s="1" t="s">
        <v>195</v>
      </c>
      <c r="AJ79" s="122">
        <v>45941.470138888886</v>
      </c>
      <c r="AK79" s="122">
        <v>45941.470138888886</v>
      </c>
      <c r="AL79" s="1" t="s">
        <v>212</v>
      </c>
      <c r="AO79" s="1" t="s">
        <v>113</v>
      </c>
      <c r="AP79" s="1" t="s">
        <v>888</v>
      </c>
      <c r="AQ79" s="122">
        <v>45942.745138888888</v>
      </c>
      <c r="AR79" s="1">
        <v>1600.08</v>
      </c>
      <c r="AS79" s="1">
        <v>2487.15</v>
      </c>
      <c r="AT79" s="1" t="s">
        <v>198</v>
      </c>
      <c r="AU79" s="121">
        <v>45941</v>
      </c>
      <c r="AW79" s="1">
        <v>4087</v>
      </c>
      <c r="AX79" s="1" t="s">
        <v>889</v>
      </c>
      <c r="AY79" s="1" t="s">
        <v>889</v>
      </c>
      <c r="AZ79" s="1" t="s">
        <v>889</v>
      </c>
      <c r="BA79" s="1" t="s">
        <v>180</v>
      </c>
      <c r="BB79" s="1">
        <v>533001</v>
      </c>
      <c r="BE79" s="1" t="s">
        <v>890</v>
      </c>
      <c r="BF79" s="122">
        <v>45941.320833333331</v>
      </c>
    </row>
    <row r="80" spans="1:58">
      <c r="A80" s="1">
        <v>73</v>
      </c>
      <c r="B80" s="1" t="s">
        <v>179</v>
      </c>
      <c r="C80" s="1" t="s">
        <v>180</v>
      </c>
      <c r="D80" s="1" t="s">
        <v>181</v>
      </c>
      <c r="E80" s="1" t="s">
        <v>891</v>
      </c>
      <c r="F80" s="122">
        <v>45942.47152777778</v>
      </c>
      <c r="G80" s="1" t="s">
        <v>279</v>
      </c>
      <c r="I80" s="1" t="s">
        <v>892</v>
      </c>
      <c r="K80" s="1" t="s">
        <v>893</v>
      </c>
      <c r="M80" s="1" t="s">
        <v>206</v>
      </c>
      <c r="N80" s="1" t="s">
        <v>894</v>
      </c>
      <c r="O80" s="1">
        <v>382344</v>
      </c>
      <c r="P80" s="1">
        <v>7215995</v>
      </c>
      <c r="Q80" s="1" t="s">
        <v>780</v>
      </c>
      <c r="R80" s="1" t="s">
        <v>895</v>
      </c>
      <c r="S80" s="1" t="s">
        <v>484</v>
      </c>
      <c r="T80" s="1" t="s">
        <v>191</v>
      </c>
      <c r="U80" s="122">
        <v>44984.753472222219</v>
      </c>
      <c r="V80" s="1" t="s">
        <v>192</v>
      </c>
      <c r="W80" s="1" t="s">
        <v>19</v>
      </c>
      <c r="X80" s="1" t="s">
        <v>193</v>
      </c>
      <c r="Z80" s="1" t="s">
        <v>284</v>
      </c>
      <c r="AA80" s="1">
        <v>20753</v>
      </c>
      <c r="AB80" s="1">
        <v>0</v>
      </c>
      <c r="AC80" s="1">
        <v>0</v>
      </c>
      <c r="AD80" s="122">
        <v>45942.5625</v>
      </c>
      <c r="AE80" s="122">
        <v>45942.5625</v>
      </c>
      <c r="AF80" s="122">
        <v>45942.476388888892</v>
      </c>
      <c r="AG80" s="1">
        <v>0</v>
      </c>
      <c r="AH80" s="1">
        <v>0</v>
      </c>
      <c r="AI80" s="1" t="s">
        <v>195</v>
      </c>
      <c r="AL80" s="1" t="s">
        <v>196</v>
      </c>
      <c r="AO80" s="1" t="s">
        <v>113</v>
      </c>
      <c r="AP80" s="1" t="s">
        <v>896</v>
      </c>
      <c r="AQ80" s="122">
        <v>45942.477083333331</v>
      </c>
      <c r="AR80" s="1">
        <v>0</v>
      </c>
      <c r="AS80" s="1">
        <v>0</v>
      </c>
      <c r="AT80" s="1" t="s">
        <v>198</v>
      </c>
      <c r="AW80" s="1">
        <v>0</v>
      </c>
      <c r="AX80" s="1" t="s">
        <v>897</v>
      </c>
      <c r="AY80" s="1" t="s">
        <v>898</v>
      </c>
      <c r="AZ80" s="1" t="s">
        <v>899</v>
      </c>
      <c r="BA80" s="1" t="s">
        <v>180</v>
      </c>
      <c r="BB80" s="1">
        <v>535002</v>
      </c>
      <c r="BE80" s="1" t="s">
        <v>900</v>
      </c>
      <c r="BF80" s="122">
        <v>45942.46875</v>
      </c>
    </row>
    <row r="81" spans="1:58">
      <c r="A81" s="1">
        <v>74</v>
      </c>
      <c r="B81" s="1" t="s">
        <v>179</v>
      </c>
      <c r="C81" s="1" t="s">
        <v>180</v>
      </c>
      <c r="D81" s="1" t="s">
        <v>181</v>
      </c>
      <c r="E81" s="1" t="s">
        <v>901</v>
      </c>
      <c r="F81" s="122">
        <v>45940.379166666666</v>
      </c>
      <c r="G81" s="1" t="s">
        <v>218</v>
      </c>
      <c r="I81" s="1" t="s">
        <v>902</v>
      </c>
      <c r="K81" s="1" t="s">
        <v>903</v>
      </c>
      <c r="M81" s="1" t="s">
        <v>904</v>
      </c>
      <c r="N81" s="1" t="s">
        <v>905</v>
      </c>
      <c r="O81" s="1">
        <v>374254</v>
      </c>
      <c r="P81" s="1">
        <v>4329844</v>
      </c>
      <c r="Q81" s="1" t="s">
        <v>271</v>
      </c>
      <c r="R81" s="1" t="s">
        <v>304</v>
      </c>
      <c r="S81" s="1" t="s">
        <v>250</v>
      </c>
      <c r="T81" s="1" t="s">
        <v>454</v>
      </c>
      <c r="U81" s="122">
        <v>43020.607638888891</v>
      </c>
      <c r="V81" s="1" t="s">
        <v>192</v>
      </c>
      <c r="W81" s="1" t="s">
        <v>19</v>
      </c>
      <c r="X81" s="1" t="s">
        <v>193</v>
      </c>
      <c r="Z81" s="1" t="s">
        <v>3</v>
      </c>
      <c r="AA81" s="1">
        <v>60459</v>
      </c>
      <c r="AB81" s="1">
        <v>3000</v>
      </c>
      <c r="AC81" s="1">
        <v>6000</v>
      </c>
      <c r="AD81" s="122">
        <v>45940.770833333336</v>
      </c>
      <c r="AE81" s="122">
        <v>45940.770833333336</v>
      </c>
      <c r="AF81" s="122">
        <v>45942.543055555558</v>
      </c>
      <c r="AG81" s="1">
        <v>6636.1</v>
      </c>
      <c r="AH81" s="1">
        <v>2520</v>
      </c>
      <c r="AI81" s="1" t="s">
        <v>195</v>
      </c>
      <c r="AJ81" s="122">
        <v>45940.402777777781</v>
      </c>
      <c r="AK81" s="122">
        <v>45940.40347222222</v>
      </c>
      <c r="AL81" s="1" t="s">
        <v>212</v>
      </c>
      <c r="AO81" s="1" t="s">
        <v>113</v>
      </c>
      <c r="AP81" s="1" t="s">
        <v>906</v>
      </c>
      <c r="AQ81" s="122">
        <v>45942.546527777777</v>
      </c>
      <c r="AR81" s="1">
        <v>6949.48</v>
      </c>
      <c r="AS81" s="1">
        <v>59277.55</v>
      </c>
      <c r="AT81" s="1" t="s">
        <v>198</v>
      </c>
      <c r="AU81" s="121">
        <v>45940</v>
      </c>
      <c r="AW81" s="1">
        <v>66227</v>
      </c>
      <c r="AX81" s="1" t="s">
        <v>907</v>
      </c>
      <c r="AY81" s="1" t="s">
        <v>908</v>
      </c>
      <c r="AZ81" s="1" t="s">
        <v>909</v>
      </c>
      <c r="BA81" s="1" t="s">
        <v>180</v>
      </c>
      <c r="BB81" s="1">
        <v>535002</v>
      </c>
      <c r="BF81" s="122">
        <v>45940.368750000001</v>
      </c>
    </row>
    <row r="82" spans="1:58">
      <c r="A82" s="1">
        <v>75</v>
      </c>
      <c r="B82" s="1" t="s">
        <v>179</v>
      </c>
      <c r="C82" s="1" t="s">
        <v>180</v>
      </c>
      <c r="D82" s="1" t="s">
        <v>181</v>
      </c>
      <c r="E82" s="1" t="s">
        <v>910</v>
      </c>
      <c r="F82" s="122">
        <v>45943.62222222222</v>
      </c>
      <c r="G82" s="1" t="s">
        <v>651</v>
      </c>
      <c r="I82" s="1" t="s">
        <v>911</v>
      </c>
      <c r="K82" s="1" t="s">
        <v>912</v>
      </c>
      <c r="N82" s="1" t="s">
        <v>913</v>
      </c>
      <c r="O82" s="1">
        <v>315855</v>
      </c>
      <c r="P82" s="1">
        <v>7687950</v>
      </c>
      <c r="Q82" s="1" t="s">
        <v>188</v>
      </c>
      <c r="R82" s="1" t="s">
        <v>914</v>
      </c>
      <c r="S82" s="1" t="s">
        <v>390</v>
      </c>
      <c r="U82" s="122">
        <v>45926.777777777781</v>
      </c>
      <c r="V82" s="1" t="s">
        <v>192</v>
      </c>
      <c r="W82" s="1" t="s">
        <v>21</v>
      </c>
      <c r="X82" s="1" t="s">
        <v>226</v>
      </c>
      <c r="Z82" s="1" t="s">
        <v>658</v>
      </c>
      <c r="AA82" s="1">
        <v>1205</v>
      </c>
      <c r="AB82" s="1">
        <v>0</v>
      </c>
      <c r="AC82" s="1">
        <v>80</v>
      </c>
      <c r="AD82" s="122">
        <v>45943.729166666664</v>
      </c>
      <c r="AE82" s="122">
        <v>45943.729166666664</v>
      </c>
      <c r="AF82" s="122">
        <v>45943.630555555559</v>
      </c>
      <c r="AG82" s="1">
        <v>80</v>
      </c>
      <c r="AH82" s="1">
        <v>0</v>
      </c>
      <c r="AI82" s="1" t="s">
        <v>195</v>
      </c>
      <c r="AJ82" s="122">
        <v>45943.62777777778</v>
      </c>
      <c r="AK82" s="122">
        <v>45943.628472222219</v>
      </c>
      <c r="AL82" s="1" t="s">
        <v>212</v>
      </c>
      <c r="AO82" s="1" t="s">
        <v>113</v>
      </c>
      <c r="AP82" s="1" t="s">
        <v>915</v>
      </c>
      <c r="AQ82" s="122">
        <v>45943.631249999999</v>
      </c>
      <c r="AR82" s="1">
        <v>0</v>
      </c>
      <c r="AS82" s="1">
        <v>70.959999999999994</v>
      </c>
      <c r="AT82" s="1" t="s">
        <v>198</v>
      </c>
      <c r="AW82" s="1">
        <v>71</v>
      </c>
      <c r="AX82" s="1" t="s">
        <v>916</v>
      </c>
      <c r="AY82" s="1" t="s">
        <v>917</v>
      </c>
      <c r="AZ82" s="1" t="s">
        <v>918</v>
      </c>
      <c r="BA82" s="1" t="s">
        <v>180</v>
      </c>
      <c r="BB82" s="1">
        <v>530047</v>
      </c>
      <c r="BE82" s="1" t="s">
        <v>834</v>
      </c>
      <c r="BF82" s="122">
        <v>45943.616666666669</v>
      </c>
    </row>
    <row r="83" spans="1:58">
      <c r="A83" s="1">
        <v>76</v>
      </c>
      <c r="B83" s="1" t="s">
        <v>179</v>
      </c>
      <c r="C83" s="1" t="s">
        <v>180</v>
      </c>
      <c r="D83" s="1" t="s">
        <v>181</v>
      </c>
      <c r="E83" s="1" t="s">
        <v>919</v>
      </c>
      <c r="F83" s="122">
        <v>45943.635416666664</v>
      </c>
      <c r="G83" s="1" t="s">
        <v>244</v>
      </c>
      <c r="I83" s="1" t="s">
        <v>920</v>
      </c>
      <c r="K83" s="1" t="s">
        <v>921</v>
      </c>
      <c r="M83" s="1" t="s">
        <v>206</v>
      </c>
      <c r="N83" s="1" t="s">
        <v>922</v>
      </c>
      <c r="O83" s="1">
        <v>501141</v>
      </c>
      <c r="P83" s="1">
        <v>1121063</v>
      </c>
      <c r="Q83" s="1" t="s">
        <v>235</v>
      </c>
      <c r="R83" s="1" t="s">
        <v>676</v>
      </c>
      <c r="S83" s="1" t="s">
        <v>225</v>
      </c>
      <c r="T83" s="1" t="s">
        <v>454</v>
      </c>
      <c r="U83" s="122">
        <v>43798.467361111114</v>
      </c>
      <c r="V83" s="1" t="s">
        <v>192</v>
      </c>
      <c r="W83" s="1" t="s">
        <v>21</v>
      </c>
      <c r="X83" s="1" t="s">
        <v>193</v>
      </c>
      <c r="Z83" s="1" t="s">
        <v>4</v>
      </c>
      <c r="AA83" s="1">
        <v>78611</v>
      </c>
      <c r="AB83" s="1">
        <v>0</v>
      </c>
      <c r="AC83" s="1">
        <v>0</v>
      </c>
      <c r="AD83" s="122">
        <v>45944.8125</v>
      </c>
      <c r="AE83" s="122">
        <v>45944.8125</v>
      </c>
      <c r="AF83" s="122">
        <v>45943.643750000003</v>
      </c>
      <c r="AG83" s="1">
        <v>0</v>
      </c>
      <c r="AH83" s="1">
        <v>0</v>
      </c>
      <c r="AI83" s="1" t="s">
        <v>195</v>
      </c>
      <c r="AJ83" s="122">
        <v>45943.640972222223</v>
      </c>
      <c r="AK83" s="122">
        <v>45943.64166666667</v>
      </c>
      <c r="AL83" s="1" t="s">
        <v>212</v>
      </c>
      <c r="AO83" s="1" t="s">
        <v>113</v>
      </c>
      <c r="AP83" s="1" t="s">
        <v>923</v>
      </c>
      <c r="AQ83" s="122">
        <v>45943.643750000003</v>
      </c>
      <c r="AR83" s="1">
        <v>1766.22</v>
      </c>
      <c r="AS83" s="1">
        <v>1401</v>
      </c>
      <c r="AT83" s="1" t="s">
        <v>198</v>
      </c>
      <c r="AW83" s="1">
        <v>3167</v>
      </c>
      <c r="AX83" s="1" t="s">
        <v>924</v>
      </c>
      <c r="AY83" s="1" t="s">
        <v>899</v>
      </c>
      <c r="BA83" s="1" t="s">
        <v>180</v>
      </c>
      <c r="BB83" s="1">
        <v>535002</v>
      </c>
      <c r="BE83" s="1" t="s">
        <v>834</v>
      </c>
      <c r="BF83" s="122">
        <v>45943.631944444445</v>
      </c>
    </row>
    <row r="84" spans="1:58">
      <c r="A84" s="1">
        <v>77</v>
      </c>
      <c r="B84" s="1" t="s">
        <v>179</v>
      </c>
      <c r="C84" s="1" t="s">
        <v>180</v>
      </c>
      <c r="D84" s="1" t="s">
        <v>181</v>
      </c>
      <c r="E84" s="1" t="s">
        <v>925</v>
      </c>
      <c r="F84" s="122">
        <v>45943.397222222222</v>
      </c>
      <c r="G84" s="1" t="s">
        <v>218</v>
      </c>
      <c r="I84" s="1" t="s">
        <v>926</v>
      </c>
      <c r="K84" s="1" t="s">
        <v>927</v>
      </c>
      <c r="M84" s="1" t="s">
        <v>206</v>
      </c>
      <c r="N84" s="1" t="s">
        <v>928</v>
      </c>
      <c r="O84" s="1">
        <v>216980</v>
      </c>
      <c r="P84" s="1">
        <v>7354902</v>
      </c>
      <c r="Q84" s="1" t="s">
        <v>188</v>
      </c>
      <c r="R84" s="1" t="s">
        <v>929</v>
      </c>
      <c r="S84" s="1" t="s">
        <v>390</v>
      </c>
      <c r="T84" s="1" t="s">
        <v>191</v>
      </c>
      <c r="U84" s="122">
        <v>45632.465277777781</v>
      </c>
      <c r="V84" s="1" t="s">
        <v>192</v>
      </c>
      <c r="W84" s="1" t="s">
        <v>21</v>
      </c>
      <c r="X84" s="1" t="s">
        <v>193</v>
      </c>
      <c r="Z84" s="1" t="s">
        <v>3</v>
      </c>
      <c r="AA84" s="1">
        <v>20242</v>
      </c>
      <c r="AB84" s="1">
        <v>3500</v>
      </c>
      <c r="AC84" s="1">
        <v>3000</v>
      </c>
      <c r="AD84" s="122">
        <v>45943.645833333336</v>
      </c>
      <c r="AE84" s="122">
        <v>45943.729166666664</v>
      </c>
      <c r="AF84" s="122">
        <v>45943.694444444445</v>
      </c>
      <c r="AG84" s="1">
        <v>2346</v>
      </c>
      <c r="AH84" s="1">
        <v>1830</v>
      </c>
      <c r="AI84" s="1" t="s">
        <v>195</v>
      </c>
      <c r="AJ84" s="122">
        <v>45943.642361111109</v>
      </c>
      <c r="AK84" s="122">
        <v>45943.643055555556</v>
      </c>
      <c r="AL84" s="1" t="s">
        <v>212</v>
      </c>
      <c r="AO84" s="1" t="s">
        <v>113</v>
      </c>
      <c r="AP84" s="1" t="s">
        <v>930</v>
      </c>
      <c r="AQ84" s="122">
        <v>45943.697916666664</v>
      </c>
      <c r="AR84" s="1">
        <v>1534</v>
      </c>
      <c r="AS84" s="1">
        <v>2567.4899999999998</v>
      </c>
      <c r="AT84" s="1" t="s">
        <v>198</v>
      </c>
      <c r="AW84" s="1">
        <v>4101</v>
      </c>
      <c r="AX84" s="1" t="s">
        <v>931</v>
      </c>
      <c r="AY84" s="1" t="s">
        <v>932</v>
      </c>
      <c r="AZ84" s="1" t="s">
        <v>933</v>
      </c>
      <c r="BA84" s="1" t="s">
        <v>180</v>
      </c>
      <c r="BB84" s="1">
        <v>531163</v>
      </c>
      <c r="BE84" s="1" t="s">
        <v>934</v>
      </c>
      <c r="BF84" s="122">
        <v>45943.392361111109</v>
      </c>
    </row>
    <row r="85" spans="1:58">
      <c r="A85" s="1">
        <v>78</v>
      </c>
      <c r="B85" s="1" t="s">
        <v>179</v>
      </c>
      <c r="C85" s="1" t="s">
        <v>180</v>
      </c>
      <c r="D85" s="1" t="s">
        <v>181</v>
      </c>
      <c r="E85" s="1" t="s">
        <v>935</v>
      </c>
      <c r="F85" s="122">
        <v>45943.46597222222</v>
      </c>
      <c r="G85" s="1" t="s">
        <v>244</v>
      </c>
      <c r="I85" s="1" t="s">
        <v>936</v>
      </c>
      <c r="K85" s="1" t="s">
        <v>937</v>
      </c>
      <c r="M85" s="1" t="s">
        <v>206</v>
      </c>
      <c r="N85" s="1" t="s">
        <v>938</v>
      </c>
      <c r="O85" s="1">
        <v>138169</v>
      </c>
      <c r="P85" s="1">
        <v>1166755</v>
      </c>
      <c r="Q85" s="1" t="s">
        <v>260</v>
      </c>
      <c r="R85" s="1" t="s">
        <v>939</v>
      </c>
      <c r="S85" s="1" t="s">
        <v>505</v>
      </c>
      <c r="T85" s="1" t="s">
        <v>454</v>
      </c>
      <c r="U85" s="122">
        <v>40999.810416666667</v>
      </c>
      <c r="V85" s="1" t="s">
        <v>192</v>
      </c>
      <c r="W85" s="1" t="s">
        <v>19</v>
      </c>
      <c r="X85" s="1" t="s">
        <v>193</v>
      </c>
      <c r="Z85" s="1" t="s">
        <v>4</v>
      </c>
      <c r="AA85" s="1">
        <v>83089</v>
      </c>
      <c r="AB85" s="1">
        <v>600</v>
      </c>
      <c r="AC85" s="1">
        <v>500</v>
      </c>
      <c r="AD85" s="122">
        <v>45943.673611111109</v>
      </c>
      <c r="AE85" s="122">
        <v>45943.673611111109</v>
      </c>
      <c r="AF85" s="122">
        <v>45943.75277777778</v>
      </c>
      <c r="AG85" s="1">
        <v>500</v>
      </c>
      <c r="AH85" s="1">
        <v>600</v>
      </c>
      <c r="AI85" s="1" t="s">
        <v>195</v>
      </c>
      <c r="AL85" s="1" t="s">
        <v>196</v>
      </c>
      <c r="AO85" s="1" t="s">
        <v>113</v>
      </c>
      <c r="AP85" s="1" t="s">
        <v>940</v>
      </c>
      <c r="AQ85" s="122">
        <v>45943.754861111112</v>
      </c>
      <c r="AR85" s="1">
        <v>219.84</v>
      </c>
      <c r="AS85" s="1">
        <v>114</v>
      </c>
      <c r="AT85" s="1" t="s">
        <v>198</v>
      </c>
      <c r="AW85" s="1">
        <v>334</v>
      </c>
      <c r="AX85" s="1" t="s">
        <v>941</v>
      </c>
      <c r="AY85" s="1" t="s">
        <v>942</v>
      </c>
      <c r="AZ85" s="1" t="s">
        <v>943</v>
      </c>
      <c r="BA85" s="1" t="s">
        <v>180</v>
      </c>
      <c r="BB85" s="1">
        <v>530047</v>
      </c>
      <c r="BE85" s="1" t="s">
        <v>944</v>
      </c>
      <c r="BF85" s="122">
        <v>45943.462500000001</v>
      </c>
    </row>
    <row r="86" spans="1:58">
      <c r="A86" s="1">
        <v>79</v>
      </c>
      <c r="B86" s="1" t="s">
        <v>179</v>
      </c>
      <c r="C86" s="1" t="s">
        <v>180</v>
      </c>
      <c r="D86" s="1" t="s">
        <v>181</v>
      </c>
      <c r="E86" s="1" t="s">
        <v>945</v>
      </c>
      <c r="F86" s="122">
        <v>45934.515277777777</v>
      </c>
      <c r="G86" s="1" t="s">
        <v>533</v>
      </c>
      <c r="I86" s="1" t="s">
        <v>946</v>
      </c>
      <c r="K86" s="1" t="s">
        <v>947</v>
      </c>
      <c r="M86" s="1" t="s">
        <v>186</v>
      </c>
      <c r="N86" s="1" t="s">
        <v>948</v>
      </c>
      <c r="O86" s="1">
        <v>630492</v>
      </c>
      <c r="P86" s="1">
        <v>4163636</v>
      </c>
      <c r="Q86" s="1" t="s">
        <v>303</v>
      </c>
      <c r="R86" s="1" t="s">
        <v>249</v>
      </c>
      <c r="S86" s="1" t="s">
        <v>250</v>
      </c>
      <c r="T86" s="1" t="s">
        <v>191</v>
      </c>
      <c r="U86" s="122">
        <v>44275.71875</v>
      </c>
      <c r="V86" s="1" t="s">
        <v>558</v>
      </c>
      <c r="W86" s="1" t="s">
        <v>20</v>
      </c>
      <c r="X86" s="1" t="s">
        <v>559</v>
      </c>
      <c r="Z86" s="1" t="s">
        <v>538</v>
      </c>
      <c r="AA86" s="1">
        <v>66922</v>
      </c>
      <c r="AB86" s="1">
        <v>0</v>
      </c>
      <c r="AC86" s="1">
        <v>0</v>
      </c>
      <c r="AD86" s="122">
        <v>45946.509722222225</v>
      </c>
      <c r="AE86" s="122">
        <v>45946.509722222225</v>
      </c>
      <c r="AF86" s="122">
        <v>45943.6875</v>
      </c>
      <c r="AG86" s="1">
        <v>32114.5</v>
      </c>
      <c r="AH86" s="1">
        <v>0</v>
      </c>
      <c r="AI86" s="1" t="s">
        <v>195</v>
      </c>
      <c r="AJ86" s="122">
        <v>45940.583333333336</v>
      </c>
      <c r="AL86" s="1" t="s">
        <v>196</v>
      </c>
      <c r="AO86" s="1" t="s">
        <v>113</v>
      </c>
      <c r="AP86" s="1" t="s">
        <v>949</v>
      </c>
      <c r="AQ86" s="122">
        <v>45943.688194444447</v>
      </c>
      <c r="AR86" s="1">
        <v>26863.88</v>
      </c>
      <c r="AS86" s="1">
        <v>32029.4</v>
      </c>
      <c r="AT86" s="1" t="s">
        <v>198</v>
      </c>
      <c r="AW86" s="1">
        <v>58893</v>
      </c>
      <c r="AX86" s="1" t="s">
        <v>950</v>
      </c>
      <c r="AY86" s="1" t="s">
        <v>478</v>
      </c>
      <c r="AZ86" s="1" t="s">
        <v>288</v>
      </c>
      <c r="BA86" s="1" t="s">
        <v>180</v>
      </c>
      <c r="BB86" s="1">
        <v>530045</v>
      </c>
      <c r="BE86" s="1" t="s">
        <v>951</v>
      </c>
      <c r="BF86" s="122">
        <v>45934.5</v>
      </c>
    </row>
    <row r="87" spans="1:58">
      <c r="A87" s="1">
        <v>80</v>
      </c>
      <c r="B87" s="1" t="s">
        <v>179</v>
      </c>
      <c r="C87" s="1" t="s">
        <v>180</v>
      </c>
      <c r="D87" s="1" t="s">
        <v>181</v>
      </c>
      <c r="E87" s="1" t="s">
        <v>945</v>
      </c>
      <c r="F87" s="122">
        <v>45934.515277777777</v>
      </c>
      <c r="G87" s="1" t="s">
        <v>533</v>
      </c>
      <c r="I87" s="1" t="s">
        <v>946</v>
      </c>
      <c r="K87" s="1" t="s">
        <v>947</v>
      </c>
      <c r="M87" s="1" t="s">
        <v>186</v>
      </c>
      <c r="N87" s="1" t="s">
        <v>948</v>
      </c>
      <c r="O87" s="1">
        <v>630492</v>
      </c>
      <c r="P87" s="1">
        <v>4163636</v>
      </c>
      <c r="Q87" s="1" t="s">
        <v>303</v>
      </c>
      <c r="R87" s="1" t="s">
        <v>249</v>
      </c>
      <c r="S87" s="1" t="s">
        <v>250</v>
      </c>
      <c r="T87" s="1" t="s">
        <v>191</v>
      </c>
      <c r="U87" s="122">
        <v>44275.71875</v>
      </c>
      <c r="V87" s="1" t="s">
        <v>558</v>
      </c>
      <c r="W87" s="1" t="s">
        <v>20</v>
      </c>
      <c r="X87" s="1" t="s">
        <v>559</v>
      </c>
      <c r="Z87" s="1" t="s">
        <v>538</v>
      </c>
      <c r="AA87" s="1">
        <v>66922</v>
      </c>
      <c r="AB87" s="1">
        <v>0</v>
      </c>
      <c r="AC87" s="1">
        <v>0</v>
      </c>
      <c r="AD87" s="122">
        <v>45946.509722222225</v>
      </c>
      <c r="AE87" s="122">
        <v>45946.509722222225</v>
      </c>
      <c r="AF87" s="122">
        <v>45943.6875</v>
      </c>
      <c r="AG87" s="1">
        <v>32114.5</v>
      </c>
      <c r="AH87" s="1">
        <v>0</v>
      </c>
      <c r="AI87" s="1" t="s">
        <v>195</v>
      </c>
      <c r="AJ87" s="122">
        <v>45940.583333333336</v>
      </c>
      <c r="AL87" s="1" t="s">
        <v>196</v>
      </c>
      <c r="AO87" s="1" t="s">
        <v>113</v>
      </c>
      <c r="AP87" s="1" t="s">
        <v>952</v>
      </c>
      <c r="AQ87" s="122">
        <v>45943.688194444447</v>
      </c>
      <c r="AR87" s="1">
        <v>0</v>
      </c>
      <c r="AS87" s="1">
        <v>0</v>
      </c>
      <c r="AT87" s="1" t="s">
        <v>198</v>
      </c>
      <c r="AW87" s="1">
        <v>0</v>
      </c>
      <c r="AX87" s="1" t="s">
        <v>950</v>
      </c>
      <c r="AY87" s="1" t="s">
        <v>478</v>
      </c>
      <c r="AZ87" s="1" t="s">
        <v>288</v>
      </c>
      <c r="BA87" s="1" t="s">
        <v>180</v>
      </c>
      <c r="BB87" s="1">
        <v>530045</v>
      </c>
      <c r="BE87" s="1" t="s">
        <v>951</v>
      </c>
      <c r="BF87" s="122">
        <v>45934.5</v>
      </c>
    </row>
    <row r="88" spans="1:58">
      <c r="A88" s="1">
        <v>81</v>
      </c>
      <c r="B88" s="1" t="s">
        <v>179</v>
      </c>
      <c r="C88" s="1" t="s">
        <v>180</v>
      </c>
      <c r="D88" s="1" t="s">
        <v>181</v>
      </c>
      <c r="E88" s="1" t="s">
        <v>953</v>
      </c>
      <c r="F88" s="122">
        <v>45936.71597222222</v>
      </c>
      <c r="G88" s="1" t="s">
        <v>533</v>
      </c>
      <c r="I88" s="1" t="s">
        <v>954</v>
      </c>
      <c r="K88" s="1" t="s">
        <v>955</v>
      </c>
      <c r="M88" s="1" t="s">
        <v>206</v>
      </c>
      <c r="N88" s="1" t="s">
        <v>956</v>
      </c>
      <c r="O88" s="1">
        <v>575245</v>
      </c>
      <c r="P88" s="1">
        <v>5128949</v>
      </c>
      <c r="Q88" s="1" t="s">
        <v>248</v>
      </c>
      <c r="R88" s="1" t="s">
        <v>569</v>
      </c>
      <c r="S88" s="1" t="s">
        <v>329</v>
      </c>
      <c r="T88" s="1" t="s">
        <v>191</v>
      </c>
      <c r="U88" s="122">
        <v>44523.790972222225</v>
      </c>
      <c r="V88" s="1" t="s">
        <v>558</v>
      </c>
      <c r="W88" s="1" t="s">
        <v>20</v>
      </c>
      <c r="X88" s="1" t="s">
        <v>559</v>
      </c>
      <c r="Z88" s="1" t="s">
        <v>538</v>
      </c>
      <c r="AA88" s="1">
        <v>11200</v>
      </c>
      <c r="AB88" s="1">
        <v>0</v>
      </c>
      <c r="AC88" s="1">
        <v>0</v>
      </c>
      <c r="AD88" s="122">
        <v>45944.708333333336</v>
      </c>
      <c r="AE88" s="122">
        <v>45944.708333333336</v>
      </c>
      <c r="AF88" s="122">
        <v>45943.680555555555</v>
      </c>
      <c r="AG88" s="1">
        <v>0</v>
      </c>
      <c r="AH88" s="1">
        <v>0</v>
      </c>
      <c r="AI88" s="1" t="s">
        <v>195</v>
      </c>
      <c r="AJ88" s="122">
        <v>45940.582638888889</v>
      </c>
      <c r="AL88" s="1" t="s">
        <v>196</v>
      </c>
      <c r="AO88" s="1" t="s">
        <v>113</v>
      </c>
      <c r="AP88" s="1" t="s">
        <v>957</v>
      </c>
      <c r="AQ88" s="122">
        <v>45943.681250000001</v>
      </c>
      <c r="AR88" s="1">
        <v>11417.68</v>
      </c>
      <c r="AS88" s="1">
        <v>300.29000000000002</v>
      </c>
      <c r="AT88" s="1" t="s">
        <v>198</v>
      </c>
      <c r="AW88" s="1">
        <v>11718</v>
      </c>
      <c r="AX88" s="1" t="s">
        <v>958</v>
      </c>
      <c r="AY88" s="1" t="s">
        <v>959</v>
      </c>
      <c r="AZ88" s="1" t="s">
        <v>960</v>
      </c>
      <c r="BA88" s="1" t="s">
        <v>180</v>
      </c>
      <c r="BB88" s="1">
        <v>530002</v>
      </c>
      <c r="BF88" s="122">
        <v>45936.706944444442</v>
      </c>
    </row>
    <row r="89" spans="1:58">
      <c r="A89" s="1">
        <v>82</v>
      </c>
      <c r="B89" s="1" t="s">
        <v>179</v>
      </c>
      <c r="C89" s="1" t="s">
        <v>180</v>
      </c>
      <c r="D89" s="1" t="s">
        <v>181</v>
      </c>
      <c r="E89" s="1" t="s">
        <v>953</v>
      </c>
      <c r="F89" s="122">
        <v>45936.71597222222</v>
      </c>
      <c r="G89" s="1" t="s">
        <v>533</v>
      </c>
      <c r="I89" s="1" t="s">
        <v>954</v>
      </c>
      <c r="K89" s="1" t="s">
        <v>955</v>
      </c>
      <c r="M89" s="1" t="s">
        <v>206</v>
      </c>
      <c r="N89" s="1" t="s">
        <v>956</v>
      </c>
      <c r="O89" s="1">
        <v>575245</v>
      </c>
      <c r="P89" s="1">
        <v>5128949</v>
      </c>
      <c r="Q89" s="1" t="s">
        <v>248</v>
      </c>
      <c r="R89" s="1" t="s">
        <v>569</v>
      </c>
      <c r="S89" s="1" t="s">
        <v>329</v>
      </c>
      <c r="T89" s="1" t="s">
        <v>191</v>
      </c>
      <c r="U89" s="122">
        <v>44523.790972222225</v>
      </c>
      <c r="V89" s="1" t="s">
        <v>558</v>
      </c>
      <c r="W89" s="1" t="s">
        <v>20</v>
      </c>
      <c r="X89" s="1" t="s">
        <v>559</v>
      </c>
      <c r="Z89" s="1" t="s">
        <v>538</v>
      </c>
      <c r="AA89" s="1">
        <v>11200</v>
      </c>
      <c r="AB89" s="1">
        <v>0</v>
      </c>
      <c r="AC89" s="1">
        <v>0</v>
      </c>
      <c r="AD89" s="122">
        <v>45944.708333333336</v>
      </c>
      <c r="AE89" s="122">
        <v>45944.708333333336</v>
      </c>
      <c r="AF89" s="122">
        <v>45943.680555555555</v>
      </c>
      <c r="AG89" s="1">
        <v>0</v>
      </c>
      <c r="AH89" s="1">
        <v>0</v>
      </c>
      <c r="AI89" s="1" t="s">
        <v>195</v>
      </c>
      <c r="AJ89" s="122">
        <v>45940.582638888889</v>
      </c>
      <c r="AL89" s="1" t="s">
        <v>196</v>
      </c>
      <c r="AO89" s="1" t="s">
        <v>113</v>
      </c>
      <c r="AP89" s="1" t="s">
        <v>961</v>
      </c>
      <c r="AQ89" s="122">
        <v>45943.681250000001</v>
      </c>
      <c r="AR89" s="1">
        <v>0</v>
      </c>
      <c r="AS89" s="1">
        <v>0</v>
      </c>
      <c r="AT89" s="1" t="s">
        <v>198</v>
      </c>
      <c r="AW89" s="1">
        <v>0</v>
      </c>
      <c r="AX89" s="1" t="s">
        <v>958</v>
      </c>
      <c r="AY89" s="1" t="s">
        <v>959</v>
      </c>
      <c r="AZ89" s="1" t="s">
        <v>960</v>
      </c>
      <c r="BA89" s="1" t="s">
        <v>180</v>
      </c>
      <c r="BB89" s="1">
        <v>530002</v>
      </c>
      <c r="BF89" s="122">
        <v>45936.706944444442</v>
      </c>
    </row>
    <row r="90" spans="1:58">
      <c r="A90" s="1">
        <v>83</v>
      </c>
      <c r="B90" s="1" t="s">
        <v>179</v>
      </c>
      <c r="C90" s="1" t="s">
        <v>180</v>
      </c>
      <c r="D90" s="1" t="s">
        <v>181</v>
      </c>
      <c r="E90" s="1" t="s">
        <v>962</v>
      </c>
      <c r="F90" s="122">
        <v>45942.636805555558</v>
      </c>
      <c r="G90" s="1" t="s">
        <v>218</v>
      </c>
      <c r="I90" s="1" t="s">
        <v>963</v>
      </c>
      <c r="K90" s="1" t="s">
        <v>964</v>
      </c>
      <c r="M90" s="1" t="s">
        <v>186</v>
      </c>
      <c r="N90" s="1" t="s">
        <v>965</v>
      </c>
      <c r="O90" s="1">
        <v>533964</v>
      </c>
      <c r="P90" s="1">
        <v>4078934</v>
      </c>
      <c r="Q90" s="1" t="s">
        <v>248</v>
      </c>
      <c r="R90" s="1" t="s">
        <v>249</v>
      </c>
      <c r="S90" s="1" t="s">
        <v>250</v>
      </c>
      <c r="T90" s="1" t="s">
        <v>454</v>
      </c>
      <c r="U90" s="122">
        <v>44111.702777777777</v>
      </c>
      <c r="V90" s="1" t="s">
        <v>192</v>
      </c>
      <c r="W90" s="1" t="s">
        <v>19</v>
      </c>
      <c r="X90" s="1" t="s">
        <v>193</v>
      </c>
      <c r="Z90" s="1" t="s">
        <v>3</v>
      </c>
      <c r="AA90" s="1">
        <v>65084</v>
      </c>
      <c r="AB90" s="1">
        <v>2545</v>
      </c>
      <c r="AC90" s="1">
        <v>0</v>
      </c>
      <c r="AD90" s="122">
        <v>45942.770833333336</v>
      </c>
      <c r="AE90" s="122">
        <v>45942.770833333336</v>
      </c>
      <c r="AF90" s="122">
        <v>45943.765277777777</v>
      </c>
      <c r="AG90" s="1">
        <v>0</v>
      </c>
      <c r="AH90" s="1">
        <v>2545</v>
      </c>
      <c r="AI90" s="1" t="s">
        <v>195</v>
      </c>
      <c r="AL90" s="1" t="s">
        <v>196</v>
      </c>
      <c r="AO90" s="1" t="s">
        <v>113</v>
      </c>
      <c r="AP90" s="1" t="s">
        <v>966</v>
      </c>
      <c r="AQ90" s="122">
        <v>45943.765277777777</v>
      </c>
      <c r="AR90" s="1">
        <v>1000.06</v>
      </c>
      <c r="AS90" s="1">
        <v>1437.53</v>
      </c>
      <c r="AT90" s="1" t="s">
        <v>198</v>
      </c>
      <c r="AU90" s="121">
        <v>45942</v>
      </c>
      <c r="AW90" s="1">
        <v>2438</v>
      </c>
      <c r="AX90" s="1" t="s">
        <v>967</v>
      </c>
      <c r="AY90" s="1" t="s">
        <v>968</v>
      </c>
      <c r="AZ90" s="1" t="s">
        <v>288</v>
      </c>
      <c r="BA90" s="1" t="s">
        <v>180</v>
      </c>
      <c r="BB90" s="1">
        <v>530045</v>
      </c>
      <c r="BF90" s="122">
        <v>45942.597222222219</v>
      </c>
    </row>
    <row r="91" spans="1:58">
      <c r="A91" s="1">
        <v>84</v>
      </c>
      <c r="B91" s="1" t="s">
        <v>179</v>
      </c>
      <c r="C91" s="1" t="s">
        <v>180</v>
      </c>
      <c r="D91" s="1" t="s">
        <v>181</v>
      </c>
      <c r="E91" s="1" t="s">
        <v>969</v>
      </c>
      <c r="F91" s="122">
        <v>45943.609722222223</v>
      </c>
      <c r="G91" s="1" t="s">
        <v>244</v>
      </c>
      <c r="I91" s="1" t="s">
        <v>970</v>
      </c>
      <c r="K91" s="1" t="s">
        <v>971</v>
      </c>
      <c r="M91" s="1" t="s">
        <v>972</v>
      </c>
      <c r="N91" s="1" t="s">
        <v>973</v>
      </c>
      <c r="O91" s="1" t="s">
        <v>974</v>
      </c>
      <c r="P91" s="1">
        <v>4840189</v>
      </c>
      <c r="Q91" s="1" t="s">
        <v>260</v>
      </c>
      <c r="R91" s="1" t="s">
        <v>975</v>
      </c>
      <c r="S91" s="1" t="s">
        <v>262</v>
      </c>
      <c r="T91" s="1" t="s">
        <v>191</v>
      </c>
      <c r="U91" s="122">
        <v>42671.513194444444</v>
      </c>
      <c r="V91" s="1" t="s">
        <v>192</v>
      </c>
      <c r="W91" s="1" t="s">
        <v>21</v>
      </c>
      <c r="X91" s="1" t="s">
        <v>193</v>
      </c>
      <c r="Z91" s="1" t="s">
        <v>4</v>
      </c>
      <c r="AA91" s="1">
        <v>46846</v>
      </c>
      <c r="AB91" s="1">
        <v>100</v>
      </c>
      <c r="AC91" s="1">
        <v>450</v>
      </c>
      <c r="AD91" s="122">
        <v>45943.770833333336</v>
      </c>
      <c r="AE91" s="122">
        <v>45943.770833333336</v>
      </c>
      <c r="AF91" s="122">
        <v>45943.644444444442</v>
      </c>
      <c r="AG91" s="1">
        <v>450</v>
      </c>
      <c r="AH91" s="1">
        <v>0</v>
      </c>
      <c r="AI91" s="1" t="s">
        <v>195</v>
      </c>
      <c r="AJ91" s="122">
        <v>45943.640277777777</v>
      </c>
      <c r="AK91" s="122">
        <v>45943.640277777777</v>
      </c>
      <c r="AL91" s="1" t="s">
        <v>212</v>
      </c>
      <c r="AO91" s="1" t="s">
        <v>113</v>
      </c>
      <c r="AP91" s="1" t="s">
        <v>976</v>
      </c>
      <c r="AQ91" s="122">
        <v>45943.645138888889</v>
      </c>
      <c r="AR91" s="1">
        <v>162.84</v>
      </c>
      <c r="AS91" s="1">
        <v>437.5</v>
      </c>
      <c r="AT91" s="1" t="s">
        <v>198</v>
      </c>
      <c r="AW91" s="1">
        <v>600</v>
      </c>
      <c r="AX91" s="1" t="s">
        <v>977</v>
      </c>
      <c r="AY91" s="1" t="s">
        <v>978</v>
      </c>
      <c r="AZ91" s="1" t="s">
        <v>979</v>
      </c>
      <c r="BA91" s="1" t="s">
        <v>180</v>
      </c>
      <c r="BB91" s="1">
        <v>533566</v>
      </c>
      <c r="BE91" s="1" t="s">
        <v>834</v>
      </c>
      <c r="BF91" s="122">
        <v>45943.607638888891</v>
      </c>
    </row>
    <row r="92" spans="1:58">
      <c r="A92" s="1">
        <v>85</v>
      </c>
      <c r="B92" s="1" t="s">
        <v>179</v>
      </c>
      <c r="C92" s="1" t="s">
        <v>180</v>
      </c>
      <c r="D92" s="1" t="s">
        <v>181</v>
      </c>
      <c r="E92" s="1" t="s">
        <v>980</v>
      </c>
      <c r="F92" s="122">
        <v>45940.589583333334</v>
      </c>
      <c r="G92" s="1" t="s">
        <v>533</v>
      </c>
      <c r="I92" s="1" t="s">
        <v>796</v>
      </c>
      <c r="K92" s="1" t="s">
        <v>291</v>
      </c>
      <c r="M92" s="1" t="s">
        <v>206</v>
      </c>
      <c r="N92" s="1" t="s">
        <v>797</v>
      </c>
      <c r="O92" s="1">
        <v>598783</v>
      </c>
      <c r="P92" s="1">
        <v>7708335</v>
      </c>
      <c r="Q92" s="1" t="s">
        <v>235</v>
      </c>
      <c r="R92" s="1" t="s">
        <v>798</v>
      </c>
      <c r="S92" s="1" t="s">
        <v>357</v>
      </c>
      <c r="T92" s="1" t="s">
        <v>191</v>
      </c>
      <c r="U92" s="122">
        <v>45790.785416666666</v>
      </c>
      <c r="V92" s="1" t="s">
        <v>558</v>
      </c>
      <c r="W92" s="1" t="s">
        <v>20</v>
      </c>
      <c r="X92" s="1" t="s">
        <v>559</v>
      </c>
      <c r="Z92" s="1" t="s">
        <v>538</v>
      </c>
      <c r="AA92" s="1">
        <v>5341</v>
      </c>
      <c r="AB92" s="1">
        <v>0</v>
      </c>
      <c r="AC92" s="1">
        <v>0</v>
      </c>
      <c r="AD92" s="122">
        <v>45943.586805555555</v>
      </c>
      <c r="AE92" s="122">
        <v>45943.586805555555</v>
      </c>
      <c r="AF92" s="122">
        <v>45943.645833333336</v>
      </c>
      <c r="AG92" s="1">
        <v>0</v>
      </c>
      <c r="AH92" s="1">
        <v>0</v>
      </c>
      <c r="AI92" s="1" t="s">
        <v>195</v>
      </c>
      <c r="AJ92" s="122">
        <v>45940.590277777781</v>
      </c>
      <c r="AL92" s="1" t="s">
        <v>196</v>
      </c>
      <c r="AO92" s="1" t="s">
        <v>113</v>
      </c>
      <c r="AP92" s="1" t="s">
        <v>981</v>
      </c>
      <c r="AQ92" s="122">
        <v>45943.646527777775</v>
      </c>
      <c r="AR92" s="1">
        <v>4012</v>
      </c>
      <c r="AS92" s="1">
        <v>0</v>
      </c>
      <c r="AT92" s="1" t="s">
        <v>198</v>
      </c>
      <c r="AW92" s="1">
        <v>4012</v>
      </c>
      <c r="AX92" s="248">
        <v>47150</v>
      </c>
      <c r="AY92" s="1" t="s">
        <v>800</v>
      </c>
      <c r="AZ92" s="1" t="s">
        <v>801</v>
      </c>
      <c r="BA92" s="1" t="s">
        <v>180</v>
      </c>
      <c r="BB92" s="1">
        <v>521180</v>
      </c>
      <c r="BE92" s="1" t="s">
        <v>802</v>
      </c>
      <c r="BF92" s="122">
        <v>45940.584722222222</v>
      </c>
    </row>
    <row r="93" spans="1:58">
      <c r="A93" s="1">
        <v>86</v>
      </c>
      <c r="B93" s="1" t="s">
        <v>179</v>
      </c>
      <c r="C93" s="1" t="s">
        <v>180</v>
      </c>
      <c r="D93" s="1" t="s">
        <v>181</v>
      </c>
      <c r="E93" s="1" t="s">
        <v>982</v>
      </c>
      <c r="F93" s="122">
        <v>45942.723611111112</v>
      </c>
      <c r="G93" s="1" t="s">
        <v>244</v>
      </c>
      <c r="I93" s="1" t="s">
        <v>983</v>
      </c>
      <c r="K93" s="1" t="s">
        <v>984</v>
      </c>
      <c r="N93" s="1" t="s">
        <v>985</v>
      </c>
      <c r="O93" s="1" t="s">
        <v>986</v>
      </c>
      <c r="P93" s="1">
        <v>4948692</v>
      </c>
      <c r="Q93" s="1" t="s">
        <v>987</v>
      </c>
      <c r="R93" s="1" t="s">
        <v>988</v>
      </c>
      <c r="S93" s="1" t="s">
        <v>262</v>
      </c>
      <c r="T93" s="1" t="s">
        <v>191</v>
      </c>
      <c r="U93" s="122">
        <v>43098.923611111109</v>
      </c>
      <c r="V93" s="1" t="s">
        <v>192</v>
      </c>
      <c r="W93" s="1" t="s">
        <v>19</v>
      </c>
      <c r="X93" s="1" t="s">
        <v>193</v>
      </c>
      <c r="Z93" s="1" t="s">
        <v>4</v>
      </c>
      <c r="AA93" s="1">
        <v>26950</v>
      </c>
      <c r="AB93" s="1">
        <v>200</v>
      </c>
      <c r="AC93" s="1">
        <v>300</v>
      </c>
      <c r="AD93" s="122">
        <v>45943.770833333336</v>
      </c>
      <c r="AE93" s="122">
        <v>45942.770833333336</v>
      </c>
      <c r="AF93" s="122">
        <v>45943.65347222222</v>
      </c>
      <c r="AG93" s="1">
        <v>0</v>
      </c>
      <c r="AH93" s="1">
        <v>0</v>
      </c>
      <c r="AI93" s="1" t="s">
        <v>195</v>
      </c>
      <c r="AK93" s="122">
        <v>45942.8</v>
      </c>
      <c r="AL93" s="1" t="s">
        <v>212</v>
      </c>
      <c r="AO93" s="1" t="s">
        <v>113</v>
      </c>
      <c r="AP93" s="1" t="s">
        <v>989</v>
      </c>
      <c r="AQ93" s="122">
        <v>45943.65347222222</v>
      </c>
      <c r="AR93" s="1">
        <v>763.03</v>
      </c>
      <c r="AS93" s="1">
        <v>266.98</v>
      </c>
      <c r="AT93" s="1" t="s">
        <v>198</v>
      </c>
      <c r="AW93" s="1">
        <v>1030</v>
      </c>
      <c r="AX93" s="1" t="s">
        <v>990</v>
      </c>
      <c r="AY93" s="1" t="s">
        <v>991</v>
      </c>
      <c r="AZ93" s="1" t="s">
        <v>992</v>
      </c>
      <c r="BA93" s="1" t="s">
        <v>180</v>
      </c>
      <c r="BB93" s="1">
        <v>530045</v>
      </c>
      <c r="BF93" s="122">
        <v>45942.720138888886</v>
      </c>
    </row>
    <row r="94" spans="1:58">
      <c r="A94" s="1">
        <v>87</v>
      </c>
      <c r="B94" s="1" t="s">
        <v>179</v>
      </c>
      <c r="C94" s="1" t="s">
        <v>180</v>
      </c>
      <c r="D94" s="1" t="s">
        <v>181</v>
      </c>
      <c r="E94" s="1" t="s">
        <v>993</v>
      </c>
      <c r="F94" s="122">
        <v>45940.65</v>
      </c>
      <c r="G94" s="1" t="s">
        <v>533</v>
      </c>
      <c r="I94" s="1" t="s">
        <v>994</v>
      </c>
      <c r="K94" s="1" t="s">
        <v>995</v>
      </c>
      <c r="N94" s="1" t="s">
        <v>996</v>
      </c>
      <c r="O94" s="1">
        <v>150389</v>
      </c>
      <c r="P94" s="1">
        <v>1855686</v>
      </c>
      <c r="Q94" s="1" t="s">
        <v>235</v>
      </c>
      <c r="R94" s="1" t="s">
        <v>997</v>
      </c>
      <c r="S94" s="1" t="s">
        <v>808</v>
      </c>
      <c r="T94" s="1" t="s">
        <v>454</v>
      </c>
      <c r="U94" s="122">
        <v>41029.870138888888</v>
      </c>
      <c r="V94" s="1" t="s">
        <v>558</v>
      </c>
      <c r="W94" s="1" t="s">
        <v>20</v>
      </c>
      <c r="X94" s="1" t="s">
        <v>559</v>
      </c>
      <c r="Z94" s="1" t="s">
        <v>538</v>
      </c>
      <c r="AA94" s="1">
        <v>125706</v>
      </c>
      <c r="AB94" s="1">
        <v>0</v>
      </c>
      <c r="AC94" s="1">
        <v>0</v>
      </c>
      <c r="AD94" s="122">
        <v>45941.774305555555</v>
      </c>
      <c r="AE94" s="122">
        <v>45941.774305555555</v>
      </c>
      <c r="AF94" s="122">
        <v>45943.413888888892</v>
      </c>
      <c r="AG94" s="1">
        <v>0</v>
      </c>
      <c r="AH94" s="1">
        <v>0</v>
      </c>
      <c r="AI94" s="1" t="s">
        <v>195</v>
      </c>
      <c r="AJ94" s="122">
        <v>45940.656944444447</v>
      </c>
      <c r="AL94" s="1" t="s">
        <v>196</v>
      </c>
      <c r="AO94" s="1" t="s">
        <v>113</v>
      </c>
      <c r="AP94" s="1" t="s">
        <v>998</v>
      </c>
      <c r="AQ94" s="122">
        <v>45943.414583333331</v>
      </c>
      <c r="AR94" s="1">
        <v>3988.4</v>
      </c>
      <c r="AS94" s="1">
        <v>0</v>
      </c>
      <c r="AT94" s="1" t="s">
        <v>198</v>
      </c>
      <c r="AW94" s="1">
        <v>3988</v>
      </c>
      <c r="AX94" s="1" t="s">
        <v>999</v>
      </c>
      <c r="AY94" s="1" t="s">
        <v>1000</v>
      </c>
      <c r="AZ94" s="1" t="s">
        <v>478</v>
      </c>
      <c r="BA94" s="1" t="s">
        <v>180</v>
      </c>
      <c r="BB94" s="1">
        <v>530045</v>
      </c>
      <c r="BF94" s="122">
        <v>45940.647916666669</v>
      </c>
    </row>
    <row r="95" spans="1:58">
      <c r="A95" s="1">
        <v>88</v>
      </c>
      <c r="B95" s="1" t="s">
        <v>179</v>
      </c>
      <c r="C95" s="1" t="s">
        <v>180</v>
      </c>
      <c r="D95" s="1" t="s">
        <v>181</v>
      </c>
      <c r="E95" s="1" t="s">
        <v>1001</v>
      </c>
      <c r="F95" s="122">
        <v>45943.669444444444</v>
      </c>
      <c r="G95" s="1" t="s">
        <v>651</v>
      </c>
      <c r="I95" s="1" t="s">
        <v>1002</v>
      </c>
      <c r="K95" s="1" t="s">
        <v>1003</v>
      </c>
      <c r="N95" s="1" t="s">
        <v>1004</v>
      </c>
      <c r="O95" s="1" t="s">
        <v>1005</v>
      </c>
      <c r="P95" s="1">
        <v>9875643</v>
      </c>
      <c r="Q95" s="1" t="s">
        <v>235</v>
      </c>
      <c r="R95" s="1" t="s">
        <v>876</v>
      </c>
      <c r="S95" s="1" t="s">
        <v>1006</v>
      </c>
      <c r="U95" s="122">
        <v>45930.479861111111</v>
      </c>
      <c r="V95" s="1" t="s">
        <v>192</v>
      </c>
      <c r="W95" s="1" t="s">
        <v>21</v>
      </c>
      <c r="X95" s="1" t="s">
        <v>193</v>
      </c>
      <c r="Z95" s="1" t="s">
        <v>658</v>
      </c>
      <c r="AA95" s="1">
        <v>1106</v>
      </c>
      <c r="AB95" s="1">
        <v>0</v>
      </c>
      <c r="AC95" s="1">
        <v>0</v>
      </c>
      <c r="AD95" s="122">
        <v>45943.752083333333</v>
      </c>
      <c r="AE95" s="122">
        <v>45943.770833333336</v>
      </c>
      <c r="AF95" s="122">
        <v>45943.736805555556</v>
      </c>
      <c r="AG95" s="1">
        <v>0</v>
      </c>
      <c r="AH95" s="1">
        <v>0</v>
      </c>
      <c r="AI95" s="1" t="s">
        <v>195</v>
      </c>
      <c r="AJ95" s="122">
        <v>45943.73541666667</v>
      </c>
      <c r="AK95" s="122">
        <v>45943.73541666667</v>
      </c>
      <c r="AL95" s="1" t="s">
        <v>212</v>
      </c>
      <c r="AO95" s="1" t="s">
        <v>113</v>
      </c>
      <c r="AP95" s="1" t="s">
        <v>1007</v>
      </c>
      <c r="AQ95" s="122">
        <v>45943.736805555556</v>
      </c>
      <c r="AR95" s="1">
        <v>0</v>
      </c>
      <c r="AS95" s="1">
        <v>53.96</v>
      </c>
      <c r="AT95" s="1" t="s">
        <v>198</v>
      </c>
      <c r="AW95" s="1">
        <v>54</v>
      </c>
      <c r="AX95" s="1" t="s">
        <v>1008</v>
      </c>
      <c r="AY95" s="1" t="s">
        <v>1009</v>
      </c>
      <c r="AZ95" s="1" t="s">
        <v>1010</v>
      </c>
      <c r="BA95" s="1" t="s">
        <v>180</v>
      </c>
      <c r="BB95" s="1">
        <v>530046</v>
      </c>
      <c r="BE95" s="1" t="s">
        <v>934</v>
      </c>
      <c r="BF95" s="122">
        <v>45943.665972222225</v>
      </c>
    </row>
    <row r="96" spans="1:58">
      <c r="A96" s="1">
        <v>89</v>
      </c>
      <c r="B96" s="1" t="s">
        <v>179</v>
      </c>
      <c r="C96" s="1" t="s">
        <v>180</v>
      </c>
      <c r="D96" s="1" t="s">
        <v>181</v>
      </c>
      <c r="E96" s="1" t="s">
        <v>1011</v>
      </c>
      <c r="F96" s="122">
        <v>45941.681944444441</v>
      </c>
      <c r="G96" s="1" t="s">
        <v>1012</v>
      </c>
      <c r="I96" s="1" t="s">
        <v>1013</v>
      </c>
      <c r="K96" s="1" t="s">
        <v>1014</v>
      </c>
      <c r="M96" s="1" t="s">
        <v>206</v>
      </c>
      <c r="N96" s="1" t="s">
        <v>1015</v>
      </c>
      <c r="O96" s="1">
        <v>862493</v>
      </c>
      <c r="P96" s="1">
        <v>9217565</v>
      </c>
      <c r="Q96" s="1" t="s">
        <v>293</v>
      </c>
      <c r="R96" s="1" t="s">
        <v>895</v>
      </c>
      <c r="S96" s="1" t="s">
        <v>484</v>
      </c>
      <c r="T96" s="1" t="s">
        <v>191</v>
      </c>
      <c r="U96" s="122">
        <v>45427.659722222219</v>
      </c>
      <c r="V96" s="1" t="s">
        <v>558</v>
      </c>
      <c r="W96" s="1" t="s">
        <v>20</v>
      </c>
      <c r="X96" s="1" t="s">
        <v>559</v>
      </c>
      <c r="Z96" s="1" t="s">
        <v>23</v>
      </c>
      <c r="AA96" s="1">
        <v>34469</v>
      </c>
      <c r="AB96" s="1">
        <v>0</v>
      </c>
      <c r="AC96" s="1">
        <v>0</v>
      </c>
      <c r="AD96" s="122">
        <v>45942.681250000001</v>
      </c>
      <c r="AE96" s="122">
        <v>45942.681250000001</v>
      </c>
      <c r="AF96" s="122">
        <v>45943.438194444447</v>
      </c>
      <c r="AG96" s="1">
        <v>0</v>
      </c>
      <c r="AH96" s="1">
        <v>0</v>
      </c>
      <c r="AI96" s="1" t="s">
        <v>195</v>
      </c>
      <c r="AL96" s="1" t="s">
        <v>196</v>
      </c>
      <c r="AO96" s="1" t="s">
        <v>113</v>
      </c>
      <c r="AP96" s="1" t="s">
        <v>1016</v>
      </c>
      <c r="AQ96" s="122">
        <v>45943.438194444447</v>
      </c>
      <c r="AR96" s="1">
        <v>295</v>
      </c>
      <c r="AS96" s="1">
        <v>0</v>
      </c>
      <c r="AT96" s="1" t="s">
        <v>198</v>
      </c>
      <c r="AW96" s="1">
        <v>295</v>
      </c>
      <c r="AX96" s="1" t="s">
        <v>1017</v>
      </c>
      <c r="AY96" s="1" t="s">
        <v>1018</v>
      </c>
      <c r="AZ96" s="1" t="s">
        <v>1019</v>
      </c>
      <c r="BA96" s="1" t="s">
        <v>180</v>
      </c>
      <c r="BB96" s="1">
        <v>530020</v>
      </c>
      <c r="BE96" s="1" t="s">
        <v>1020</v>
      </c>
      <c r="BF96" s="122">
        <v>45941.677777777775</v>
      </c>
    </row>
    <row r="97" spans="1:58">
      <c r="A97" s="1">
        <v>90</v>
      </c>
      <c r="B97" s="1" t="s">
        <v>179</v>
      </c>
      <c r="C97" s="1" t="s">
        <v>180</v>
      </c>
      <c r="D97" s="1" t="s">
        <v>181</v>
      </c>
      <c r="E97" s="1" t="s">
        <v>1021</v>
      </c>
      <c r="F97" s="122">
        <v>45944.71875</v>
      </c>
      <c r="G97" s="1" t="s">
        <v>533</v>
      </c>
      <c r="I97" s="1" t="s">
        <v>1022</v>
      </c>
      <c r="K97" s="1" t="s">
        <v>1023</v>
      </c>
      <c r="M97" s="1" t="s">
        <v>206</v>
      </c>
      <c r="N97" s="1" t="s">
        <v>1024</v>
      </c>
      <c r="O97" s="1">
        <v>381190</v>
      </c>
      <c r="P97" s="1">
        <v>5237780</v>
      </c>
      <c r="Q97" s="1" t="s">
        <v>260</v>
      </c>
      <c r="R97" s="1" t="s">
        <v>1025</v>
      </c>
      <c r="S97" s="1" t="s">
        <v>273</v>
      </c>
      <c r="U97" s="122">
        <v>42460.57708333333</v>
      </c>
      <c r="V97" s="1" t="s">
        <v>558</v>
      </c>
      <c r="W97" s="1" t="s">
        <v>20</v>
      </c>
      <c r="X97" s="1" t="s">
        <v>559</v>
      </c>
      <c r="Z97" s="1" t="s">
        <v>538</v>
      </c>
      <c r="AA97" s="1">
        <v>161688</v>
      </c>
      <c r="AB97" s="1">
        <v>0</v>
      </c>
      <c r="AC97" s="1">
        <v>0</v>
      </c>
      <c r="AD97" s="122">
        <v>45946.759722222225</v>
      </c>
      <c r="AE97" s="122">
        <v>45946.759722222225</v>
      </c>
      <c r="AF97" s="122">
        <v>45944.736805555556</v>
      </c>
      <c r="AG97" s="1">
        <v>0</v>
      </c>
      <c r="AH97" s="1">
        <v>0</v>
      </c>
      <c r="AI97" s="1" t="s">
        <v>195</v>
      </c>
      <c r="AJ97" s="122">
        <v>45944.719444444447</v>
      </c>
      <c r="AL97" s="1" t="s">
        <v>196</v>
      </c>
      <c r="AO97" s="1" t="s">
        <v>113</v>
      </c>
      <c r="AP97" s="1" t="s">
        <v>1026</v>
      </c>
      <c r="AQ97" s="122">
        <v>45944.736805555556</v>
      </c>
      <c r="AR97" s="1">
        <v>7788</v>
      </c>
      <c r="AS97" s="1">
        <v>64.5</v>
      </c>
      <c r="AT97" s="1" t="s">
        <v>198</v>
      </c>
      <c r="AW97" s="1">
        <v>7853</v>
      </c>
      <c r="AX97" s="1" t="s">
        <v>1027</v>
      </c>
      <c r="AY97" s="1" t="s">
        <v>1028</v>
      </c>
      <c r="BA97" s="1" t="s">
        <v>180</v>
      </c>
      <c r="BB97" s="1">
        <v>530013</v>
      </c>
      <c r="BC97" s="121">
        <v>29195</v>
      </c>
      <c r="BF97" s="122">
        <v>45944.716666666667</v>
      </c>
    </row>
    <row r="98" spans="1:58">
      <c r="A98" s="1">
        <v>91</v>
      </c>
      <c r="B98" s="1" t="s">
        <v>179</v>
      </c>
      <c r="C98" s="1" t="s">
        <v>180</v>
      </c>
      <c r="D98" s="1" t="s">
        <v>181</v>
      </c>
      <c r="E98" s="1" t="s">
        <v>1029</v>
      </c>
      <c r="F98" s="122">
        <v>45944.450694444444</v>
      </c>
      <c r="G98" s="1" t="s">
        <v>244</v>
      </c>
      <c r="I98" s="1" t="s">
        <v>1030</v>
      </c>
      <c r="K98" s="1" t="s">
        <v>1031</v>
      </c>
      <c r="M98" s="1" t="s">
        <v>206</v>
      </c>
      <c r="N98" s="1" t="s">
        <v>1032</v>
      </c>
      <c r="O98" s="1">
        <v>326418</v>
      </c>
      <c r="P98" s="1">
        <v>4674370</v>
      </c>
      <c r="Q98" s="1" t="s">
        <v>248</v>
      </c>
      <c r="R98" s="1" t="s">
        <v>1033</v>
      </c>
      <c r="S98" s="1" t="s">
        <v>526</v>
      </c>
      <c r="T98" s="1" t="s">
        <v>454</v>
      </c>
      <c r="U98" s="122">
        <v>44062.722222222219</v>
      </c>
      <c r="V98" s="1" t="s">
        <v>192</v>
      </c>
      <c r="W98" s="1" t="s">
        <v>21</v>
      </c>
      <c r="X98" s="1" t="s">
        <v>193</v>
      </c>
      <c r="Z98" s="1" t="s">
        <v>4</v>
      </c>
      <c r="AA98" s="1">
        <v>112540</v>
      </c>
      <c r="AB98" s="1">
        <v>450</v>
      </c>
      <c r="AC98" s="1">
        <v>2500</v>
      </c>
      <c r="AD98" s="122">
        <v>45944.520833333336</v>
      </c>
      <c r="AE98" s="122">
        <v>45944.520833333336</v>
      </c>
      <c r="AF98" s="122">
        <v>45944.487500000003</v>
      </c>
      <c r="AG98" s="1">
        <v>2500</v>
      </c>
      <c r="AH98" s="1">
        <v>0</v>
      </c>
      <c r="AI98" s="1" t="s">
        <v>195</v>
      </c>
      <c r="AJ98" s="122">
        <v>45944.46875</v>
      </c>
      <c r="AK98" s="122">
        <v>45944.469444444447</v>
      </c>
      <c r="AL98" s="1" t="s">
        <v>212</v>
      </c>
      <c r="AO98" s="1" t="s">
        <v>113</v>
      </c>
      <c r="AP98" s="1" t="s">
        <v>1034</v>
      </c>
      <c r="AQ98" s="122">
        <v>45944.488194444442</v>
      </c>
      <c r="AR98" s="1">
        <v>151.41</v>
      </c>
      <c r="AS98" s="1">
        <v>1622.5</v>
      </c>
      <c r="AT98" s="1" t="s">
        <v>198</v>
      </c>
      <c r="AW98" s="1">
        <v>1774</v>
      </c>
      <c r="AX98" s="1" t="s">
        <v>889</v>
      </c>
      <c r="AY98" s="1" t="s">
        <v>889</v>
      </c>
      <c r="BA98" s="1" t="s">
        <v>180</v>
      </c>
      <c r="BB98" s="1">
        <v>533001</v>
      </c>
      <c r="BE98" s="1" t="s">
        <v>934</v>
      </c>
      <c r="BF98" s="122">
        <v>45944.447916666664</v>
      </c>
    </row>
    <row r="99" spans="1:58">
      <c r="A99" s="1">
        <v>92</v>
      </c>
      <c r="B99" s="1" t="s">
        <v>179</v>
      </c>
      <c r="C99" s="1" t="s">
        <v>180</v>
      </c>
      <c r="D99" s="1" t="s">
        <v>181</v>
      </c>
      <c r="E99" s="1" t="s">
        <v>1035</v>
      </c>
      <c r="F99" s="122">
        <v>45944.469444444447</v>
      </c>
      <c r="G99" s="1" t="s">
        <v>533</v>
      </c>
      <c r="I99" s="1" t="s">
        <v>1036</v>
      </c>
      <c r="K99" s="1" t="s">
        <v>1037</v>
      </c>
      <c r="M99" s="1" t="s">
        <v>186</v>
      </c>
      <c r="N99" s="1" t="s">
        <v>1038</v>
      </c>
      <c r="O99" s="1">
        <v>930765</v>
      </c>
      <c r="P99" s="1">
        <v>4618505</v>
      </c>
      <c r="Q99" s="1" t="s">
        <v>188</v>
      </c>
      <c r="R99" s="1" t="s">
        <v>465</v>
      </c>
      <c r="S99" s="1" t="s">
        <v>368</v>
      </c>
      <c r="T99" s="1" t="s">
        <v>191</v>
      </c>
      <c r="U99" s="122">
        <v>45862.71875</v>
      </c>
      <c r="V99" s="1" t="s">
        <v>558</v>
      </c>
      <c r="W99" s="1" t="s">
        <v>20</v>
      </c>
      <c r="X99" s="1" t="s">
        <v>559</v>
      </c>
      <c r="Z99" s="1" t="s">
        <v>538</v>
      </c>
      <c r="AA99" s="1">
        <v>3532</v>
      </c>
      <c r="AB99" s="1">
        <v>0</v>
      </c>
      <c r="AC99" s="1">
        <v>0</v>
      </c>
      <c r="AD99" s="122">
        <v>45950.760416666664</v>
      </c>
      <c r="AE99" s="122">
        <v>45950.760416666664</v>
      </c>
      <c r="AF99" s="122">
        <v>45944.484722222223</v>
      </c>
      <c r="AG99" s="1">
        <v>0</v>
      </c>
      <c r="AH99" s="1">
        <v>0</v>
      </c>
      <c r="AI99" s="1" t="s">
        <v>195</v>
      </c>
      <c r="AJ99" s="122">
        <v>45944.474305555559</v>
      </c>
      <c r="AL99" s="1" t="s">
        <v>196</v>
      </c>
      <c r="AO99" s="1" t="s">
        <v>113</v>
      </c>
      <c r="AP99" s="1" t="s">
        <v>1039</v>
      </c>
      <c r="AQ99" s="122">
        <v>45944.484722222223</v>
      </c>
      <c r="AR99" s="1">
        <v>3658</v>
      </c>
      <c r="AS99" s="1">
        <v>0</v>
      </c>
      <c r="AT99" s="1" t="s">
        <v>198</v>
      </c>
      <c r="AW99" s="1">
        <v>3658</v>
      </c>
      <c r="AX99" s="1" t="s">
        <v>1040</v>
      </c>
      <c r="AY99" s="1" t="s">
        <v>1041</v>
      </c>
      <c r="AZ99" s="1" t="s">
        <v>1042</v>
      </c>
      <c r="BA99" s="1" t="s">
        <v>180</v>
      </c>
      <c r="BB99" s="1">
        <v>530041</v>
      </c>
      <c r="BE99" s="1" t="s">
        <v>1043</v>
      </c>
      <c r="BF99" s="122">
        <v>45944.463888888888</v>
      </c>
    </row>
    <row r="100" spans="1:58">
      <c r="A100" s="1">
        <v>93</v>
      </c>
      <c r="B100" s="1" t="s">
        <v>179</v>
      </c>
      <c r="C100" s="1" t="s">
        <v>180</v>
      </c>
      <c r="D100" s="1" t="s">
        <v>181</v>
      </c>
      <c r="E100" s="1" t="s">
        <v>1044</v>
      </c>
      <c r="F100" s="122">
        <v>45944.547222222223</v>
      </c>
      <c r="G100" s="1" t="s">
        <v>872</v>
      </c>
      <c r="I100" s="1" t="s">
        <v>1045</v>
      </c>
      <c r="K100" s="1" t="s">
        <v>1046</v>
      </c>
      <c r="N100" s="1" t="s">
        <v>1047</v>
      </c>
      <c r="O100" s="1">
        <v>724680</v>
      </c>
      <c r="P100" s="1">
        <v>4445033</v>
      </c>
      <c r="Q100" s="1" t="s">
        <v>283</v>
      </c>
      <c r="R100" s="1" t="s">
        <v>465</v>
      </c>
      <c r="S100" s="1" t="s">
        <v>368</v>
      </c>
      <c r="T100" s="1" t="s">
        <v>191</v>
      </c>
      <c r="U100" s="122">
        <v>45574.665277777778</v>
      </c>
      <c r="V100" s="1" t="s">
        <v>192</v>
      </c>
      <c r="W100" s="1" t="s">
        <v>19</v>
      </c>
      <c r="X100" s="1" t="s">
        <v>193</v>
      </c>
      <c r="Z100" s="1" t="s">
        <v>877</v>
      </c>
      <c r="AA100" s="1">
        <v>21431</v>
      </c>
      <c r="AB100" s="1">
        <v>0</v>
      </c>
      <c r="AC100" s="1">
        <v>0</v>
      </c>
      <c r="AD100" s="122">
        <v>45944.583333333336</v>
      </c>
      <c r="AE100" s="122">
        <v>45944.583333333336</v>
      </c>
      <c r="AF100" s="122">
        <v>45944.55</v>
      </c>
      <c r="AG100" s="1">
        <v>0</v>
      </c>
      <c r="AH100" s="1">
        <v>0</v>
      </c>
      <c r="AO100" s="1" t="s">
        <v>113</v>
      </c>
      <c r="AP100" s="1" t="s">
        <v>1048</v>
      </c>
      <c r="AQ100" s="122">
        <v>45944.550694444442</v>
      </c>
      <c r="AR100" s="1">
        <v>299.72000000000003</v>
      </c>
      <c r="AS100" s="1">
        <v>0</v>
      </c>
      <c r="AT100" s="1" t="s">
        <v>198</v>
      </c>
      <c r="AW100" s="1">
        <v>300</v>
      </c>
      <c r="AX100" s="1" t="s">
        <v>1049</v>
      </c>
      <c r="AY100" s="1" t="s">
        <v>1050</v>
      </c>
      <c r="AZ100" s="1" t="s">
        <v>1051</v>
      </c>
      <c r="BA100" s="1" t="s">
        <v>180</v>
      </c>
      <c r="BB100" s="1">
        <v>530051</v>
      </c>
      <c r="BF100" s="122">
        <v>45944.541666666664</v>
      </c>
    </row>
    <row r="101" spans="1:58">
      <c r="A101" s="1">
        <v>94</v>
      </c>
      <c r="B101" s="1" t="s">
        <v>179</v>
      </c>
      <c r="C101" s="1" t="s">
        <v>180</v>
      </c>
      <c r="D101" s="1" t="s">
        <v>181</v>
      </c>
      <c r="E101" s="1" t="s">
        <v>1052</v>
      </c>
      <c r="F101" s="122">
        <v>45943.70208333333</v>
      </c>
      <c r="G101" s="1" t="s">
        <v>533</v>
      </c>
      <c r="I101" s="1" t="s">
        <v>954</v>
      </c>
      <c r="K101" s="1" t="s">
        <v>955</v>
      </c>
      <c r="M101" s="1" t="s">
        <v>206</v>
      </c>
      <c r="N101" s="1" t="s">
        <v>956</v>
      </c>
      <c r="O101" s="1">
        <v>575245</v>
      </c>
      <c r="P101" s="1">
        <v>5128949</v>
      </c>
      <c r="Q101" s="1" t="s">
        <v>248</v>
      </c>
      <c r="R101" s="1" t="s">
        <v>569</v>
      </c>
      <c r="S101" s="1" t="s">
        <v>329</v>
      </c>
      <c r="T101" s="1" t="s">
        <v>191</v>
      </c>
      <c r="U101" s="122">
        <v>44523.790972222225</v>
      </c>
      <c r="V101" s="1" t="s">
        <v>558</v>
      </c>
      <c r="W101" s="1" t="s">
        <v>20</v>
      </c>
      <c r="X101" s="1" t="s">
        <v>559</v>
      </c>
      <c r="Z101" s="1" t="s">
        <v>538</v>
      </c>
      <c r="AA101" s="1">
        <v>11202</v>
      </c>
      <c r="AB101" s="1">
        <v>0</v>
      </c>
      <c r="AC101" s="1">
        <v>0</v>
      </c>
      <c r="AD101" s="122">
        <v>45945.784722222219</v>
      </c>
      <c r="AE101" s="122">
        <v>45945.784722222219</v>
      </c>
      <c r="AF101" s="122">
        <v>45944.486111111109</v>
      </c>
      <c r="AG101" s="1">
        <v>0</v>
      </c>
      <c r="AH101" s="1">
        <v>0</v>
      </c>
      <c r="AI101" s="1" t="s">
        <v>195</v>
      </c>
      <c r="AJ101" s="122">
        <v>45943.70208333333</v>
      </c>
      <c r="AL101" s="1" t="s">
        <v>196</v>
      </c>
      <c r="AO101" s="1" t="s">
        <v>113</v>
      </c>
      <c r="AP101" s="1" t="s">
        <v>1053</v>
      </c>
      <c r="AQ101" s="122">
        <v>45944.486805555556</v>
      </c>
      <c r="AR101" s="1">
        <v>1770</v>
      </c>
      <c r="AS101" s="1">
        <v>0</v>
      </c>
      <c r="AT101" s="1" t="s">
        <v>198</v>
      </c>
      <c r="AW101" s="1">
        <v>1770</v>
      </c>
      <c r="AX101" s="1" t="s">
        <v>958</v>
      </c>
      <c r="AY101" s="1" t="s">
        <v>959</v>
      </c>
      <c r="AZ101" s="1" t="s">
        <v>960</v>
      </c>
      <c r="BA101" s="1" t="s">
        <v>180</v>
      </c>
      <c r="BB101" s="1">
        <v>530002</v>
      </c>
      <c r="BF101" s="122">
        <v>45943.699305555558</v>
      </c>
    </row>
    <row r="102" spans="1:58">
      <c r="A102" s="1">
        <v>95</v>
      </c>
      <c r="B102" s="1" t="s">
        <v>179</v>
      </c>
      <c r="C102" s="1" t="s">
        <v>180</v>
      </c>
      <c r="D102" s="1" t="s">
        <v>181</v>
      </c>
      <c r="E102" s="1" t="s">
        <v>1054</v>
      </c>
      <c r="F102" s="122">
        <v>45944.478472222225</v>
      </c>
      <c r="G102" s="1" t="s">
        <v>218</v>
      </c>
      <c r="I102" s="1" t="s">
        <v>1055</v>
      </c>
      <c r="K102" s="1" t="s">
        <v>1056</v>
      </c>
      <c r="M102" s="1" t="s">
        <v>233</v>
      </c>
      <c r="N102" s="1" t="s">
        <v>1057</v>
      </c>
      <c r="O102" s="1">
        <v>447015</v>
      </c>
      <c r="P102" s="1">
        <v>1278127</v>
      </c>
      <c r="Q102" s="1" t="s">
        <v>235</v>
      </c>
      <c r="R102" s="1" t="s">
        <v>495</v>
      </c>
      <c r="S102" s="1" t="s">
        <v>237</v>
      </c>
      <c r="U102" s="122">
        <v>44611.669444444444</v>
      </c>
      <c r="V102" s="1" t="s">
        <v>192</v>
      </c>
      <c r="W102" s="1" t="s">
        <v>21</v>
      </c>
      <c r="X102" s="1" t="s">
        <v>193</v>
      </c>
      <c r="Z102" s="1" t="s">
        <v>3</v>
      </c>
      <c r="AA102" s="1">
        <v>124536</v>
      </c>
      <c r="AB102" s="1">
        <v>2400</v>
      </c>
      <c r="AC102" s="1">
        <v>8000</v>
      </c>
      <c r="AD102" s="122">
        <v>45944.729166666664</v>
      </c>
      <c r="AE102" s="122">
        <v>45945.770833333336</v>
      </c>
      <c r="AF102" s="122">
        <v>45944.75</v>
      </c>
      <c r="AG102" s="1">
        <v>5509.3</v>
      </c>
      <c r="AH102" s="1">
        <v>2400</v>
      </c>
      <c r="AI102" s="1" t="s">
        <v>195</v>
      </c>
      <c r="AJ102" s="122">
        <v>45944.7</v>
      </c>
      <c r="AK102" s="122">
        <v>45944.700694444444</v>
      </c>
      <c r="AL102" s="1" t="s">
        <v>212</v>
      </c>
      <c r="AO102" s="1" t="s">
        <v>113</v>
      </c>
      <c r="AP102" s="1" t="s">
        <v>1058</v>
      </c>
      <c r="AQ102" s="122">
        <v>45944.750694444447</v>
      </c>
      <c r="AR102" s="1">
        <v>2612.52</v>
      </c>
      <c r="AS102" s="1">
        <v>5738.83</v>
      </c>
      <c r="AT102" s="1" t="s">
        <v>198</v>
      </c>
      <c r="AW102" s="1">
        <v>8351</v>
      </c>
      <c r="AX102" s="1" t="s">
        <v>1059</v>
      </c>
      <c r="AY102" s="1" t="s">
        <v>1060</v>
      </c>
      <c r="AZ102" s="1" t="s">
        <v>1061</v>
      </c>
      <c r="BA102" s="1" t="s">
        <v>180</v>
      </c>
      <c r="BB102" s="1">
        <v>531173</v>
      </c>
      <c r="BE102" s="1" t="s">
        <v>934</v>
      </c>
      <c r="BF102" s="122">
        <v>45944.472916666666</v>
      </c>
    </row>
    <row r="103" spans="1:58">
      <c r="A103" s="1">
        <v>96</v>
      </c>
      <c r="B103" s="1" t="s">
        <v>179</v>
      </c>
      <c r="C103" s="1" t="s">
        <v>180</v>
      </c>
      <c r="D103" s="1" t="s">
        <v>181</v>
      </c>
      <c r="E103" s="1" t="s">
        <v>1062</v>
      </c>
      <c r="F103" s="122">
        <v>45944.428472222222</v>
      </c>
      <c r="G103" s="1" t="s">
        <v>203</v>
      </c>
      <c r="I103" s="1" t="s">
        <v>1063</v>
      </c>
      <c r="K103" s="1" t="s">
        <v>1064</v>
      </c>
      <c r="M103" s="1" t="s">
        <v>325</v>
      </c>
      <c r="N103" s="1" t="s">
        <v>1065</v>
      </c>
      <c r="O103" s="1" t="s">
        <v>1066</v>
      </c>
      <c r="P103" s="1">
        <v>4254701</v>
      </c>
      <c r="Q103" s="1" t="s">
        <v>208</v>
      </c>
      <c r="R103" s="1" t="s">
        <v>1067</v>
      </c>
      <c r="S103" s="1" t="s">
        <v>1068</v>
      </c>
      <c r="T103" s="1" t="s">
        <v>191</v>
      </c>
      <c r="U103" s="122">
        <v>45605.759722222225</v>
      </c>
      <c r="V103" s="1" t="s">
        <v>192</v>
      </c>
      <c r="W103" s="1" t="s">
        <v>21</v>
      </c>
      <c r="X103" s="1" t="s">
        <v>193</v>
      </c>
      <c r="Z103" s="1" t="s">
        <v>211</v>
      </c>
      <c r="AA103" s="1">
        <v>14450</v>
      </c>
      <c r="AB103" s="1">
        <v>1500</v>
      </c>
      <c r="AC103" s="1">
        <v>3000</v>
      </c>
      <c r="AD103" s="122">
        <v>45944.645833333336</v>
      </c>
      <c r="AE103" s="122">
        <v>45944.6875</v>
      </c>
      <c r="AF103" s="122">
        <v>45944.695833333331</v>
      </c>
      <c r="AG103" s="1">
        <v>2078</v>
      </c>
      <c r="AH103" s="1">
        <v>0</v>
      </c>
      <c r="AI103" s="1" t="s">
        <v>195</v>
      </c>
      <c r="AJ103" s="122">
        <v>45944.531944444447</v>
      </c>
      <c r="AK103" s="122">
        <v>45944.538888888892</v>
      </c>
      <c r="AL103" s="1" t="s">
        <v>212</v>
      </c>
      <c r="AO103" s="1" t="s">
        <v>113</v>
      </c>
      <c r="AP103" s="1" t="s">
        <v>1069</v>
      </c>
      <c r="AQ103" s="122">
        <v>45944.705555555556</v>
      </c>
      <c r="AR103" s="1">
        <v>896.8</v>
      </c>
      <c r="AS103" s="1">
        <v>2384.91</v>
      </c>
      <c r="AT103" s="1" t="s">
        <v>198</v>
      </c>
      <c r="AW103" s="1">
        <v>3282</v>
      </c>
      <c r="AX103" s="1" t="s">
        <v>1070</v>
      </c>
      <c r="AY103" s="1" t="s">
        <v>1071</v>
      </c>
      <c r="AZ103" s="1" t="s">
        <v>1072</v>
      </c>
      <c r="BA103" s="1" t="s">
        <v>180</v>
      </c>
      <c r="BB103" s="1">
        <v>530003</v>
      </c>
      <c r="BE103" s="1" t="s">
        <v>934</v>
      </c>
      <c r="BF103" s="122">
        <v>45944.425694444442</v>
      </c>
    </row>
    <row r="104" spans="1:58">
      <c r="A104" s="1">
        <v>97</v>
      </c>
      <c r="B104" s="1" t="s">
        <v>179</v>
      </c>
      <c r="C104" s="1" t="s">
        <v>180</v>
      </c>
      <c r="D104" s="1" t="s">
        <v>181</v>
      </c>
      <c r="E104" s="1" t="s">
        <v>1073</v>
      </c>
      <c r="F104" s="122">
        <v>45938.436805555553</v>
      </c>
      <c r="G104" s="1" t="s">
        <v>244</v>
      </c>
      <c r="I104" s="1" t="s">
        <v>1074</v>
      </c>
      <c r="K104" s="1" t="s">
        <v>1075</v>
      </c>
      <c r="M104" s="1" t="s">
        <v>206</v>
      </c>
      <c r="N104" s="1" t="s">
        <v>1076</v>
      </c>
      <c r="O104" s="1">
        <v>276944</v>
      </c>
      <c r="P104" s="1">
        <v>4062932</v>
      </c>
      <c r="Q104" s="1" t="s">
        <v>315</v>
      </c>
      <c r="R104" s="1" t="s">
        <v>1077</v>
      </c>
      <c r="S104" s="1" t="s">
        <v>1078</v>
      </c>
      <c r="T104" s="1" t="s">
        <v>454</v>
      </c>
      <c r="U104" s="122">
        <v>40534.712500000001</v>
      </c>
      <c r="V104" s="1" t="s">
        <v>192</v>
      </c>
      <c r="W104" s="1" t="s">
        <v>19</v>
      </c>
      <c r="X104" s="1" t="s">
        <v>193</v>
      </c>
      <c r="Z104" s="1" t="s">
        <v>4</v>
      </c>
      <c r="AA104" s="1">
        <v>37895</v>
      </c>
      <c r="AB104" s="1">
        <v>1000</v>
      </c>
      <c r="AC104" s="1">
        <v>500</v>
      </c>
      <c r="AD104" s="122">
        <v>45938.729166666664</v>
      </c>
      <c r="AE104" s="122">
        <v>45938.729166666664</v>
      </c>
      <c r="AF104" s="122">
        <v>45944.388888888891</v>
      </c>
      <c r="AG104" s="1">
        <v>500</v>
      </c>
      <c r="AH104" s="1">
        <v>0</v>
      </c>
      <c r="AI104" s="1" t="s">
        <v>195</v>
      </c>
      <c r="AJ104" s="122">
        <v>45938.446527777778</v>
      </c>
      <c r="AK104" s="122">
        <v>45938.447222222225</v>
      </c>
      <c r="AL104" s="1" t="s">
        <v>212</v>
      </c>
      <c r="AO104" s="1" t="s">
        <v>113</v>
      </c>
      <c r="AP104" s="1" t="s">
        <v>1079</v>
      </c>
      <c r="AQ104" s="122">
        <v>45944.38958333333</v>
      </c>
      <c r="AR104" s="1">
        <v>0</v>
      </c>
      <c r="AS104" s="1">
        <v>539.99</v>
      </c>
      <c r="AT104" s="1" t="s">
        <v>198</v>
      </c>
      <c r="AU104" s="121">
        <v>45938</v>
      </c>
      <c r="AW104" s="1">
        <v>540</v>
      </c>
      <c r="AX104" s="1" t="s">
        <v>1080</v>
      </c>
      <c r="AY104" s="1" t="s">
        <v>1081</v>
      </c>
      <c r="AZ104" s="1" t="s">
        <v>1082</v>
      </c>
      <c r="BA104" s="1" t="s">
        <v>180</v>
      </c>
      <c r="BB104" s="1">
        <v>560093</v>
      </c>
      <c r="BE104" s="1" t="s">
        <v>1083</v>
      </c>
      <c r="BF104" s="122">
        <v>45938.43472222222</v>
      </c>
    </row>
    <row r="105" spans="1:58">
      <c r="A105" s="1">
        <v>98</v>
      </c>
      <c r="B105" s="1" t="s">
        <v>179</v>
      </c>
      <c r="C105" s="1" t="s">
        <v>180</v>
      </c>
      <c r="D105" s="1" t="s">
        <v>181</v>
      </c>
      <c r="E105" s="1" t="s">
        <v>1084</v>
      </c>
      <c r="F105" s="122">
        <v>45944.51666666667</v>
      </c>
      <c r="G105" s="1" t="s">
        <v>218</v>
      </c>
      <c r="I105" s="1" t="s">
        <v>1085</v>
      </c>
      <c r="K105" s="1" t="s">
        <v>1086</v>
      </c>
      <c r="M105" s="1" t="s">
        <v>206</v>
      </c>
      <c r="N105" s="1" t="s">
        <v>1087</v>
      </c>
      <c r="O105" s="1">
        <v>645153</v>
      </c>
      <c r="P105" s="1">
        <v>2486367</v>
      </c>
      <c r="Q105" s="1" t="s">
        <v>260</v>
      </c>
      <c r="R105" s="1" t="s">
        <v>807</v>
      </c>
      <c r="S105" s="1" t="s">
        <v>808</v>
      </c>
      <c r="T105" s="1" t="s">
        <v>191</v>
      </c>
      <c r="U105" s="122">
        <v>42003.870833333334</v>
      </c>
      <c r="V105" s="1" t="s">
        <v>192</v>
      </c>
      <c r="W105" s="1" t="s">
        <v>21</v>
      </c>
      <c r="X105" s="1" t="s">
        <v>226</v>
      </c>
      <c r="Z105" s="1" t="s">
        <v>3</v>
      </c>
      <c r="AA105" s="1">
        <v>131473</v>
      </c>
      <c r="AB105" s="1">
        <v>2500</v>
      </c>
      <c r="AC105" s="1">
        <v>4500</v>
      </c>
      <c r="AD105" s="122">
        <v>45944.770833333336</v>
      </c>
      <c r="AE105" s="122">
        <v>45944.770833333336</v>
      </c>
      <c r="AF105" s="122">
        <v>45944.704861111109</v>
      </c>
      <c r="AG105" s="1">
        <v>4500</v>
      </c>
      <c r="AH105" s="1">
        <v>520</v>
      </c>
      <c r="AI105" s="1" t="s">
        <v>195</v>
      </c>
      <c r="AJ105" s="122">
        <v>45944.698611111111</v>
      </c>
      <c r="AK105" s="122">
        <v>45944.699305555558</v>
      </c>
      <c r="AL105" s="1" t="s">
        <v>212</v>
      </c>
      <c r="AO105" s="1" t="s">
        <v>113</v>
      </c>
      <c r="AP105" s="1" t="s">
        <v>1088</v>
      </c>
      <c r="AQ105" s="122">
        <v>45944.746527777781</v>
      </c>
      <c r="AR105" s="1">
        <v>1557.6</v>
      </c>
      <c r="AS105" s="1">
        <v>4196.97</v>
      </c>
      <c r="AT105" s="1" t="s">
        <v>198</v>
      </c>
      <c r="AU105" s="121">
        <v>45944</v>
      </c>
      <c r="AW105" s="1">
        <v>5755</v>
      </c>
      <c r="AX105" s="1" t="s">
        <v>1089</v>
      </c>
      <c r="AY105" s="1" t="s">
        <v>1090</v>
      </c>
      <c r="AZ105" s="1" t="s">
        <v>1091</v>
      </c>
      <c r="BA105" s="1" t="s">
        <v>180</v>
      </c>
      <c r="BB105" s="1">
        <v>530013</v>
      </c>
      <c r="BE105" s="1" t="s">
        <v>934</v>
      </c>
      <c r="BF105" s="122">
        <v>45944.513194444444</v>
      </c>
    </row>
    <row r="106" spans="1:58">
      <c r="A106" s="1">
        <v>99</v>
      </c>
      <c r="B106" s="1" t="s">
        <v>179</v>
      </c>
      <c r="C106" s="1" t="s">
        <v>180</v>
      </c>
      <c r="D106" s="1" t="s">
        <v>181</v>
      </c>
      <c r="E106" s="1" t="s">
        <v>1092</v>
      </c>
      <c r="F106" s="122">
        <v>45945.432638888888</v>
      </c>
      <c r="G106" s="1" t="s">
        <v>218</v>
      </c>
      <c r="I106" s="1" t="s">
        <v>1093</v>
      </c>
      <c r="K106" s="1" t="s">
        <v>1094</v>
      </c>
      <c r="M106" s="1" t="s">
        <v>206</v>
      </c>
      <c r="N106" s="1" t="s">
        <v>1095</v>
      </c>
      <c r="O106" s="1" t="s">
        <v>1096</v>
      </c>
      <c r="P106" s="1">
        <v>2419310</v>
      </c>
      <c r="Q106" s="1" t="s">
        <v>235</v>
      </c>
      <c r="R106" s="1" t="s">
        <v>1097</v>
      </c>
      <c r="S106" s="1" t="s">
        <v>1098</v>
      </c>
      <c r="T106" s="1" t="s">
        <v>191</v>
      </c>
      <c r="U106" s="122">
        <v>44551.782638888886</v>
      </c>
      <c r="V106" s="1" t="s">
        <v>192</v>
      </c>
      <c r="W106" s="1" t="s">
        <v>21</v>
      </c>
      <c r="X106" s="1" t="s">
        <v>193</v>
      </c>
      <c r="Z106" s="1" t="s">
        <v>3</v>
      </c>
      <c r="AA106" s="1">
        <v>155992</v>
      </c>
      <c r="AB106" s="1">
        <v>3500</v>
      </c>
      <c r="AC106" s="1">
        <v>6500</v>
      </c>
      <c r="AD106" s="122">
        <v>45945.770833333336</v>
      </c>
      <c r="AE106" s="122">
        <v>45945.770833333336</v>
      </c>
      <c r="AF106" s="122">
        <v>45945.749305555553</v>
      </c>
      <c r="AG106" s="1">
        <v>2268.1999999999998</v>
      </c>
      <c r="AH106" s="1">
        <v>1480</v>
      </c>
      <c r="AI106" s="1" t="s">
        <v>195</v>
      </c>
      <c r="AJ106" s="122">
        <v>45945.744444444441</v>
      </c>
      <c r="AK106" s="122">
        <v>45945.745138888888</v>
      </c>
      <c r="AL106" s="1" t="s">
        <v>212</v>
      </c>
      <c r="AO106" s="1" t="s">
        <v>113</v>
      </c>
      <c r="AP106" s="1" t="s">
        <v>1099</v>
      </c>
      <c r="AQ106" s="122">
        <v>45945.749305555553</v>
      </c>
      <c r="AR106" s="1">
        <v>0</v>
      </c>
      <c r="AS106" s="1">
        <v>4785.0200000000004</v>
      </c>
      <c r="AT106" s="1" t="s">
        <v>198</v>
      </c>
      <c r="AW106" s="1">
        <v>4785</v>
      </c>
      <c r="AX106" s="1" t="s">
        <v>1100</v>
      </c>
      <c r="AY106" s="1" t="s">
        <v>1101</v>
      </c>
      <c r="BA106" s="1" t="s">
        <v>180</v>
      </c>
      <c r="BB106" s="1">
        <v>530045</v>
      </c>
      <c r="BE106" s="1" t="s">
        <v>1102</v>
      </c>
      <c r="BF106" s="122">
        <v>45945.428472222222</v>
      </c>
    </row>
    <row r="107" spans="1:58">
      <c r="A107" s="1">
        <v>100</v>
      </c>
      <c r="B107" s="1" t="s">
        <v>179</v>
      </c>
      <c r="C107" s="1" t="s">
        <v>180</v>
      </c>
      <c r="D107" s="1" t="s">
        <v>181</v>
      </c>
      <c r="E107" s="1" t="s">
        <v>1103</v>
      </c>
      <c r="F107" s="122">
        <v>45945.682638888888</v>
      </c>
      <c r="G107" s="1" t="s">
        <v>244</v>
      </c>
      <c r="I107" s="1" t="s">
        <v>1055</v>
      </c>
      <c r="K107" s="1" t="s">
        <v>1056</v>
      </c>
      <c r="M107" s="1" t="s">
        <v>233</v>
      </c>
      <c r="N107" s="1" t="s">
        <v>1057</v>
      </c>
      <c r="O107" s="1">
        <v>447015</v>
      </c>
      <c r="P107" s="1">
        <v>1278127</v>
      </c>
      <c r="Q107" s="1" t="s">
        <v>235</v>
      </c>
      <c r="R107" s="1" t="s">
        <v>495</v>
      </c>
      <c r="S107" s="1" t="s">
        <v>237</v>
      </c>
      <c r="U107" s="122">
        <v>44611.669444444444</v>
      </c>
      <c r="V107" s="1" t="s">
        <v>192</v>
      </c>
      <c r="W107" s="1" t="s">
        <v>21</v>
      </c>
      <c r="X107" s="1" t="s">
        <v>193</v>
      </c>
      <c r="Z107" s="1" t="s">
        <v>4</v>
      </c>
      <c r="AA107" s="1">
        <v>124537</v>
      </c>
      <c r="AB107" s="1">
        <v>1000</v>
      </c>
      <c r="AC107" s="1">
        <v>5000</v>
      </c>
      <c r="AD107" s="122">
        <v>45945.770833333336</v>
      </c>
      <c r="AE107" s="122">
        <v>45945.770833333336</v>
      </c>
      <c r="AF107" s="122">
        <v>45945.770833333336</v>
      </c>
      <c r="AG107" s="1">
        <v>5000</v>
      </c>
      <c r="AH107" s="1">
        <v>1000</v>
      </c>
      <c r="AI107" s="1" t="s">
        <v>195</v>
      </c>
      <c r="AL107" s="1" t="s">
        <v>196</v>
      </c>
      <c r="AO107" s="1" t="s">
        <v>113</v>
      </c>
      <c r="AP107" s="1" t="s">
        <v>1104</v>
      </c>
      <c r="AQ107" s="122">
        <v>45945.771527777775</v>
      </c>
      <c r="AR107" s="1">
        <v>476.2</v>
      </c>
      <c r="AS107" s="1">
        <v>4482.47</v>
      </c>
      <c r="AT107" s="1" t="s">
        <v>198</v>
      </c>
      <c r="AW107" s="1">
        <v>4959</v>
      </c>
      <c r="AX107" s="1" t="s">
        <v>1059</v>
      </c>
      <c r="AY107" s="1" t="s">
        <v>1060</v>
      </c>
      <c r="AZ107" s="1" t="s">
        <v>1061</v>
      </c>
      <c r="BA107" s="1" t="s">
        <v>180</v>
      </c>
      <c r="BB107" s="1">
        <v>531173</v>
      </c>
      <c r="BE107" s="1" t="s">
        <v>934</v>
      </c>
      <c r="BF107" s="122">
        <v>45945.680555555555</v>
      </c>
    </row>
    <row r="108" spans="1:58">
      <c r="A108" s="1">
        <v>101</v>
      </c>
      <c r="B108" s="1" t="s">
        <v>179</v>
      </c>
      <c r="C108" s="1" t="s">
        <v>180</v>
      </c>
      <c r="D108" s="1" t="s">
        <v>181</v>
      </c>
      <c r="E108" s="1" t="s">
        <v>1105</v>
      </c>
      <c r="F108" s="122">
        <v>45945.45</v>
      </c>
      <c r="G108" s="1" t="s">
        <v>244</v>
      </c>
      <c r="I108" s="1" t="s">
        <v>1106</v>
      </c>
      <c r="K108" s="1" t="s">
        <v>1107</v>
      </c>
      <c r="M108" s="1" t="s">
        <v>233</v>
      </c>
      <c r="N108" s="1" t="s">
        <v>1108</v>
      </c>
      <c r="O108" s="1">
        <v>141624</v>
      </c>
      <c r="P108" s="1">
        <v>1041344</v>
      </c>
      <c r="Q108" s="1" t="s">
        <v>235</v>
      </c>
      <c r="R108" s="1" t="s">
        <v>1109</v>
      </c>
      <c r="S108" s="1" t="s">
        <v>657</v>
      </c>
      <c r="T108" s="1" t="s">
        <v>191</v>
      </c>
      <c r="U108" s="122">
        <v>45488.786111111112</v>
      </c>
      <c r="V108" s="1" t="s">
        <v>192</v>
      </c>
      <c r="W108" s="1" t="s">
        <v>21</v>
      </c>
      <c r="X108" s="1" t="s">
        <v>193</v>
      </c>
      <c r="Z108" s="1" t="s">
        <v>4</v>
      </c>
      <c r="AA108" s="1">
        <v>16572</v>
      </c>
      <c r="AB108" s="1">
        <v>0</v>
      </c>
      <c r="AC108" s="1">
        <v>6800</v>
      </c>
      <c r="AD108" s="122">
        <v>45945.6875</v>
      </c>
      <c r="AE108" s="122">
        <v>45945.8125</v>
      </c>
      <c r="AF108" s="122">
        <v>45945.769444444442</v>
      </c>
      <c r="AG108" s="1">
        <v>6800</v>
      </c>
      <c r="AH108" s="1">
        <v>0</v>
      </c>
      <c r="AI108" s="1" t="s">
        <v>195</v>
      </c>
      <c r="AJ108" s="122">
        <v>45945.751388888886</v>
      </c>
      <c r="AK108" s="122">
        <v>45945.752083333333</v>
      </c>
      <c r="AL108" s="1" t="s">
        <v>212</v>
      </c>
      <c r="AO108" s="1" t="s">
        <v>113</v>
      </c>
      <c r="AP108" s="1" t="s">
        <v>1110</v>
      </c>
      <c r="AQ108" s="122">
        <v>45945.769444444442</v>
      </c>
      <c r="AR108" s="1">
        <v>0</v>
      </c>
      <c r="AS108" s="1">
        <v>6816.99</v>
      </c>
      <c r="AT108" s="1" t="s">
        <v>198</v>
      </c>
      <c r="AW108" s="1">
        <v>6817</v>
      </c>
      <c r="AX108" s="1" t="s">
        <v>1111</v>
      </c>
      <c r="AY108" s="1" t="s">
        <v>1112</v>
      </c>
      <c r="AZ108" s="1" t="s">
        <v>242</v>
      </c>
      <c r="BA108" s="1" t="s">
        <v>180</v>
      </c>
      <c r="BB108" s="1">
        <v>531163</v>
      </c>
      <c r="BE108" s="1" t="s">
        <v>1102</v>
      </c>
      <c r="BF108" s="122">
        <v>45945.447222222225</v>
      </c>
    </row>
    <row r="109" spans="1:58">
      <c r="A109" s="1">
        <v>102</v>
      </c>
      <c r="B109" s="1" t="s">
        <v>179</v>
      </c>
      <c r="C109" s="1" t="s">
        <v>180</v>
      </c>
      <c r="D109" s="1" t="s">
        <v>181</v>
      </c>
      <c r="E109" s="1" t="s">
        <v>1113</v>
      </c>
      <c r="F109" s="122">
        <v>45945.320138888892</v>
      </c>
      <c r="G109" s="1" t="s">
        <v>218</v>
      </c>
      <c r="I109" s="1" t="s">
        <v>1114</v>
      </c>
      <c r="K109" s="1" t="s">
        <v>1115</v>
      </c>
      <c r="M109" s="1" t="s">
        <v>206</v>
      </c>
      <c r="N109" s="1" t="s">
        <v>1116</v>
      </c>
      <c r="O109" s="1">
        <v>730319</v>
      </c>
      <c r="P109" s="1">
        <v>9066637</v>
      </c>
      <c r="Q109" s="1" t="s">
        <v>1117</v>
      </c>
      <c r="R109" s="1" t="s">
        <v>790</v>
      </c>
      <c r="S109" s="1" t="s">
        <v>484</v>
      </c>
      <c r="T109" s="1" t="s">
        <v>191</v>
      </c>
      <c r="U109" s="122">
        <v>44160.652083333334</v>
      </c>
      <c r="V109" s="1" t="s">
        <v>192</v>
      </c>
      <c r="W109" s="1" t="s">
        <v>21</v>
      </c>
      <c r="X109" s="1" t="s">
        <v>193</v>
      </c>
      <c r="Z109" s="1" t="s">
        <v>3</v>
      </c>
      <c r="AA109" s="1">
        <v>38629</v>
      </c>
      <c r="AB109" s="1">
        <v>2500</v>
      </c>
      <c r="AC109" s="1">
        <v>3000</v>
      </c>
      <c r="AD109" s="122">
        <v>45945.5625</v>
      </c>
      <c r="AE109" s="122">
        <v>45945.520833333336</v>
      </c>
      <c r="AF109" s="122">
        <v>45945.418749999997</v>
      </c>
      <c r="AG109" s="1">
        <v>1694</v>
      </c>
      <c r="AH109" s="1">
        <v>2215</v>
      </c>
      <c r="AI109" s="1" t="s">
        <v>195</v>
      </c>
      <c r="AJ109" s="122">
        <v>45945.409722222219</v>
      </c>
      <c r="AK109" s="122">
        <v>45945.409722222219</v>
      </c>
      <c r="AL109" s="1" t="s">
        <v>212</v>
      </c>
      <c r="AO109" s="1" t="s">
        <v>113</v>
      </c>
      <c r="AP109" s="1" t="s">
        <v>1118</v>
      </c>
      <c r="AQ109" s="122">
        <v>45945.419444444444</v>
      </c>
      <c r="AR109" s="1">
        <v>2001.28</v>
      </c>
      <c r="AS109" s="1">
        <v>3627.2</v>
      </c>
      <c r="AT109" s="1" t="s">
        <v>198</v>
      </c>
      <c r="AU109" s="121">
        <v>45945</v>
      </c>
      <c r="AW109" s="1">
        <v>5628</v>
      </c>
      <c r="AX109" s="1" t="s">
        <v>1119</v>
      </c>
      <c r="AY109" s="1" t="s">
        <v>1120</v>
      </c>
      <c r="AZ109" s="1" t="s">
        <v>933</v>
      </c>
      <c r="BA109" s="1" t="s">
        <v>180</v>
      </c>
      <c r="BB109" s="1">
        <v>531163</v>
      </c>
      <c r="BE109" s="1" t="s">
        <v>934</v>
      </c>
      <c r="BF109" s="122">
        <v>45945.318055555559</v>
      </c>
    </row>
    <row r="110" spans="1:58">
      <c r="A110" s="1">
        <v>103</v>
      </c>
      <c r="B110" s="1" t="s">
        <v>179</v>
      </c>
      <c r="C110" s="1" t="s">
        <v>180</v>
      </c>
      <c r="D110" s="1" t="s">
        <v>181</v>
      </c>
      <c r="E110" s="1" t="s">
        <v>1121</v>
      </c>
      <c r="F110" s="122">
        <v>45945.304861111108</v>
      </c>
      <c r="G110" s="1" t="s">
        <v>218</v>
      </c>
      <c r="I110" s="1" t="s">
        <v>1122</v>
      </c>
      <c r="K110" s="1" t="s">
        <v>1123</v>
      </c>
      <c r="M110" s="1" t="s">
        <v>233</v>
      </c>
      <c r="N110" s="1" t="s">
        <v>1124</v>
      </c>
      <c r="O110" s="1" t="s">
        <v>1125</v>
      </c>
      <c r="P110" s="1">
        <v>4886706</v>
      </c>
      <c r="Q110" s="1" t="s">
        <v>315</v>
      </c>
      <c r="R110" s="1" t="s">
        <v>988</v>
      </c>
      <c r="S110" s="1" t="s">
        <v>262</v>
      </c>
      <c r="T110" s="1" t="s">
        <v>191</v>
      </c>
      <c r="U110" s="122">
        <v>42933.677083333336</v>
      </c>
      <c r="V110" s="1" t="s">
        <v>192</v>
      </c>
      <c r="W110" s="1" t="s">
        <v>19</v>
      </c>
      <c r="X110" s="1" t="s">
        <v>193</v>
      </c>
      <c r="Z110" s="1" t="s">
        <v>3</v>
      </c>
      <c r="AA110" s="1">
        <v>90585</v>
      </c>
      <c r="AB110" s="1">
        <v>2500</v>
      </c>
      <c r="AC110" s="1">
        <v>3000</v>
      </c>
      <c r="AD110" s="122">
        <v>45945.520833333336</v>
      </c>
      <c r="AE110" s="122">
        <v>45945.520833333336</v>
      </c>
      <c r="AF110" s="122">
        <v>45945.619444444441</v>
      </c>
      <c r="AG110" s="1">
        <v>3932.8</v>
      </c>
      <c r="AH110" s="1">
        <v>2115</v>
      </c>
      <c r="AI110" s="1" t="s">
        <v>195</v>
      </c>
      <c r="AJ110" s="122">
        <v>45945.505555555559</v>
      </c>
      <c r="AK110" s="122">
        <v>45945.506249999999</v>
      </c>
      <c r="AL110" s="1" t="s">
        <v>212</v>
      </c>
      <c r="AO110" s="1" t="s">
        <v>113</v>
      </c>
      <c r="AP110" s="1" t="s">
        <v>1126</v>
      </c>
      <c r="AQ110" s="122">
        <v>45945.619444444441</v>
      </c>
      <c r="AR110" s="1">
        <v>0</v>
      </c>
      <c r="AS110" s="1">
        <v>1584.85</v>
      </c>
      <c r="AT110" s="1" t="s">
        <v>198</v>
      </c>
      <c r="AU110" s="121">
        <v>45945</v>
      </c>
      <c r="AW110" s="1">
        <v>1585</v>
      </c>
      <c r="AX110" s="1" t="s">
        <v>1127</v>
      </c>
      <c r="AY110" s="1" t="s">
        <v>1128</v>
      </c>
      <c r="AZ110" s="1" t="s">
        <v>1129</v>
      </c>
      <c r="BA110" s="1" t="s">
        <v>180</v>
      </c>
      <c r="BB110" s="1">
        <v>530015</v>
      </c>
      <c r="BC110" s="121">
        <v>22647</v>
      </c>
      <c r="BF110" s="122">
        <v>45945.301388888889</v>
      </c>
    </row>
    <row r="111" spans="1:58">
      <c r="A111" s="1">
        <v>104</v>
      </c>
      <c r="B111" s="1" t="s">
        <v>179</v>
      </c>
      <c r="C111" s="1" t="s">
        <v>180</v>
      </c>
      <c r="D111" s="1" t="s">
        <v>181</v>
      </c>
      <c r="E111" s="1" t="s">
        <v>1130</v>
      </c>
      <c r="F111" s="122">
        <v>45945.451388888891</v>
      </c>
      <c r="G111" s="1" t="s">
        <v>218</v>
      </c>
      <c r="I111" s="1" t="s">
        <v>1131</v>
      </c>
      <c r="K111" s="1" t="s">
        <v>1132</v>
      </c>
      <c r="M111" s="1" t="s">
        <v>1133</v>
      </c>
      <c r="N111" s="1" t="s">
        <v>1134</v>
      </c>
      <c r="O111" s="1">
        <v>149125</v>
      </c>
      <c r="P111" s="1">
        <v>4142787</v>
      </c>
      <c r="Q111" s="1" t="s">
        <v>235</v>
      </c>
      <c r="R111" s="1" t="s">
        <v>1135</v>
      </c>
      <c r="S111" s="1" t="s">
        <v>250</v>
      </c>
      <c r="T111" s="1" t="s">
        <v>191</v>
      </c>
      <c r="U111" s="122">
        <v>42458.597916666666</v>
      </c>
      <c r="V111" s="1" t="s">
        <v>192</v>
      </c>
      <c r="W111" s="1" t="s">
        <v>19</v>
      </c>
      <c r="X111" s="1" t="s">
        <v>193</v>
      </c>
      <c r="Z111" s="1" t="s">
        <v>3</v>
      </c>
      <c r="AA111" s="1">
        <v>126539</v>
      </c>
      <c r="AB111" s="1">
        <v>2500</v>
      </c>
      <c r="AC111" s="1">
        <v>3500</v>
      </c>
      <c r="AD111" s="122">
        <v>45945.8125</v>
      </c>
      <c r="AE111" s="122">
        <v>45945.8125</v>
      </c>
      <c r="AF111" s="122">
        <v>45945.754166666666</v>
      </c>
      <c r="AG111" s="1">
        <v>4208.2</v>
      </c>
      <c r="AH111" s="1">
        <v>2190</v>
      </c>
      <c r="AI111" s="1" t="s">
        <v>195</v>
      </c>
      <c r="AJ111" s="122">
        <v>45945.508333333331</v>
      </c>
      <c r="AK111" s="122">
        <v>45945.509027777778</v>
      </c>
      <c r="AL111" s="1" t="s">
        <v>212</v>
      </c>
      <c r="AO111" s="1" t="s">
        <v>113</v>
      </c>
      <c r="AP111" s="1" t="s">
        <v>1136</v>
      </c>
      <c r="AQ111" s="122">
        <v>45945.754166666666</v>
      </c>
      <c r="AR111" s="1">
        <v>3147.66</v>
      </c>
      <c r="AS111" s="1">
        <v>5069.75</v>
      </c>
      <c r="AT111" s="1" t="s">
        <v>198</v>
      </c>
      <c r="AU111" s="121">
        <v>45945</v>
      </c>
      <c r="AW111" s="1">
        <v>8217</v>
      </c>
      <c r="AX111" s="1" t="s">
        <v>1137</v>
      </c>
      <c r="AY111" s="1" t="s">
        <v>1138</v>
      </c>
      <c r="AZ111" s="1" t="s">
        <v>1139</v>
      </c>
      <c r="BA111" s="1" t="s">
        <v>180</v>
      </c>
      <c r="BB111" s="1">
        <v>531040</v>
      </c>
      <c r="BF111" s="122">
        <v>45945.439583333333</v>
      </c>
    </row>
    <row r="112" spans="1:58">
      <c r="A112" s="1">
        <v>105</v>
      </c>
      <c r="B112" s="1" t="s">
        <v>179</v>
      </c>
      <c r="C112" s="1" t="s">
        <v>180</v>
      </c>
      <c r="D112" s="1" t="s">
        <v>181</v>
      </c>
      <c r="E112" s="1" t="s">
        <v>1140</v>
      </c>
      <c r="F112" s="122">
        <v>45946.512499999997</v>
      </c>
      <c r="G112" s="1" t="s">
        <v>651</v>
      </c>
      <c r="I112" s="1" t="s">
        <v>1141</v>
      </c>
      <c r="K112" s="1" t="s">
        <v>1142</v>
      </c>
      <c r="N112" s="1" t="s">
        <v>1143</v>
      </c>
      <c r="O112" s="1" t="s">
        <v>1144</v>
      </c>
      <c r="P112" s="1">
        <v>9867136</v>
      </c>
      <c r="Q112" s="1" t="s">
        <v>235</v>
      </c>
      <c r="R112" s="1" t="s">
        <v>876</v>
      </c>
      <c r="S112" s="1" t="s">
        <v>1006</v>
      </c>
      <c r="U112" s="122">
        <v>45923.482638888891</v>
      </c>
      <c r="V112" s="1" t="s">
        <v>192</v>
      </c>
      <c r="W112" s="1" t="s">
        <v>21</v>
      </c>
      <c r="X112" s="1" t="s">
        <v>193</v>
      </c>
      <c r="Z112" s="1" t="s">
        <v>658</v>
      </c>
      <c r="AA112" s="1">
        <v>952</v>
      </c>
      <c r="AB112" s="1">
        <v>0</v>
      </c>
      <c r="AC112" s="1">
        <v>80</v>
      </c>
      <c r="AD112" s="122">
        <v>45946.645833333336</v>
      </c>
      <c r="AE112" s="122">
        <v>45946.645833333336</v>
      </c>
      <c r="AF112" s="122">
        <v>45946.640277777777</v>
      </c>
      <c r="AG112" s="1">
        <v>80</v>
      </c>
      <c r="AH112" s="1">
        <v>0</v>
      </c>
      <c r="AI112" s="1" t="s">
        <v>195</v>
      </c>
      <c r="AJ112" s="122">
        <v>45946.542361111111</v>
      </c>
      <c r="AK112" s="122">
        <v>45946.543749999997</v>
      </c>
      <c r="AL112" s="1" t="s">
        <v>212</v>
      </c>
      <c r="AO112" s="1" t="s">
        <v>113</v>
      </c>
      <c r="AP112" s="1" t="s">
        <v>1145</v>
      </c>
      <c r="AQ112" s="122">
        <v>45946.640972222223</v>
      </c>
      <c r="AR112" s="1">
        <v>0</v>
      </c>
      <c r="AS112" s="1">
        <v>53.96</v>
      </c>
      <c r="AT112" s="1" t="s">
        <v>198</v>
      </c>
      <c r="AW112" s="1">
        <v>54</v>
      </c>
      <c r="AX112" s="1" t="s">
        <v>1146</v>
      </c>
      <c r="AY112" s="1" t="s">
        <v>1147</v>
      </c>
      <c r="AZ112" s="1" t="s">
        <v>1148</v>
      </c>
      <c r="BA112" s="1" t="s">
        <v>180</v>
      </c>
      <c r="BB112" s="1">
        <v>530013</v>
      </c>
      <c r="BE112" s="1" t="s">
        <v>1102</v>
      </c>
      <c r="BF112" s="122">
        <v>45946.510416666664</v>
      </c>
    </row>
    <row r="113" spans="1:58">
      <c r="A113" s="1">
        <v>106</v>
      </c>
      <c r="B113" s="1" t="s">
        <v>179</v>
      </c>
      <c r="C113" s="1" t="s">
        <v>180</v>
      </c>
      <c r="D113" s="1" t="s">
        <v>181</v>
      </c>
      <c r="E113" s="1" t="s">
        <v>1149</v>
      </c>
      <c r="F113" s="122">
        <v>45946.451388888891</v>
      </c>
      <c r="G113" s="1" t="s">
        <v>218</v>
      </c>
      <c r="I113" s="1" t="s">
        <v>1150</v>
      </c>
      <c r="K113" s="1" t="s">
        <v>1151</v>
      </c>
      <c r="M113" s="1" t="s">
        <v>206</v>
      </c>
      <c r="N113" s="1" t="s">
        <v>1152</v>
      </c>
      <c r="O113" s="1">
        <v>365304</v>
      </c>
      <c r="P113" s="1">
        <v>7196230</v>
      </c>
      <c r="Q113" s="1" t="s">
        <v>248</v>
      </c>
      <c r="R113" s="1" t="s">
        <v>483</v>
      </c>
      <c r="S113" s="1" t="s">
        <v>484</v>
      </c>
      <c r="T113" s="1" t="s">
        <v>191</v>
      </c>
      <c r="U113" s="122">
        <v>44957.834722222222</v>
      </c>
      <c r="V113" s="1" t="s">
        <v>192</v>
      </c>
      <c r="W113" s="1" t="s">
        <v>19</v>
      </c>
      <c r="X113" s="1" t="s">
        <v>226</v>
      </c>
      <c r="Z113" s="1" t="s">
        <v>3</v>
      </c>
      <c r="AA113" s="1">
        <v>123981</v>
      </c>
      <c r="AB113" s="1">
        <v>3000</v>
      </c>
      <c r="AC113" s="1">
        <v>4500</v>
      </c>
      <c r="AD113" s="122">
        <v>45946.770833333336</v>
      </c>
      <c r="AE113" s="122">
        <v>45946.770833333336</v>
      </c>
      <c r="AF113" s="122">
        <v>45946.758333333331</v>
      </c>
      <c r="AG113" s="1">
        <v>3016.4</v>
      </c>
      <c r="AH113" s="1">
        <v>2190</v>
      </c>
      <c r="AI113" s="1" t="s">
        <v>195</v>
      </c>
      <c r="AJ113" s="122">
        <v>45946.655555555553</v>
      </c>
      <c r="AK113" s="122">
        <v>45946.65625</v>
      </c>
      <c r="AL113" s="1" t="s">
        <v>212</v>
      </c>
      <c r="AO113" s="1" t="s">
        <v>113</v>
      </c>
      <c r="AP113" s="1" t="s">
        <v>1153</v>
      </c>
      <c r="AQ113" s="122">
        <v>45946.759027777778</v>
      </c>
      <c r="AR113" s="1">
        <v>4819.12</v>
      </c>
      <c r="AS113" s="1">
        <v>4608.29</v>
      </c>
      <c r="AT113" s="1" t="s">
        <v>198</v>
      </c>
      <c r="AU113" s="121">
        <v>45946</v>
      </c>
      <c r="AW113" s="1">
        <v>9427</v>
      </c>
      <c r="AX113" s="1" t="s">
        <v>1154</v>
      </c>
      <c r="AY113" s="1" t="s">
        <v>1155</v>
      </c>
      <c r="AZ113" s="1" t="s">
        <v>1156</v>
      </c>
      <c r="BA113" s="1" t="s">
        <v>180</v>
      </c>
      <c r="BB113" s="1">
        <v>560066</v>
      </c>
      <c r="BC113" s="121">
        <v>30175</v>
      </c>
      <c r="BD113" s="121">
        <v>39565</v>
      </c>
      <c r="BF113" s="122">
        <v>45946.449305555558</v>
      </c>
    </row>
    <row r="114" spans="1:58">
      <c r="A114" s="1">
        <v>107</v>
      </c>
      <c r="B114" s="1" t="s">
        <v>179</v>
      </c>
      <c r="C114" s="1" t="s">
        <v>180</v>
      </c>
      <c r="D114" s="1" t="s">
        <v>181</v>
      </c>
      <c r="E114" s="1" t="s">
        <v>1157</v>
      </c>
      <c r="F114" s="122">
        <v>45946.679861111108</v>
      </c>
      <c r="G114" s="1" t="s">
        <v>533</v>
      </c>
      <c r="I114" s="1" t="s">
        <v>1158</v>
      </c>
      <c r="K114" s="1" t="s">
        <v>1159</v>
      </c>
      <c r="M114" s="1" t="s">
        <v>206</v>
      </c>
      <c r="N114" s="1" t="s">
        <v>1160</v>
      </c>
      <c r="O114" s="1">
        <v>143382</v>
      </c>
      <c r="P114" s="1">
        <v>1043287</v>
      </c>
      <c r="Q114" s="1" t="s">
        <v>248</v>
      </c>
      <c r="R114" s="1" t="s">
        <v>1161</v>
      </c>
      <c r="S114" s="1" t="s">
        <v>657</v>
      </c>
      <c r="T114" s="1" t="s">
        <v>191</v>
      </c>
      <c r="U114" s="122">
        <v>45588.684027777781</v>
      </c>
      <c r="V114" s="1" t="s">
        <v>558</v>
      </c>
      <c r="W114" s="1" t="s">
        <v>20</v>
      </c>
      <c r="X114" s="1" t="s">
        <v>559</v>
      </c>
      <c r="Z114" s="1" t="s">
        <v>538</v>
      </c>
      <c r="AA114" s="1">
        <v>16197</v>
      </c>
      <c r="AB114" s="1">
        <v>0</v>
      </c>
      <c r="AC114" s="1">
        <v>0</v>
      </c>
      <c r="AD114" s="122">
        <v>45947.762499999997</v>
      </c>
      <c r="AE114" s="122">
        <v>45947.762499999997</v>
      </c>
      <c r="AF114" s="122">
        <v>45946.734722222223</v>
      </c>
      <c r="AG114" s="1">
        <v>0</v>
      </c>
      <c r="AH114" s="1">
        <v>0</v>
      </c>
      <c r="AI114" s="1" t="s">
        <v>195</v>
      </c>
      <c r="AJ114" s="122">
        <v>45946.684027777781</v>
      </c>
      <c r="AL114" s="1" t="s">
        <v>196</v>
      </c>
      <c r="AO114" s="1" t="s">
        <v>113</v>
      </c>
      <c r="AP114" s="1" t="s">
        <v>1162</v>
      </c>
      <c r="AQ114" s="122">
        <v>45946.734722222223</v>
      </c>
      <c r="AR114" s="1">
        <v>755.2</v>
      </c>
      <c r="AS114" s="1">
        <v>0</v>
      </c>
      <c r="AT114" s="1" t="s">
        <v>198</v>
      </c>
      <c r="AW114" s="1">
        <v>755</v>
      </c>
      <c r="AX114" s="1" t="s">
        <v>1163</v>
      </c>
      <c r="AY114" s="1" t="s">
        <v>1164</v>
      </c>
      <c r="AZ114" s="1" t="s">
        <v>899</v>
      </c>
      <c r="BA114" s="1" t="s">
        <v>180</v>
      </c>
      <c r="BB114" s="1">
        <v>535002</v>
      </c>
      <c r="BF114" s="122">
        <v>45946.677777777775</v>
      </c>
    </row>
    <row r="115" spans="1:58">
      <c r="A115" s="1">
        <v>108</v>
      </c>
      <c r="B115" s="1" t="s">
        <v>179</v>
      </c>
      <c r="C115" s="1" t="s">
        <v>180</v>
      </c>
      <c r="D115" s="1" t="s">
        <v>181</v>
      </c>
      <c r="E115" s="1" t="s">
        <v>1165</v>
      </c>
      <c r="F115" s="122">
        <v>45946.510416666664</v>
      </c>
      <c r="G115" s="1" t="s">
        <v>872</v>
      </c>
      <c r="I115" s="1" t="s">
        <v>1166</v>
      </c>
      <c r="K115" s="1" t="s">
        <v>1167</v>
      </c>
      <c r="M115" s="1" t="s">
        <v>206</v>
      </c>
      <c r="N115" s="1" t="s">
        <v>1168</v>
      </c>
      <c r="O115" s="1" t="s">
        <v>1169</v>
      </c>
      <c r="P115" s="1">
        <v>1094545</v>
      </c>
      <c r="Q115" s="1" t="s">
        <v>208</v>
      </c>
      <c r="R115" s="1" t="s">
        <v>1170</v>
      </c>
      <c r="S115" s="1" t="s">
        <v>1171</v>
      </c>
      <c r="T115" s="1" t="s">
        <v>191</v>
      </c>
      <c r="U115" s="122">
        <v>44704.693055555559</v>
      </c>
      <c r="V115" s="1" t="s">
        <v>192</v>
      </c>
      <c r="W115" s="1" t="s">
        <v>19</v>
      </c>
      <c r="X115" s="1" t="s">
        <v>193</v>
      </c>
      <c r="Z115" s="1" t="s">
        <v>877</v>
      </c>
      <c r="AA115" s="1">
        <v>4999</v>
      </c>
      <c r="AB115" s="1">
        <v>150</v>
      </c>
      <c r="AC115" s="1">
        <v>0</v>
      </c>
      <c r="AD115" s="122">
        <v>45946.718055555553</v>
      </c>
      <c r="AE115" s="122">
        <v>45946.718055555553</v>
      </c>
      <c r="AF115" s="122">
        <v>45946.51666666667</v>
      </c>
      <c r="AG115" s="1">
        <v>0</v>
      </c>
      <c r="AH115" s="1">
        <v>150</v>
      </c>
      <c r="AI115" s="1" t="s">
        <v>195</v>
      </c>
      <c r="AL115" s="1" t="s">
        <v>196</v>
      </c>
      <c r="AO115" s="1" t="s">
        <v>113</v>
      </c>
      <c r="AP115" s="1" t="s">
        <v>1172</v>
      </c>
      <c r="AQ115" s="122">
        <v>45946.520833333336</v>
      </c>
      <c r="AR115" s="1">
        <v>59</v>
      </c>
      <c r="AS115" s="1">
        <v>98.99</v>
      </c>
      <c r="AT115" s="1" t="s">
        <v>198</v>
      </c>
      <c r="AW115" s="1">
        <v>158</v>
      </c>
      <c r="AX115" s="1" t="s">
        <v>1173</v>
      </c>
      <c r="AY115" s="1" t="s">
        <v>1174</v>
      </c>
      <c r="AZ115" s="1" t="s">
        <v>1175</v>
      </c>
      <c r="BA115" s="1" t="s">
        <v>180</v>
      </c>
      <c r="BB115" s="1">
        <v>530045</v>
      </c>
      <c r="BF115" s="122">
        <v>45946.506944444445</v>
      </c>
    </row>
    <row r="116" spans="1:58">
      <c r="A116" s="1">
        <v>109</v>
      </c>
      <c r="B116" s="1" t="s">
        <v>179</v>
      </c>
      <c r="C116" s="1" t="s">
        <v>180</v>
      </c>
      <c r="D116" s="1" t="s">
        <v>181</v>
      </c>
      <c r="E116" s="1" t="s">
        <v>1176</v>
      </c>
      <c r="F116" s="122">
        <v>45934.457638888889</v>
      </c>
      <c r="G116" s="1" t="s">
        <v>533</v>
      </c>
      <c r="I116" s="1" t="s">
        <v>511</v>
      </c>
      <c r="K116" s="1" t="s">
        <v>512</v>
      </c>
      <c r="M116" s="1" t="s">
        <v>325</v>
      </c>
      <c r="N116" s="1" t="s">
        <v>513</v>
      </c>
      <c r="O116" s="1">
        <v>719415</v>
      </c>
      <c r="P116" s="1">
        <v>2331123</v>
      </c>
      <c r="Q116" s="1" t="s">
        <v>315</v>
      </c>
      <c r="R116" s="1" t="s">
        <v>514</v>
      </c>
      <c r="S116" s="1" t="s">
        <v>348</v>
      </c>
      <c r="T116" s="1" t="s">
        <v>191</v>
      </c>
      <c r="U116" s="122">
        <v>44089.761805555558</v>
      </c>
      <c r="V116" s="1" t="s">
        <v>558</v>
      </c>
      <c r="W116" s="1" t="s">
        <v>20</v>
      </c>
      <c r="X116" s="1" t="s">
        <v>559</v>
      </c>
      <c r="Z116" s="1" t="s">
        <v>538</v>
      </c>
      <c r="AA116" s="1">
        <v>63468</v>
      </c>
      <c r="AB116" s="1">
        <v>0</v>
      </c>
      <c r="AC116" s="1">
        <v>0</v>
      </c>
      <c r="AD116" s="122">
        <v>45939.790972222225</v>
      </c>
      <c r="AE116" s="122">
        <v>45939.790972222225</v>
      </c>
      <c r="AF116" s="122">
        <v>45946.7</v>
      </c>
      <c r="AG116" s="1">
        <v>0</v>
      </c>
      <c r="AH116" s="1">
        <v>0</v>
      </c>
      <c r="AI116" s="1" t="s">
        <v>195</v>
      </c>
      <c r="AJ116" s="122">
        <v>45934.459722222222</v>
      </c>
      <c r="AL116" s="1" t="s">
        <v>196</v>
      </c>
      <c r="AO116" s="1" t="s">
        <v>113</v>
      </c>
      <c r="AP116" s="1" t="s">
        <v>1177</v>
      </c>
      <c r="AQ116" s="122">
        <v>45946.7</v>
      </c>
      <c r="AR116" s="1">
        <v>7920.75</v>
      </c>
      <c r="AS116" s="1">
        <v>7425.07</v>
      </c>
      <c r="AT116" s="1" t="s">
        <v>198</v>
      </c>
      <c r="AW116" s="1">
        <v>15346</v>
      </c>
      <c r="AX116" s="1" t="s">
        <v>516</v>
      </c>
      <c r="AY116" s="1" t="s">
        <v>517</v>
      </c>
      <c r="AZ116" s="1" t="s">
        <v>518</v>
      </c>
      <c r="BA116" s="1" t="s">
        <v>180</v>
      </c>
      <c r="BB116" s="1">
        <v>530017</v>
      </c>
      <c r="BE116" s="1" t="s">
        <v>519</v>
      </c>
      <c r="BF116" s="122">
        <v>45934.454861111109</v>
      </c>
    </row>
    <row r="117" spans="1:58">
      <c r="A117" s="1">
        <v>110</v>
      </c>
      <c r="B117" s="1" t="s">
        <v>179</v>
      </c>
      <c r="C117" s="1" t="s">
        <v>180</v>
      </c>
      <c r="D117" s="1" t="s">
        <v>181</v>
      </c>
      <c r="E117" s="1" t="s">
        <v>1176</v>
      </c>
      <c r="F117" s="122">
        <v>45934.457638888889</v>
      </c>
      <c r="G117" s="1" t="s">
        <v>533</v>
      </c>
      <c r="I117" s="1" t="s">
        <v>511</v>
      </c>
      <c r="K117" s="1" t="s">
        <v>512</v>
      </c>
      <c r="M117" s="1" t="s">
        <v>325</v>
      </c>
      <c r="N117" s="1" t="s">
        <v>513</v>
      </c>
      <c r="O117" s="1">
        <v>719415</v>
      </c>
      <c r="P117" s="1">
        <v>2331123</v>
      </c>
      <c r="Q117" s="1" t="s">
        <v>315</v>
      </c>
      <c r="R117" s="1" t="s">
        <v>514</v>
      </c>
      <c r="S117" s="1" t="s">
        <v>348</v>
      </c>
      <c r="T117" s="1" t="s">
        <v>191</v>
      </c>
      <c r="U117" s="122">
        <v>44089.761805555558</v>
      </c>
      <c r="V117" s="1" t="s">
        <v>558</v>
      </c>
      <c r="W117" s="1" t="s">
        <v>20</v>
      </c>
      <c r="X117" s="1" t="s">
        <v>559</v>
      </c>
      <c r="Z117" s="1" t="s">
        <v>538</v>
      </c>
      <c r="AA117" s="1">
        <v>63468</v>
      </c>
      <c r="AB117" s="1">
        <v>0</v>
      </c>
      <c r="AC117" s="1">
        <v>0</v>
      </c>
      <c r="AD117" s="122">
        <v>45939.790972222225</v>
      </c>
      <c r="AE117" s="122">
        <v>45939.790972222225</v>
      </c>
      <c r="AF117" s="122">
        <v>45946.7</v>
      </c>
      <c r="AG117" s="1">
        <v>0</v>
      </c>
      <c r="AH117" s="1">
        <v>0</v>
      </c>
      <c r="AI117" s="1" t="s">
        <v>195</v>
      </c>
      <c r="AJ117" s="122">
        <v>45934.459722222222</v>
      </c>
      <c r="AL117" s="1" t="s">
        <v>196</v>
      </c>
      <c r="AO117" s="1" t="s">
        <v>113</v>
      </c>
      <c r="AP117" s="1" t="s">
        <v>1178</v>
      </c>
      <c r="AQ117" s="122">
        <v>45946.7</v>
      </c>
      <c r="AR117" s="1">
        <v>0</v>
      </c>
      <c r="AS117" s="1">
        <v>0</v>
      </c>
      <c r="AT117" s="1" t="s">
        <v>198</v>
      </c>
      <c r="AW117" s="1">
        <v>0</v>
      </c>
      <c r="AX117" s="1" t="s">
        <v>516</v>
      </c>
      <c r="AY117" s="1" t="s">
        <v>517</v>
      </c>
      <c r="AZ117" s="1" t="s">
        <v>518</v>
      </c>
      <c r="BA117" s="1" t="s">
        <v>180</v>
      </c>
      <c r="BB117" s="1">
        <v>530017</v>
      </c>
      <c r="BE117" s="1" t="s">
        <v>519</v>
      </c>
      <c r="BF117" s="122">
        <v>45934.454861111109</v>
      </c>
    </row>
    <row r="118" spans="1:58">
      <c r="A118" s="1">
        <v>111</v>
      </c>
      <c r="B118" s="1" t="s">
        <v>179</v>
      </c>
      <c r="C118" s="1" t="s">
        <v>180</v>
      </c>
      <c r="D118" s="1" t="s">
        <v>181</v>
      </c>
      <c r="E118" s="1" t="s">
        <v>1179</v>
      </c>
      <c r="F118" s="122">
        <v>45940.629861111112</v>
      </c>
      <c r="G118" s="1" t="s">
        <v>533</v>
      </c>
      <c r="I118" s="1" t="s">
        <v>1180</v>
      </c>
      <c r="K118" s="1" t="s">
        <v>1181</v>
      </c>
      <c r="M118" s="1" t="s">
        <v>206</v>
      </c>
      <c r="N118" s="1" t="s">
        <v>1182</v>
      </c>
      <c r="O118" s="1">
        <v>303578</v>
      </c>
      <c r="P118" s="1">
        <v>4131916</v>
      </c>
      <c r="Q118" s="1" t="s">
        <v>248</v>
      </c>
      <c r="R118" s="1" t="s">
        <v>667</v>
      </c>
      <c r="S118" s="1" t="s">
        <v>484</v>
      </c>
      <c r="T118" s="1" t="s">
        <v>191</v>
      </c>
      <c r="U118" s="122">
        <v>44818.790972222225</v>
      </c>
      <c r="V118" s="1" t="s">
        <v>558</v>
      </c>
      <c r="W118" s="1" t="s">
        <v>20</v>
      </c>
      <c r="X118" s="1" t="s">
        <v>559</v>
      </c>
      <c r="Z118" s="1" t="s">
        <v>538</v>
      </c>
      <c r="AA118" s="1">
        <v>32580</v>
      </c>
      <c r="AB118" s="1">
        <v>0</v>
      </c>
      <c r="AC118" s="1">
        <v>0</v>
      </c>
      <c r="AD118" s="122">
        <v>45945.788194444445</v>
      </c>
      <c r="AE118" s="122">
        <v>45945.788194444445</v>
      </c>
      <c r="AF118" s="122">
        <v>45946.643055555556</v>
      </c>
      <c r="AG118" s="1">
        <v>0</v>
      </c>
      <c r="AH118" s="1">
        <v>0</v>
      </c>
      <c r="AI118" s="1" t="s">
        <v>195</v>
      </c>
      <c r="AJ118" s="122">
        <v>45940.651388888888</v>
      </c>
      <c r="AL118" s="1" t="s">
        <v>196</v>
      </c>
      <c r="AO118" s="1" t="s">
        <v>113</v>
      </c>
      <c r="AP118" s="1" t="s">
        <v>1183</v>
      </c>
      <c r="AQ118" s="122">
        <v>45946.643055555556</v>
      </c>
      <c r="AR118" s="1">
        <v>11847.2</v>
      </c>
      <c r="AS118" s="1">
        <v>0</v>
      </c>
      <c r="AT118" s="1" t="s">
        <v>198</v>
      </c>
      <c r="AW118" s="1">
        <v>11847</v>
      </c>
      <c r="AX118" s="1" t="s">
        <v>1184</v>
      </c>
      <c r="AY118" s="1" t="s">
        <v>1185</v>
      </c>
      <c r="AZ118" s="1" t="s">
        <v>1186</v>
      </c>
      <c r="BA118" s="1" t="s">
        <v>180</v>
      </c>
      <c r="BB118" s="1">
        <v>530014</v>
      </c>
      <c r="BF118" s="122">
        <v>45940.618750000001</v>
      </c>
    </row>
    <row r="119" spans="1:58">
      <c r="A119" s="1">
        <v>112</v>
      </c>
      <c r="B119" s="1" t="s">
        <v>179</v>
      </c>
      <c r="C119" s="1" t="s">
        <v>180</v>
      </c>
      <c r="D119" s="1" t="s">
        <v>181</v>
      </c>
      <c r="E119" s="1" t="s">
        <v>1187</v>
      </c>
      <c r="F119" s="122">
        <v>45946.379861111112</v>
      </c>
      <c r="G119" s="1" t="s">
        <v>244</v>
      </c>
      <c r="I119" s="1" t="s">
        <v>1188</v>
      </c>
      <c r="K119" s="1" t="s">
        <v>1189</v>
      </c>
      <c r="M119" s="1" t="s">
        <v>206</v>
      </c>
      <c r="N119" s="1" t="s">
        <v>1190</v>
      </c>
      <c r="O119" s="1">
        <v>235748</v>
      </c>
      <c r="P119" s="1">
        <v>3081420</v>
      </c>
      <c r="Q119" s="1" t="s">
        <v>1191</v>
      </c>
      <c r="R119" s="1" t="s">
        <v>1192</v>
      </c>
      <c r="S119" s="1" t="s">
        <v>850</v>
      </c>
      <c r="T119" s="1" t="s">
        <v>191</v>
      </c>
      <c r="U119" s="122">
        <v>42877.844444444447</v>
      </c>
      <c r="V119" s="1" t="s">
        <v>192</v>
      </c>
      <c r="W119" s="1" t="s">
        <v>21</v>
      </c>
      <c r="X119" s="1" t="s">
        <v>193</v>
      </c>
      <c r="Z119" s="1" t="s">
        <v>4</v>
      </c>
      <c r="AA119" s="1">
        <v>68492</v>
      </c>
      <c r="AB119" s="1">
        <v>5000</v>
      </c>
      <c r="AC119" s="1">
        <v>15000</v>
      </c>
      <c r="AD119" s="122">
        <v>45946.6875</v>
      </c>
      <c r="AE119" s="122">
        <v>45946.6875</v>
      </c>
      <c r="AF119" s="122">
        <v>45946.677083333336</v>
      </c>
      <c r="AG119" s="1">
        <v>15000</v>
      </c>
      <c r="AH119" s="1">
        <v>0</v>
      </c>
      <c r="AI119" s="1" t="s">
        <v>195</v>
      </c>
      <c r="AJ119" s="122">
        <v>45946.544444444444</v>
      </c>
      <c r="AK119" s="122">
        <v>45946.545138888891</v>
      </c>
      <c r="AL119" s="1" t="s">
        <v>212</v>
      </c>
      <c r="AO119" s="1" t="s">
        <v>113</v>
      </c>
      <c r="AP119" s="1" t="s">
        <v>1193</v>
      </c>
      <c r="AQ119" s="122">
        <v>45946.677777777775</v>
      </c>
      <c r="AR119" s="1">
        <v>6506.94</v>
      </c>
      <c r="AS119" s="1">
        <v>16305.14</v>
      </c>
      <c r="AT119" s="1" t="s">
        <v>198</v>
      </c>
      <c r="AW119" s="1">
        <v>22812</v>
      </c>
      <c r="AX119" s="1" t="s">
        <v>1194</v>
      </c>
      <c r="AY119" s="1" t="s">
        <v>1195</v>
      </c>
      <c r="AZ119" s="1" t="s">
        <v>1196</v>
      </c>
      <c r="BA119" s="1" t="s">
        <v>180</v>
      </c>
      <c r="BB119" s="1">
        <v>530009</v>
      </c>
      <c r="BE119" s="1" t="s">
        <v>1102</v>
      </c>
      <c r="BF119" s="122">
        <v>45946.37777777778</v>
      </c>
    </row>
    <row r="120" spans="1:58">
      <c r="A120" s="1">
        <v>113</v>
      </c>
      <c r="B120" s="1" t="s">
        <v>179</v>
      </c>
      <c r="C120" s="1" t="s">
        <v>180</v>
      </c>
      <c r="D120" s="1" t="s">
        <v>181</v>
      </c>
      <c r="E120" s="1" t="s">
        <v>1197</v>
      </c>
      <c r="F120" s="122">
        <v>45944.523611111108</v>
      </c>
      <c r="G120" s="1" t="s">
        <v>533</v>
      </c>
      <c r="I120" s="1" t="s">
        <v>1198</v>
      </c>
      <c r="K120" s="1" t="s">
        <v>1199</v>
      </c>
      <c r="M120" s="1" t="s">
        <v>206</v>
      </c>
      <c r="N120" s="1" t="s">
        <v>1200</v>
      </c>
      <c r="O120" s="1">
        <v>226224</v>
      </c>
      <c r="P120" s="1">
        <v>9220337</v>
      </c>
      <c r="Q120" s="1" t="s">
        <v>248</v>
      </c>
      <c r="R120" s="1" t="s">
        <v>356</v>
      </c>
      <c r="S120" s="1" t="s">
        <v>357</v>
      </c>
      <c r="T120" s="1" t="s">
        <v>191</v>
      </c>
      <c r="U120" s="122">
        <v>45084.732638888891</v>
      </c>
      <c r="V120" s="1" t="s">
        <v>558</v>
      </c>
      <c r="W120" s="1" t="s">
        <v>20</v>
      </c>
      <c r="X120" s="1" t="s">
        <v>559</v>
      </c>
      <c r="Z120" s="1" t="s">
        <v>538</v>
      </c>
      <c r="AA120" s="1">
        <v>29655</v>
      </c>
      <c r="AB120" s="1">
        <v>0</v>
      </c>
      <c r="AC120" s="1">
        <v>0</v>
      </c>
      <c r="AD120" s="122">
        <v>45950.772916666669</v>
      </c>
      <c r="AE120" s="122">
        <v>45950.772916666669</v>
      </c>
      <c r="AF120" s="122">
        <v>45946.638888888891</v>
      </c>
      <c r="AG120" s="1">
        <v>0</v>
      </c>
      <c r="AH120" s="1">
        <v>0</v>
      </c>
      <c r="AI120" s="1" t="s">
        <v>195</v>
      </c>
      <c r="AJ120" s="122">
        <v>45944.526388888888</v>
      </c>
      <c r="AL120" s="1" t="s">
        <v>196</v>
      </c>
      <c r="AO120" s="1" t="s">
        <v>113</v>
      </c>
      <c r="AP120" s="1" t="s">
        <v>1201</v>
      </c>
      <c r="AQ120" s="122">
        <v>45946.63958333333</v>
      </c>
      <c r="AR120" s="1">
        <v>17879.36</v>
      </c>
      <c r="AS120" s="1">
        <v>2048.54</v>
      </c>
      <c r="AT120" s="1" t="s">
        <v>198</v>
      </c>
      <c r="AW120" s="1">
        <v>19928</v>
      </c>
      <c r="AX120" s="1" t="s">
        <v>1202</v>
      </c>
      <c r="AY120" s="1" t="s">
        <v>1203</v>
      </c>
      <c r="BA120" s="1" t="s">
        <v>180</v>
      </c>
      <c r="BB120" s="1">
        <v>530017</v>
      </c>
      <c r="BF120" s="122">
        <v>45944.520833333336</v>
      </c>
    </row>
    <row r="121" spans="1:58">
      <c r="A121" s="1">
        <v>114</v>
      </c>
      <c r="B121" s="1" t="s">
        <v>179</v>
      </c>
      <c r="C121" s="1" t="s">
        <v>180</v>
      </c>
      <c r="D121" s="1" t="s">
        <v>181</v>
      </c>
      <c r="E121" s="1" t="s">
        <v>1197</v>
      </c>
      <c r="F121" s="122">
        <v>45944.523611111108</v>
      </c>
      <c r="G121" s="1" t="s">
        <v>533</v>
      </c>
      <c r="I121" s="1" t="s">
        <v>1198</v>
      </c>
      <c r="K121" s="1" t="s">
        <v>1199</v>
      </c>
      <c r="M121" s="1" t="s">
        <v>206</v>
      </c>
      <c r="N121" s="1" t="s">
        <v>1200</v>
      </c>
      <c r="O121" s="1">
        <v>226224</v>
      </c>
      <c r="P121" s="1">
        <v>9220337</v>
      </c>
      <c r="Q121" s="1" t="s">
        <v>248</v>
      </c>
      <c r="R121" s="1" t="s">
        <v>356</v>
      </c>
      <c r="S121" s="1" t="s">
        <v>357</v>
      </c>
      <c r="T121" s="1" t="s">
        <v>191</v>
      </c>
      <c r="U121" s="122">
        <v>45084.732638888891</v>
      </c>
      <c r="V121" s="1" t="s">
        <v>558</v>
      </c>
      <c r="W121" s="1" t="s">
        <v>20</v>
      </c>
      <c r="X121" s="1" t="s">
        <v>559</v>
      </c>
      <c r="Z121" s="1" t="s">
        <v>538</v>
      </c>
      <c r="AA121" s="1">
        <v>29655</v>
      </c>
      <c r="AB121" s="1">
        <v>0</v>
      </c>
      <c r="AC121" s="1">
        <v>0</v>
      </c>
      <c r="AD121" s="122">
        <v>45950.772916666669</v>
      </c>
      <c r="AE121" s="122">
        <v>45950.772916666669</v>
      </c>
      <c r="AF121" s="122">
        <v>45946.638888888891</v>
      </c>
      <c r="AG121" s="1">
        <v>0</v>
      </c>
      <c r="AH121" s="1">
        <v>0</v>
      </c>
      <c r="AI121" s="1" t="s">
        <v>195</v>
      </c>
      <c r="AJ121" s="122">
        <v>45944.526388888888</v>
      </c>
      <c r="AL121" s="1" t="s">
        <v>196</v>
      </c>
      <c r="AO121" s="1" t="s">
        <v>113</v>
      </c>
      <c r="AP121" s="1" t="s">
        <v>1204</v>
      </c>
      <c r="AQ121" s="122">
        <v>45946.63958333333</v>
      </c>
      <c r="AR121" s="1">
        <v>0</v>
      </c>
      <c r="AS121" s="1">
        <v>0</v>
      </c>
      <c r="AT121" s="1" t="s">
        <v>198</v>
      </c>
      <c r="AW121" s="1">
        <v>0</v>
      </c>
      <c r="AX121" s="1" t="s">
        <v>1202</v>
      </c>
      <c r="AY121" s="1" t="s">
        <v>1203</v>
      </c>
      <c r="BA121" s="1" t="s">
        <v>180</v>
      </c>
      <c r="BB121" s="1">
        <v>530017</v>
      </c>
      <c r="BF121" s="122">
        <v>45944.520833333336</v>
      </c>
    </row>
    <row r="122" spans="1:58">
      <c r="A122" s="1">
        <v>115</v>
      </c>
      <c r="B122" s="1" t="s">
        <v>179</v>
      </c>
      <c r="C122" s="1" t="s">
        <v>180</v>
      </c>
      <c r="D122" s="1" t="s">
        <v>181</v>
      </c>
      <c r="E122" s="1" t="s">
        <v>1205</v>
      </c>
      <c r="F122" s="122">
        <v>45944.480555555558</v>
      </c>
      <c r="G122" s="1" t="s">
        <v>533</v>
      </c>
      <c r="I122" s="1" t="s">
        <v>1206</v>
      </c>
      <c r="K122" s="1" t="s">
        <v>1207</v>
      </c>
      <c r="M122" s="1" t="s">
        <v>408</v>
      </c>
      <c r="N122" s="1" t="s">
        <v>1208</v>
      </c>
      <c r="O122" s="1">
        <v>244086</v>
      </c>
      <c r="P122" s="1">
        <v>7126395</v>
      </c>
      <c r="Q122" s="1" t="s">
        <v>188</v>
      </c>
      <c r="R122" s="1" t="s">
        <v>1209</v>
      </c>
      <c r="S122" s="1" t="s">
        <v>368</v>
      </c>
      <c r="T122" s="1" t="s">
        <v>191</v>
      </c>
      <c r="U122" s="122">
        <v>44849.629861111112</v>
      </c>
      <c r="V122" s="1" t="s">
        <v>558</v>
      </c>
      <c r="W122" s="1" t="s">
        <v>20</v>
      </c>
      <c r="X122" s="1" t="s">
        <v>559</v>
      </c>
      <c r="Z122" s="1" t="s">
        <v>538</v>
      </c>
      <c r="AA122" s="1">
        <v>39308</v>
      </c>
      <c r="AB122" s="1">
        <v>0</v>
      </c>
      <c r="AC122" s="1">
        <v>0</v>
      </c>
      <c r="AD122" s="122">
        <v>45948.769444444442</v>
      </c>
      <c r="AE122" s="122">
        <v>45948.769444444442</v>
      </c>
      <c r="AF122" s="122">
        <v>45946.706944444442</v>
      </c>
      <c r="AG122" s="1">
        <v>0</v>
      </c>
      <c r="AH122" s="1">
        <v>0</v>
      </c>
      <c r="AI122" s="1" t="s">
        <v>195</v>
      </c>
      <c r="AJ122" s="122">
        <v>45944.490277777775</v>
      </c>
      <c r="AL122" s="1" t="s">
        <v>196</v>
      </c>
      <c r="AO122" s="1" t="s">
        <v>113</v>
      </c>
      <c r="AP122" s="1" t="s">
        <v>1210</v>
      </c>
      <c r="AQ122" s="122">
        <v>45946.707638888889</v>
      </c>
      <c r="AR122" s="1">
        <v>0</v>
      </c>
      <c r="AS122" s="1">
        <v>0</v>
      </c>
      <c r="AT122" s="1" t="s">
        <v>198</v>
      </c>
      <c r="AW122" s="1">
        <v>0</v>
      </c>
      <c r="AX122" s="1" t="s">
        <v>1211</v>
      </c>
      <c r="AY122" s="1" t="s">
        <v>1212</v>
      </c>
      <c r="BA122" s="1" t="s">
        <v>180</v>
      </c>
      <c r="BB122" s="1">
        <v>530002</v>
      </c>
      <c r="BE122" s="1" t="s">
        <v>1213</v>
      </c>
      <c r="BF122" s="122">
        <v>45944.475694444445</v>
      </c>
    </row>
    <row r="123" spans="1:58">
      <c r="A123" s="1">
        <v>116</v>
      </c>
      <c r="B123" s="1" t="s">
        <v>179</v>
      </c>
      <c r="C123" s="1" t="s">
        <v>180</v>
      </c>
      <c r="D123" s="1" t="s">
        <v>181</v>
      </c>
      <c r="E123" s="1" t="s">
        <v>1205</v>
      </c>
      <c r="F123" s="122">
        <v>45944.480555555558</v>
      </c>
      <c r="G123" s="1" t="s">
        <v>533</v>
      </c>
      <c r="I123" s="1" t="s">
        <v>1206</v>
      </c>
      <c r="K123" s="1" t="s">
        <v>1207</v>
      </c>
      <c r="M123" s="1" t="s">
        <v>408</v>
      </c>
      <c r="N123" s="1" t="s">
        <v>1208</v>
      </c>
      <c r="O123" s="1">
        <v>244086</v>
      </c>
      <c r="P123" s="1">
        <v>7126395</v>
      </c>
      <c r="Q123" s="1" t="s">
        <v>188</v>
      </c>
      <c r="R123" s="1" t="s">
        <v>1209</v>
      </c>
      <c r="S123" s="1" t="s">
        <v>368</v>
      </c>
      <c r="T123" s="1" t="s">
        <v>191</v>
      </c>
      <c r="U123" s="122">
        <v>44849.629861111112</v>
      </c>
      <c r="V123" s="1" t="s">
        <v>558</v>
      </c>
      <c r="W123" s="1" t="s">
        <v>20</v>
      </c>
      <c r="X123" s="1" t="s">
        <v>559</v>
      </c>
      <c r="Z123" s="1" t="s">
        <v>538</v>
      </c>
      <c r="AA123" s="1">
        <v>39308</v>
      </c>
      <c r="AB123" s="1">
        <v>0</v>
      </c>
      <c r="AC123" s="1">
        <v>0</v>
      </c>
      <c r="AD123" s="122">
        <v>45948.769444444442</v>
      </c>
      <c r="AE123" s="122">
        <v>45948.769444444442</v>
      </c>
      <c r="AF123" s="122">
        <v>45946.706944444442</v>
      </c>
      <c r="AG123" s="1">
        <v>0</v>
      </c>
      <c r="AH123" s="1">
        <v>0</v>
      </c>
      <c r="AI123" s="1" t="s">
        <v>195</v>
      </c>
      <c r="AJ123" s="122">
        <v>45944.490277777775</v>
      </c>
      <c r="AL123" s="1" t="s">
        <v>196</v>
      </c>
      <c r="AO123" s="1" t="s">
        <v>113</v>
      </c>
      <c r="AP123" s="1" t="s">
        <v>1214</v>
      </c>
      <c r="AQ123" s="122">
        <v>45946.707638888889</v>
      </c>
      <c r="AR123" s="1">
        <v>10046.52</v>
      </c>
      <c r="AS123" s="1">
        <v>4712.8999999999996</v>
      </c>
      <c r="AT123" s="1" t="s">
        <v>198</v>
      </c>
      <c r="AW123" s="1">
        <v>14759</v>
      </c>
      <c r="AX123" s="1" t="s">
        <v>1211</v>
      </c>
      <c r="AY123" s="1" t="s">
        <v>1212</v>
      </c>
      <c r="BA123" s="1" t="s">
        <v>180</v>
      </c>
      <c r="BB123" s="1">
        <v>530002</v>
      </c>
      <c r="BE123" s="1" t="s">
        <v>1213</v>
      </c>
      <c r="BF123" s="122">
        <v>45944.475694444445</v>
      </c>
    </row>
    <row r="124" spans="1:58">
      <c r="A124" s="1">
        <v>117</v>
      </c>
      <c r="B124" s="1" t="s">
        <v>179</v>
      </c>
      <c r="C124" s="1" t="s">
        <v>180</v>
      </c>
      <c r="D124" s="1" t="s">
        <v>181</v>
      </c>
      <c r="E124" s="1" t="s">
        <v>1215</v>
      </c>
      <c r="F124" s="122">
        <v>45947.440972222219</v>
      </c>
      <c r="G124" s="1" t="s">
        <v>244</v>
      </c>
      <c r="I124" s="1" t="s">
        <v>1216</v>
      </c>
      <c r="K124" s="1" t="s">
        <v>1217</v>
      </c>
      <c r="M124" s="1" t="s">
        <v>206</v>
      </c>
      <c r="N124" s="1" t="s">
        <v>1218</v>
      </c>
      <c r="O124" s="1">
        <v>387239</v>
      </c>
      <c r="P124" s="1">
        <v>793618</v>
      </c>
      <c r="Q124" s="1" t="s">
        <v>248</v>
      </c>
      <c r="R124" s="1" t="s">
        <v>1219</v>
      </c>
      <c r="S124" s="1" t="s">
        <v>601</v>
      </c>
      <c r="T124" s="1" t="s">
        <v>191</v>
      </c>
      <c r="U124" s="122">
        <v>43585.941666666666</v>
      </c>
      <c r="V124" s="1" t="s">
        <v>192</v>
      </c>
      <c r="W124" s="1" t="s">
        <v>19</v>
      </c>
      <c r="X124" s="1" t="s">
        <v>193</v>
      </c>
      <c r="Z124" s="1" t="s">
        <v>4</v>
      </c>
      <c r="AA124" s="1">
        <v>149440</v>
      </c>
      <c r="AB124" s="1">
        <v>0</v>
      </c>
      <c r="AC124" s="1">
        <v>0</v>
      </c>
      <c r="AD124" s="122">
        <v>45947.520833333336</v>
      </c>
      <c r="AE124" s="122">
        <v>45947.520833333336</v>
      </c>
      <c r="AF124" s="122">
        <v>45947.525694444441</v>
      </c>
      <c r="AG124" s="1">
        <v>0</v>
      </c>
      <c r="AH124" s="1">
        <v>0</v>
      </c>
      <c r="AI124" s="1" t="s">
        <v>195</v>
      </c>
      <c r="AL124" s="1" t="s">
        <v>196</v>
      </c>
      <c r="AO124" s="1" t="s">
        <v>113</v>
      </c>
      <c r="AP124" s="1" t="s">
        <v>1220</v>
      </c>
      <c r="AQ124" s="122">
        <v>45947.525694444441</v>
      </c>
      <c r="AR124" s="1">
        <v>0</v>
      </c>
      <c r="AS124" s="1">
        <v>0</v>
      </c>
      <c r="AT124" s="1" t="s">
        <v>198</v>
      </c>
      <c r="AW124" s="1">
        <v>0</v>
      </c>
      <c r="AX124" s="1" t="s">
        <v>1221</v>
      </c>
      <c r="AY124" s="1" t="s">
        <v>1222</v>
      </c>
      <c r="AZ124" s="1" t="s">
        <v>1223</v>
      </c>
      <c r="BA124" s="1" t="s">
        <v>180</v>
      </c>
      <c r="BB124" s="1">
        <v>530012</v>
      </c>
      <c r="BE124" s="1" t="s">
        <v>1224</v>
      </c>
      <c r="BF124" s="122">
        <v>45947.438888888886</v>
      </c>
    </row>
    <row r="125" spans="1:58">
      <c r="A125" s="1">
        <v>118</v>
      </c>
      <c r="B125" s="1" t="s">
        <v>179</v>
      </c>
      <c r="C125" s="1" t="s">
        <v>180</v>
      </c>
      <c r="D125" s="1" t="s">
        <v>181</v>
      </c>
      <c r="E125" s="1" t="s">
        <v>1225</v>
      </c>
      <c r="F125" s="122">
        <v>45947.552083333336</v>
      </c>
      <c r="G125" s="1" t="s">
        <v>203</v>
      </c>
      <c r="I125" s="1" t="s">
        <v>1226</v>
      </c>
      <c r="K125" s="1" t="s">
        <v>1227</v>
      </c>
      <c r="M125" s="1" t="s">
        <v>1228</v>
      </c>
      <c r="N125" s="1" t="s">
        <v>1229</v>
      </c>
      <c r="O125" s="1">
        <v>646387</v>
      </c>
      <c r="P125" s="1" t="s">
        <v>1230</v>
      </c>
      <c r="Q125" s="1" t="s">
        <v>1231</v>
      </c>
      <c r="R125" s="1" t="s">
        <v>798</v>
      </c>
      <c r="S125" s="1" t="s">
        <v>357</v>
      </c>
      <c r="T125" s="1" t="s">
        <v>191</v>
      </c>
      <c r="U125" s="122">
        <v>45869.709722222222</v>
      </c>
      <c r="V125" s="1" t="s">
        <v>192</v>
      </c>
      <c r="W125" s="1" t="s">
        <v>19</v>
      </c>
      <c r="X125" s="1" t="s">
        <v>193</v>
      </c>
      <c r="Z125" s="1" t="s">
        <v>211</v>
      </c>
      <c r="AA125" s="1">
        <v>10586</v>
      </c>
      <c r="AB125" s="1">
        <v>500</v>
      </c>
      <c r="AC125" s="1">
        <v>2000</v>
      </c>
      <c r="AD125" s="122">
        <v>45947.729166666664</v>
      </c>
      <c r="AE125" s="122">
        <v>45947.729166666664</v>
      </c>
      <c r="AF125" s="122">
        <v>45947.703472222223</v>
      </c>
      <c r="AG125" s="1">
        <v>1694</v>
      </c>
      <c r="AH125" s="1">
        <v>0</v>
      </c>
      <c r="AI125" s="1" t="s">
        <v>195</v>
      </c>
      <c r="AK125" s="122">
        <v>45947.568055555559</v>
      </c>
      <c r="AL125" s="1" t="s">
        <v>212</v>
      </c>
      <c r="AO125" s="1" t="s">
        <v>113</v>
      </c>
      <c r="AP125" s="1" t="s">
        <v>1232</v>
      </c>
      <c r="AQ125" s="122">
        <v>45947.703472222223</v>
      </c>
      <c r="AR125" s="1">
        <v>519.20000000000005</v>
      </c>
      <c r="AS125" s="1">
        <v>1790.92</v>
      </c>
      <c r="AT125" s="1" t="s">
        <v>198</v>
      </c>
      <c r="AU125" s="121">
        <v>45947</v>
      </c>
      <c r="AW125" s="1">
        <v>2310</v>
      </c>
      <c r="AX125" s="1" t="s">
        <v>1233</v>
      </c>
      <c r="AY125" s="1" t="s">
        <v>1234</v>
      </c>
      <c r="AZ125" s="1" t="s">
        <v>1235</v>
      </c>
      <c r="BA125" s="1" t="s">
        <v>180</v>
      </c>
      <c r="BB125" s="1">
        <v>712503</v>
      </c>
      <c r="BE125" s="1" t="s">
        <v>1236</v>
      </c>
      <c r="BF125" s="122">
        <v>45947.55</v>
      </c>
    </row>
    <row r="126" spans="1:58">
      <c r="A126" s="1">
        <v>119</v>
      </c>
      <c r="B126" s="1" t="s">
        <v>179</v>
      </c>
      <c r="C126" s="1" t="s">
        <v>180</v>
      </c>
      <c r="D126" s="1" t="s">
        <v>181</v>
      </c>
      <c r="E126" s="1" t="s">
        <v>1237</v>
      </c>
      <c r="F126" s="122">
        <v>45947.380555555559</v>
      </c>
      <c r="G126" s="1" t="s">
        <v>203</v>
      </c>
      <c r="I126" s="1" t="s">
        <v>1238</v>
      </c>
      <c r="K126" s="1" t="s">
        <v>1239</v>
      </c>
      <c r="M126" s="1" t="s">
        <v>206</v>
      </c>
      <c r="N126" s="1" t="s">
        <v>1240</v>
      </c>
      <c r="O126" s="1">
        <v>603725</v>
      </c>
      <c r="P126" s="1">
        <v>7713712</v>
      </c>
      <c r="Q126" s="1" t="s">
        <v>235</v>
      </c>
      <c r="R126" s="1" t="s">
        <v>1241</v>
      </c>
      <c r="S126" s="1" t="s">
        <v>357</v>
      </c>
      <c r="T126" s="1" t="s">
        <v>191</v>
      </c>
      <c r="U126" s="122">
        <v>45776.785416666666</v>
      </c>
      <c r="V126" s="1" t="s">
        <v>192</v>
      </c>
      <c r="W126" s="1" t="s">
        <v>21</v>
      </c>
      <c r="X126" s="1" t="s">
        <v>193</v>
      </c>
      <c r="Z126" s="1" t="s">
        <v>211</v>
      </c>
      <c r="AA126" s="1">
        <v>11334</v>
      </c>
      <c r="AB126" s="1">
        <v>1500</v>
      </c>
      <c r="AC126" s="1">
        <v>2500</v>
      </c>
      <c r="AD126" s="122">
        <v>45947.520833333336</v>
      </c>
      <c r="AE126" s="122">
        <v>45947.520833333336</v>
      </c>
      <c r="AF126" s="122">
        <v>45947.522916666669</v>
      </c>
      <c r="AG126" s="1">
        <v>2500</v>
      </c>
      <c r="AH126" s="1">
        <v>1500</v>
      </c>
      <c r="AI126" s="1" t="s">
        <v>195</v>
      </c>
      <c r="AL126" s="1" t="s">
        <v>196</v>
      </c>
      <c r="AO126" s="1" t="s">
        <v>113</v>
      </c>
      <c r="AP126" s="1" t="s">
        <v>1242</v>
      </c>
      <c r="AQ126" s="122">
        <v>45947.523611111108</v>
      </c>
      <c r="AR126" s="1">
        <v>0</v>
      </c>
      <c r="AS126" s="1">
        <v>2445.92</v>
      </c>
      <c r="AT126" s="1" t="s">
        <v>198</v>
      </c>
      <c r="AW126" s="1">
        <v>2446</v>
      </c>
      <c r="AX126" s="1" t="s">
        <v>1243</v>
      </c>
      <c r="AY126" s="1" t="s">
        <v>933</v>
      </c>
      <c r="AZ126" s="1" t="s">
        <v>180</v>
      </c>
      <c r="BA126" s="1" t="s">
        <v>180</v>
      </c>
      <c r="BB126" s="1">
        <v>531163</v>
      </c>
      <c r="BE126" s="1" t="s">
        <v>1244</v>
      </c>
      <c r="BF126" s="122">
        <v>45947.377083333333</v>
      </c>
    </row>
    <row r="127" spans="1:58">
      <c r="A127" s="1">
        <v>120</v>
      </c>
      <c r="B127" s="1" t="s">
        <v>179</v>
      </c>
      <c r="C127" s="1" t="s">
        <v>180</v>
      </c>
      <c r="D127" s="1" t="s">
        <v>181</v>
      </c>
      <c r="E127" s="1" t="s">
        <v>1245</v>
      </c>
      <c r="F127" s="122">
        <v>45947.454861111109</v>
      </c>
      <c r="G127" s="1" t="s">
        <v>533</v>
      </c>
      <c r="I127" s="1" t="s">
        <v>1246</v>
      </c>
      <c r="K127" s="1" t="s">
        <v>1247</v>
      </c>
      <c r="M127" s="1" t="s">
        <v>206</v>
      </c>
      <c r="N127" s="1" t="s">
        <v>1248</v>
      </c>
      <c r="O127" s="1">
        <v>520230</v>
      </c>
      <c r="P127" s="1">
        <v>3476551</v>
      </c>
      <c r="Q127" s="1" t="s">
        <v>235</v>
      </c>
      <c r="R127" s="1" t="s">
        <v>1249</v>
      </c>
      <c r="S127" s="1" t="s">
        <v>1250</v>
      </c>
      <c r="T127" s="1" t="s">
        <v>191</v>
      </c>
      <c r="U127" s="122">
        <v>43584.804166666669</v>
      </c>
      <c r="V127" s="1" t="s">
        <v>558</v>
      </c>
      <c r="W127" s="1" t="s">
        <v>20</v>
      </c>
      <c r="X127" s="1" t="s">
        <v>559</v>
      </c>
      <c r="Z127" s="1" t="s">
        <v>538</v>
      </c>
      <c r="AA127" s="1">
        <v>126235</v>
      </c>
      <c r="AB127" s="1">
        <v>0</v>
      </c>
      <c r="AC127" s="1">
        <v>0</v>
      </c>
      <c r="AD127" s="122">
        <v>45947.788194444445</v>
      </c>
      <c r="AE127" s="122">
        <v>45947.788194444445</v>
      </c>
      <c r="AF127" s="122">
        <v>45947.470138888886</v>
      </c>
      <c r="AG127" s="1">
        <v>0</v>
      </c>
      <c r="AH127" s="1">
        <v>0</v>
      </c>
      <c r="AI127" s="1" t="s">
        <v>195</v>
      </c>
      <c r="AJ127" s="122">
        <v>45947.455555555556</v>
      </c>
      <c r="AL127" s="1" t="s">
        <v>196</v>
      </c>
      <c r="AO127" s="1" t="s">
        <v>113</v>
      </c>
      <c r="AP127" s="1" t="s">
        <v>1251</v>
      </c>
      <c r="AQ127" s="122">
        <v>45947.542361111111</v>
      </c>
      <c r="AR127" s="1">
        <v>659.5</v>
      </c>
      <c r="AS127" s="1">
        <v>4091</v>
      </c>
      <c r="AT127" s="1" t="s">
        <v>198</v>
      </c>
      <c r="AW127" s="1">
        <v>4751</v>
      </c>
      <c r="AX127" s="1" t="s">
        <v>1252</v>
      </c>
      <c r="AY127" s="1" t="s">
        <v>1253</v>
      </c>
      <c r="AZ127" s="1" t="s">
        <v>1254</v>
      </c>
      <c r="BA127" s="1" t="s">
        <v>180</v>
      </c>
      <c r="BB127" s="1">
        <v>530015</v>
      </c>
      <c r="BE127" s="1" t="s">
        <v>1255</v>
      </c>
      <c r="BF127" s="122">
        <v>45947.452777777777</v>
      </c>
    </row>
    <row r="128" spans="1:58">
      <c r="A128" s="1">
        <v>121</v>
      </c>
      <c r="B128" s="1" t="s">
        <v>179</v>
      </c>
      <c r="C128" s="1" t="s">
        <v>180</v>
      </c>
      <c r="D128" s="1" t="s">
        <v>181</v>
      </c>
      <c r="E128" s="1" t="s">
        <v>1256</v>
      </c>
      <c r="F128" s="122">
        <v>45947.56527777778</v>
      </c>
      <c r="G128" s="1" t="s">
        <v>203</v>
      </c>
      <c r="I128" s="1" t="s">
        <v>1257</v>
      </c>
      <c r="K128" s="1" t="s">
        <v>1258</v>
      </c>
      <c r="M128" s="1" t="s">
        <v>408</v>
      </c>
      <c r="N128" s="1" t="s">
        <v>1259</v>
      </c>
      <c r="O128" s="1">
        <v>922058</v>
      </c>
      <c r="P128" s="1">
        <v>4610678</v>
      </c>
      <c r="Q128" s="1" t="s">
        <v>283</v>
      </c>
      <c r="R128" s="1" t="s">
        <v>1260</v>
      </c>
      <c r="S128" s="1" t="s">
        <v>368</v>
      </c>
      <c r="T128" s="1" t="s">
        <v>191</v>
      </c>
      <c r="U128" s="122">
        <v>45726.675000000003</v>
      </c>
      <c r="V128" s="1" t="s">
        <v>192</v>
      </c>
      <c r="W128" s="1" t="s">
        <v>19</v>
      </c>
      <c r="X128" s="1" t="s">
        <v>193</v>
      </c>
      <c r="Z128" s="1" t="s">
        <v>211</v>
      </c>
      <c r="AA128" s="1">
        <v>5258</v>
      </c>
      <c r="AB128" s="1">
        <v>0</v>
      </c>
      <c r="AC128" s="1">
        <v>3000</v>
      </c>
      <c r="AD128" s="122">
        <v>45947.770833333336</v>
      </c>
      <c r="AE128" s="122">
        <v>45947.770833333336</v>
      </c>
      <c r="AF128" s="122">
        <v>45947.695833333331</v>
      </c>
      <c r="AG128" s="1">
        <v>1886</v>
      </c>
      <c r="AH128" s="1">
        <v>0</v>
      </c>
      <c r="AI128" s="1" t="s">
        <v>195</v>
      </c>
      <c r="AJ128" s="122">
        <v>45947.656944444447</v>
      </c>
      <c r="AK128" s="122">
        <v>45947.657638888886</v>
      </c>
      <c r="AL128" s="1" t="s">
        <v>212</v>
      </c>
      <c r="AO128" s="1" t="s">
        <v>113</v>
      </c>
      <c r="AP128" s="1" t="s">
        <v>1261</v>
      </c>
      <c r="AQ128" s="122">
        <v>45947.695833333331</v>
      </c>
      <c r="AR128" s="1">
        <v>519.20000000000005</v>
      </c>
      <c r="AS128" s="1">
        <v>2657.92</v>
      </c>
      <c r="AT128" s="1" t="s">
        <v>198</v>
      </c>
      <c r="AU128" s="121">
        <v>45947</v>
      </c>
      <c r="AW128" s="1">
        <v>3177</v>
      </c>
      <c r="AX128" s="1" t="s">
        <v>1262</v>
      </c>
      <c r="AY128" s="1" t="s">
        <v>1263</v>
      </c>
      <c r="BA128" s="1" t="s">
        <v>180</v>
      </c>
      <c r="BB128" s="1">
        <v>500038</v>
      </c>
      <c r="BE128" s="1" t="s">
        <v>1264</v>
      </c>
      <c r="BF128" s="122">
        <v>45947.552777777775</v>
      </c>
    </row>
    <row r="129" spans="1:58">
      <c r="A129" s="1">
        <v>122</v>
      </c>
      <c r="B129" s="1" t="s">
        <v>179</v>
      </c>
      <c r="C129" s="1" t="s">
        <v>180</v>
      </c>
      <c r="D129" s="1" t="s">
        <v>181</v>
      </c>
      <c r="E129" s="1" t="s">
        <v>1265</v>
      </c>
      <c r="F129" s="122">
        <v>45944.459027777775</v>
      </c>
      <c r="G129" s="1" t="s">
        <v>533</v>
      </c>
      <c r="I129" s="1" t="s">
        <v>1266</v>
      </c>
      <c r="K129" s="1" t="s">
        <v>1267</v>
      </c>
      <c r="M129" s="1" t="s">
        <v>408</v>
      </c>
      <c r="N129" s="1" t="s">
        <v>1268</v>
      </c>
      <c r="O129" s="1">
        <v>405283</v>
      </c>
      <c r="P129" s="1">
        <v>9003786</v>
      </c>
      <c r="Q129" s="1" t="s">
        <v>1269</v>
      </c>
      <c r="R129" s="1" t="s">
        <v>1270</v>
      </c>
      <c r="S129" s="1" t="s">
        <v>423</v>
      </c>
      <c r="T129" s="1" t="s">
        <v>454</v>
      </c>
      <c r="U129" s="122">
        <v>43823.835416666669</v>
      </c>
      <c r="V129" s="1" t="s">
        <v>558</v>
      </c>
      <c r="W129" s="1" t="s">
        <v>20</v>
      </c>
      <c r="X129" s="1" t="s">
        <v>559</v>
      </c>
      <c r="Z129" s="1" t="s">
        <v>538</v>
      </c>
      <c r="AA129" s="1">
        <v>79516</v>
      </c>
      <c r="AB129" s="1">
        <v>0</v>
      </c>
      <c r="AC129" s="1">
        <v>0</v>
      </c>
      <c r="AD129" s="122">
        <v>45947.750694444447</v>
      </c>
      <c r="AE129" s="122">
        <v>45947.750694444447</v>
      </c>
      <c r="AF129" s="122">
        <v>45946.720138888886</v>
      </c>
      <c r="AG129" s="1">
        <v>0</v>
      </c>
      <c r="AH129" s="1">
        <v>0</v>
      </c>
      <c r="AI129" s="1" t="s">
        <v>195</v>
      </c>
      <c r="AJ129" s="122">
        <v>45944.460416666669</v>
      </c>
      <c r="AL129" s="1" t="s">
        <v>196</v>
      </c>
      <c r="AO129" s="1" t="s">
        <v>113</v>
      </c>
      <c r="AP129" s="1" t="s">
        <v>1271</v>
      </c>
      <c r="AQ129" s="122">
        <v>45947.413888888892</v>
      </c>
      <c r="AR129" s="1">
        <v>0</v>
      </c>
      <c r="AS129" s="1">
        <v>0</v>
      </c>
      <c r="AT129" s="1" t="s">
        <v>198</v>
      </c>
      <c r="AU129" s="121">
        <v>45944</v>
      </c>
      <c r="AW129" s="1">
        <v>0</v>
      </c>
      <c r="AX129" s="1" t="s">
        <v>1272</v>
      </c>
      <c r="AY129" s="1" t="s">
        <v>1273</v>
      </c>
      <c r="BA129" s="1" t="s">
        <v>180</v>
      </c>
      <c r="BB129" s="1">
        <v>530013</v>
      </c>
      <c r="BE129" s="1" t="s">
        <v>1264</v>
      </c>
      <c r="BF129" s="122">
        <v>45944.457638888889</v>
      </c>
    </row>
    <row r="130" spans="1:58">
      <c r="A130" s="1">
        <v>123</v>
      </c>
      <c r="B130" s="1" t="s">
        <v>179</v>
      </c>
      <c r="C130" s="1" t="s">
        <v>180</v>
      </c>
      <c r="D130" s="1" t="s">
        <v>181</v>
      </c>
      <c r="E130" s="1" t="s">
        <v>1265</v>
      </c>
      <c r="F130" s="122">
        <v>45944.459027777775</v>
      </c>
      <c r="G130" s="1" t="s">
        <v>533</v>
      </c>
      <c r="I130" s="1" t="s">
        <v>1266</v>
      </c>
      <c r="K130" s="1" t="s">
        <v>1267</v>
      </c>
      <c r="M130" s="1" t="s">
        <v>408</v>
      </c>
      <c r="N130" s="1" t="s">
        <v>1268</v>
      </c>
      <c r="O130" s="1">
        <v>405283</v>
      </c>
      <c r="P130" s="1">
        <v>9003786</v>
      </c>
      <c r="Q130" s="1" t="s">
        <v>1269</v>
      </c>
      <c r="R130" s="1" t="s">
        <v>1270</v>
      </c>
      <c r="S130" s="1" t="s">
        <v>423</v>
      </c>
      <c r="T130" s="1" t="s">
        <v>454</v>
      </c>
      <c r="U130" s="122">
        <v>43823.835416666669</v>
      </c>
      <c r="V130" s="1" t="s">
        <v>558</v>
      </c>
      <c r="W130" s="1" t="s">
        <v>20</v>
      </c>
      <c r="X130" s="1" t="s">
        <v>559</v>
      </c>
      <c r="Z130" s="1" t="s">
        <v>538</v>
      </c>
      <c r="AA130" s="1">
        <v>79516</v>
      </c>
      <c r="AB130" s="1">
        <v>0</v>
      </c>
      <c r="AC130" s="1">
        <v>0</v>
      </c>
      <c r="AD130" s="122">
        <v>45947.750694444447</v>
      </c>
      <c r="AE130" s="122">
        <v>45947.750694444447</v>
      </c>
      <c r="AF130" s="122">
        <v>45946.720138888886</v>
      </c>
      <c r="AG130" s="1">
        <v>0</v>
      </c>
      <c r="AH130" s="1">
        <v>0</v>
      </c>
      <c r="AI130" s="1" t="s">
        <v>195</v>
      </c>
      <c r="AJ130" s="122">
        <v>45944.460416666669</v>
      </c>
      <c r="AL130" s="1" t="s">
        <v>196</v>
      </c>
      <c r="AO130" s="1" t="s">
        <v>113</v>
      </c>
      <c r="AP130" s="1" t="s">
        <v>1274</v>
      </c>
      <c r="AQ130" s="122">
        <v>45947.413888888892</v>
      </c>
      <c r="AR130" s="1">
        <v>6674.08</v>
      </c>
      <c r="AS130" s="1">
        <v>890.72</v>
      </c>
      <c r="AT130" s="1" t="s">
        <v>198</v>
      </c>
      <c r="AU130" s="121">
        <v>45944</v>
      </c>
      <c r="AW130" s="1">
        <v>7565</v>
      </c>
      <c r="AX130" s="1" t="s">
        <v>1272</v>
      </c>
      <c r="AY130" s="1" t="s">
        <v>1273</v>
      </c>
      <c r="BA130" s="1" t="s">
        <v>180</v>
      </c>
      <c r="BB130" s="1">
        <v>530013</v>
      </c>
      <c r="BE130" s="1" t="s">
        <v>1264</v>
      </c>
      <c r="BF130" s="122">
        <v>45944.457638888889</v>
      </c>
    </row>
    <row r="131" spans="1:58">
      <c r="A131" s="1">
        <v>124</v>
      </c>
      <c r="B131" s="1" t="s">
        <v>179</v>
      </c>
      <c r="C131" s="1" t="s">
        <v>180</v>
      </c>
      <c r="D131" s="1" t="s">
        <v>181</v>
      </c>
      <c r="E131" s="1" t="s">
        <v>1275</v>
      </c>
      <c r="F131" s="122">
        <v>45946.493055555555</v>
      </c>
      <c r="G131" s="1" t="s">
        <v>244</v>
      </c>
      <c r="I131" s="1" t="s">
        <v>1266</v>
      </c>
      <c r="K131" s="1" t="s">
        <v>1267</v>
      </c>
      <c r="M131" s="1" t="s">
        <v>186</v>
      </c>
      <c r="N131" s="1" t="s">
        <v>1268</v>
      </c>
      <c r="O131" s="1">
        <v>405283</v>
      </c>
      <c r="P131" s="1">
        <v>9003786</v>
      </c>
      <c r="Q131" s="1" t="s">
        <v>1269</v>
      </c>
      <c r="R131" s="1" t="s">
        <v>1270</v>
      </c>
      <c r="S131" s="1" t="s">
        <v>423</v>
      </c>
      <c r="T131" s="1" t="s">
        <v>454</v>
      </c>
      <c r="U131" s="122">
        <v>43823.835416666669</v>
      </c>
      <c r="V131" s="1" t="s">
        <v>192</v>
      </c>
      <c r="W131" s="1" t="s">
        <v>19</v>
      </c>
      <c r="X131" s="1" t="s">
        <v>193</v>
      </c>
      <c r="Z131" s="1" t="s">
        <v>4</v>
      </c>
      <c r="AA131" s="1">
        <v>79516</v>
      </c>
      <c r="AB131" s="1">
        <v>2500</v>
      </c>
      <c r="AC131" s="1">
        <v>1000</v>
      </c>
      <c r="AD131" s="122">
        <v>45946.8125</v>
      </c>
      <c r="AE131" s="122">
        <v>45946.8125</v>
      </c>
      <c r="AF131" s="122">
        <v>45947.577777777777</v>
      </c>
      <c r="AG131" s="1">
        <v>1000</v>
      </c>
      <c r="AH131" s="1">
        <v>0</v>
      </c>
      <c r="AI131" s="1" t="s">
        <v>195</v>
      </c>
      <c r="AJ131" s="122">
        <v>45946.656944444447</v>
      </c>
      <c r="AK131" s="122">
        <v>45946.657638888886</v>
      </c>
      <c r="AL131" s="1" t="s">
        <v>212</v>
      </c>
      <c r="AO131" s="1" t="s">
        <v>113</v>
      </c>
      <c r="AP131" s="1" t="s">
        <v>1276</v>
      </c>
      <c r="AQ131" s="122">
        <v>45947.578472222223</v>
      </c>
      <c r="AR131" s="1">
        <v>1603.66</v>
      </c>
      <c r="AS131" s="1">
        <v>1542.86</v>
      </c>
      <c r="AT131" s="1" t="s">
        <v>198</v>
      </c>
      <c r="AU131" s="121">
        <v>45946</v>
      </c>
      <c r="AW131" s="1">
        <v>3147</v>
      </c>
      <c r="AX131" s="1" t="s">
        <v>1272</v>
      </c>
      <c r="AY131" s="1" t="s">
        <v>1273</v>
      </c>
      <c r="BA131" s="1" t="s">
        <v>180</v>
      </c>
      <c r="BB131" s="1">
        <v>530013</v>
      </c>
      <c r="BE131" s="1" t="s">
        <v>1264</v>
      </c>
      <c r="BF131" s="122">
        <v>45946.477083333331</v>
      </c>
    </row>
    <row r="132" spans="1:58">
      <c r="A132" s="1">
        <v>125</v>
      </c>
      <c r="B132" s="1" t="s">
        <v>179</v>
      </c>
      <c r="C132" s="1" t="s">
        <v>180</v>
      </c>
      <c r="D132" s="1" t="s">
        <v>181</v>
      </c>
      <c r="E132" s="1" t="s">
        <v>1277</v>
      </c>
      <c r="F132" s="122">
        <v>45936.740277777775</v>
      </c>
      <c r="G132" s="1" t="s">
        <v>533</v>
      </c>
      <c r="I132" s="1" t="s">
        <v>1278</v>
      </c>
      <c r="K132" s="1" t="s">
        <v>1279</v>
      </c>
      <c r="M132" s="1" t="s">
        <v>904</v>
      </c>
      <c r="N132" s="1" t="s">
        <v>1280</v>
      </c>
      <c r="O132" s="1">
        <v>272030</v>
      </c>
      <c r="P132" s="1">
        <v>7146123</v>
      </c>
      <c r="Q132" s="1" t="s">
        <v>283</v>
      </c>
      <c r="R132" s="1" t="s">
        <v>1260</v>
      </c>
      <c r="S132" s="1" t="s">
        <v>368</v>
      </c>
      <c r="T132" s="1" t="s">
        <v>191</v>
      </c>
      <c r="U132" s="122">
        <v>44846.741666666669</v>
      </c>
      <c r="V132" s="1" t="s">
        <v>558</v>
      </c>
      <c r="W132" s="1" t="s">
        <v>20</v>
      </c>
      <c r="X132" s="1" t="s">
        <v>559</v>
      </c>
      <c r="Z132" s="1" t="s">
        <v>538</v>
      </c>
      <c r="AA132" s="1">
        <v>38438</v>
      </c>
      <c r="AB132" s="1">
        <v>0</v>
      </c>
      <c r="AC132" s="1">
        <v>0</v>
      </c>
      <c r="AD132" s="122">
        <v>45945.274305555555</v>
      </c>
      <c r="AE132" s="122">
        <v>45945.274305555555</v>
      </c>
      <c r="AF132" s="122">
        <v>45948.46597222222</v>
      </c>
      <c r="AG132" s="1">
        <v>0</v>
      </c>
      <c r="AH132" s="1">
        <v>0</v>
      </c>
      <c r="AI132" s="1" t="s">
        <v>195</v>
      </c>
      <c r="AJ132" s="122">
        <v>45940.581250000003</v>
      </c>
      <c r="AL132" s="1" t="s">
        <v>196</v>
      </c>
      <c r="AO132" s="1" t="s">
        <v>113</v>
      </c>
      <c r="AP132" s="1" t="s">
        <v>1281</v>
      </c>
      <c r="AQ132" s="122">
        <v>45948.46875</v>
      </c>
      <c r="AR132" s="1">
        <v>0</v>
      </c>
      <c r="AS132" s="1">
        <v>0</v>
      </c>
      <c r="AT132" s="1" t="s">
        <v>198</v>
      </c>
      <c r="AW132" s="1">
        <v>0</v>
      </c>
      <c r="AX132" s="1" t="s">
        <v>1282</v>
      </c>
      <c r="AY132" s="1" t="s">
        <v>1283</v>
      </c>
      <c r="AZ132" s="1" t="s">
        <v>1284</v>
      </c>
      <c r="BA132" s="1" t="s">
        <v>180</v>
      </c>
      <c r="BB132" s="1">
        <v>500016</v>
      </c>
      <c r="BE132" s="1" t="s">
        <v>1285</v>
      </c>
      <c r="BF132" s="122">
        <v>45936.731249999997</v>
      </c>
    </row>
    <row r="133" spans="1:58">
      <c r="A133" s="1">
        <v>126</v>
      </c>
      <c r="B133" s="1" t="s">
        <v>179</v>
      </c>
      <c r="C133" s="1" t="s">
        <v>180</v>
      </c>
      <c r="D133" s="1" t="s">
        <v>181</v>
      </c>
      <c r="E133" s="1" t="s">
        <v>1277</v>
      </c>
      <c r="F133" s="122">
        <v>45936.740277777775</v>
      </c>
      <c r="G133" s="1" t="s">
        <v>533</v>
      </c>
      <c r="I133" s="1" t="s">
        <v>1278</v>
      </c>
      <c r="K133" s="1" t="s">
        <v>1279</v>
      </c>
      <c r="M133" s="1" t="s">
        <v>904</v>
      </c>
      <c r="N133" s="1" t="s">
        <v>1280</v>
      </c>
      <c r="O133" s="1">
        <v>272030</v>
      </c>
      <c r="P133" s="1">
        <v>7146123</v>
      </c>
      <c r="Q133" s="1" t="s">
        <v>283</v>
      </c>
      <c r="R133" s="1" t="s">
        <v>1260</v>
      </c>
      <c r="S133" s="1" t="s">
        <v>368</v>
      </c>
      <c r="T133" s="1" t="s">
        <v>191</v>
      </c>
      <c r="U133" s="122">
        <v>44846.741666666669</v>
      </c>
      <c r="V133" s="1" t="s">
        <v>558</v>
      </c>
      <c r="W133" s="1" t="s">
        <v>20</v>
      </c>
      <c r="X133" s="1" t="s">
        <v>559</v>
      </c>
      <c r="Z133" s="1" t="s">
        <v>538</v>
      </c>
      <c r="AA133" s="1">
        <v>38438</v>
      </c>
      <c r="AB133" s="1">
        <v>0</v>
      </c>
      <c r="AC133" s="1">
        <v>0</v>
      </c>
      <c r="AD133" s="122">
        <v>45945.274305555555</v>
      </c>
      <c r="AE133" s="122">
        <v>45945.274305555555</v>
      </c>
      <c r="AF133" s="122">
        <v>45948.46597222222</v>
      </c>
      <c r="AG133" s="1">
        <v>0</v>
      </c>
      <c r="AH133" s="1">
        <v>0</v>
      </c>
      <c r="AI133" s="1" t="s">
        <v>195</v>
      </c>
      <c r="AJ133" s="122">
        <v>45940.581250000003</v>
      </c>
      <c r="AL133" s="1" t="s">
        <v>196</v>
      </c>
      <c r="AO133" s="1" t="s">
        <v>113</v>
      </c>
      <c r="AP133" s="1" t="s">
        <v>1286</v>
      </c>
      <c r="AQ133" s="122">
        <v>45948.46875</v>
      </c>
      <c r="AR133" s="1">
        <v>7484.74</v>
      </c>
      <c r="AS133" s="1">
        <v>16821.98</v>
      </c>
      <c r="AT133" s="1" t="s">
        <v>198</v>
      </c>
      <c r="AW133" s="1">
        <v>24307</v>
      </c>
      <c r="AX133" s="1" t="s">
        <v>1282</v>
      </c>
      <c r="AY133" s="1" t="s">
        <v>1283</v>
      </c>
      <c r="AZ133" s="1" t="s">
        <v>1284</v>
      </c>
      <c r="BA133" s="1" t="s">
        <v>180</v>
      </c>
      <c r="BB133" s="1">
        <v>500016</v>
      </c>
      <c r="BE133" s="1" t="s">
        <v>1285</v>
      </c>
      <c r="BF133" s="122">
        <v>45936.731249999997</v>
      </c>
    </row>
    <row r="134" spans="1:58">
      <c r="A134" s="1">
        <v>127</v>
      </c>
      <c r="B134" s="1" t="s">
        <v>179</v>
      </c>
      <c r="C134" s="1" t="s">
        <v>180</v>
      </c>
      <c r="D134" s="1" t="s">
        <v>181</v>
      </c>
      <c r="E134" s="1" t="s">
        <v>1287</v>
      </c>
      <c r="F134" s="122">
        <v>45948.470833333333</v>
      </c>
      <c r="G134" s="1" t="s">
        <v>1012</v>
      </c>
      <c r="I134" s="1" t="s">
        <v>1278</v>
      </c>
      <c r="K134" s="1" t="s">
        <v>1279</v>
      </c>
      <c r="M134" s="1" t="s">
        <v>186</v>
      </c>
      <c r="N134" s="1" t="s">
        <v>1280</v>
      </c>
      <c r="O134" s="1">
        <v>272030</v>
      </c>
      <c r="P134" s="1">
        <v>7146123</v>
      </c>
      <c r="Q134" s="1" t="s">
        <v>283</v>
      </c>
      <c r="R134" s="1" t="s">
        <v>1260</v>
      </c>
      <c r="S134" s="1" t="s">
        <v>368</v>
      </c>
      <c r="T134" s="1" t="s">
        <v>191</v>
      </c>
      <c r="U134" s="122">
        <v>44846.741666666669</v>
      </c>
      <c r="V134" s="1" t="s">
        <v>192</v>
      </c>
      <c r="W134" s="1" t="s">
        <v>21</v>
      </c>
      <c r="X134" s="1" t="s">
        <v>193</v>
      </c>
      <c r="Z134" s="1" t="s">
        <v>23</v>
      </c>
      <c r="AA134" s="1">
        <v>38439</v>
      </c>
      <c r="AB134" s="1">
        <v>0</v>
      </c>
      <c r="AC134" s="1">
        <v>0</v>
      </c>
      <c r="AD134" s="122">
        <v>45948.5625</v>
      </c>
      <c r="AE134" s="122">
        <v>45948.5625</v>
      </c>
      <c r="AF134" s="122">
        <v>45948.481249999997</v>
      </c>
      <c r="AG134" s="1">
        <v>0</v>
      </c>
      <c r="AH134" s="1">
        <v>0</v>
      </c>
      <c r="AI134" s="1" t="s">
        <v>195</v>
      </c>
      <c r="AJ134" s="122">
        <v>45948.477083333331</v>
      </c>
      <c r="AK134" s="122">
        <v>45948.477777777778</v>
      </c>
      <c r="AL134" s="1" t="s">
        <v>212</v>
      </c>
      <c r="AO134" s="1" t="s">
        <v>113</v>
      </c>
      <c r="AP134" s="1" t="s">
        <v>1288</v>
      </c>
      <c r="AQ134" s="122">
        <v>45948.481249999997</v>
      </c>
      <c r="AR134" s="1">
        <v>0</v>
      </c>
      <c r="AS134" s="1">
        <v>0</v>
      </c>
      <c r="AT134" s="1" t="s">
        <v>198</v>
      </c>
      <c r="AW134" s="1">
        <v>0</v>
      </c>
      <c r="AX134" s="1" t="s">
        <v>1282</v>
      </c>
      <c r="AY134" s="1" t="s">
        <v>1283</v>
      </c>
      <c r="AZ134" s="1" t="s">
        <v>1284</v>
      </c>
      <c r="BA134" s="1" t="s">
        <v>180</v>
      </c>
      <c r="BB134" s="1">
        <v>500016</v>
      </c>
      <c r="BE134" s="1" t="s">
        <v>1285</v>
      </c>
      <c r="BF134" s="122">
        <v>45948.46875</v>
      </c>
    </row>
    <row r="135" spans="1:58">
      <c r="A135" s="1">
        <v>128</v>
      </c>
      <c r="B135" s="1" t="s">
        <v>179</v>
      </c>
      <c r="C135" s="1" t="s">
        <v>180</v>
      </c>
      <c r="D135" s="1" t="s">
        <v>181</v>
      </c>
      <c r="E135" s="1" t="s">
        <v>1289</v>
      </c>
      <c r="F135" s="122">
        <v>45948.40625</v>
      </c>
      <c r="G135" s="1" t="s">
        <v>244</v>
      </c>
      <c r="I135" s="1" t="s">
        <v>1290</v>
      </c>
      <c r="K135" s="1" t="s">
        <v>1291</v>
      </c>
      <c r="M135" s="1" t="s">
        <v>233</v>
      </c>
      <c r="N135" s="1" t="s">
        <v>1292</v>
      </c>
      <c r="O135" s="1">
        <v>536171</v>
      </c>
      <c r="P135" s="1">
        <v>2357255</v>
      </c>
      <c r="Q135" s="1" t="s">
        <v>235</v>
      </c>
      <c r="R135" s="1" t="s">
        <v>1293</v>
      </c>
      <c r="S135" s="1" t="s">
        <v>484</v>
      </c>
      <c r="T135" s="1" t="s">
        <v>191</v>
      </c>
      <c r="U135" s="122">
        <v>43757.786111111112</v>
      </c>
      <c r="V135" s="1" t="s">
        <v>192</v>
      </c>
      <c r="W135" s="1" t="s">
        <v>21</v>
      </c>
      <c r="X135" s="1" t="s">
        <v>193</v>
      </c>
      <c r="Z135" s="1" t="s">
        <v>4</v>
      </c>
      <c r="AA135" s="1">
        <v>66325</v>
      </c>
      <c r="AB135" s="1">
        <v>100</v>
      </c>
      <c r="AC135" s="1">
        <v>1100</v>
      </c>
      <c r="AD135" s="122">
        <v>45948.447916666664</v>
      </c>
      <c r="AE135" s="122">
        <v>45948.447916666664</v>
      </c>
      <c r="AF135" s="122">
        <v>45948.415277777778</v>
      </c>
      <c r="AG135" s="1">
        <v>1100</v>
      </c>
      <c r="AH135" s="1">
        <v>100</v>
      </c>
      <c r="AI135" s="1" t="s">
        <v>195</v>
      </c>
      <c r="AL135" s="1" t="s">
        <v>196</v>
      </c>
      <c r="AO135" s="1" t="s">
        <v>113</v>
      </c>
      <c r="AP135" s="1" t="s">
        <v>1294</v>
      </c>
      <c r="AQ135" s="122">
        <v>45948.415277777778</v>
      </c>
      <c r="AR135" s="1">
        <v>95</v>
      </c>
      <c r="AS135" s="1">
        <v>1004.99</v>
      </c>
      <c r="AT135" s="1" t="s">
        <v>198</v>
      </c>
      <c r="AW135" s="1">
        <v>1100</v>
      </c>
      <c r="AX135" s="1" t="s">
        <v>1295</v>
      </c>
      <c r="AY135" s="1" t="s">
        <v>1296</v>
      </c>
      <c r="AZ135" s="1" t="s">
        <v>478</v>
      </c>
      <c r="BA135" s="1" t="s">
        <v>180</v>
      </c>
      <c r="BB135" s="1">
        <v>530045</v>
      </c>
      <c r="BE135" s="1" t="s">
        <v>1297</v>
      </c>
      <c r="BF135" s="122">
        <v>45948.40347222222</v>
      </c>
    </row>
    <row r="136" spans="1:58">
      <c r="A136" s="1">
        <v>129</v>
      </c>
      <c r="B136" s="1" t="s">
        <v>179</v>
      </c>
      <c r="C136" s="1" t="s">
        <v>180</v>
      </c>
      <c r="D136" s="1" t="s">
        <v>181</v>
      </c>
      <c r="E136" s="1" t="s">
        <v>1298</v>
      </c>
      <c r="F136" s="122">
        <v>45948.718055555553</v>
      </c>
      <c r="G136" s="1" t="s">
        <v>533</v>
      </c>
      <c r="I136" s="1" t="s">
        <v>757</v>
      </c>
      <c r="K136" s="1" t="s">
        <v>758</v>
      </c>
      <c r="M136" s="1" t="s">
        <v>206</v>
      </c>
      <c r="N136" s="1" t="s">
        <v>759</v>
      </c>
      <c r="O136" s="1">
        <v>712609</v>
      </c>
      <c r="P136" s="1">
        <v>8393208</v>
      </c>
      <c r="Q136" s="1" t="s">
        <v>315</v>
      </c>
      <c r="R136" s="1" t="s">
        <v>760</v>
      </c>
      <c r="S136" s="1" t="s">
        <v>348</v>
      </c>
      <c r="T136" s="1" t="s">
        <v>191</v>
      </c>
      <c r="U136" s="122">
        <v>44056.840277777781</v>
      </c>
      <c r="V136" s="1" t="s">
        <v>558</v>
      </c>
      <c r="W136" s="1" t="s">
        <v>20</v>
      </c>
      <c r="X136" s="1" t="s">
        <v>559</v>
      </c>
      <c r="Z136" s="1" t="s">
        <v>538</v>
      </c>
      <c r="AA136" s="1">
        <v>62064</v>
      </c>
      <c r="AB136" s="1">
        <v>0</v>
      </c>
      <c r="AC136" s="1">
        <v>0</v>
      </c>
      <c r="AD136" s="122">
        <v>45949.801388888889</v>
      </c>
      <c r="AE136" s="122">
        <v>45949.801388888889</v>
      </c>
      <c r="AF136" s="122">
        <v>45948.734027777777</v>
      </c>
      <c r="AG136" s="1">
        <v>0</v>
      </c>
      <c r="AH136" s="1">
        <v>0</v>
      </c>
      <c r="AI136" s="1" t="s">
        <v>195</v>
      </c>
      <c r="AJ136" s="122">
        <v>45948.719444444447</v>
      </c>
      <c r="AL136" s="1" t="s">
        <v>196</v>
      </c>
      <c r="AO136" s="1" t="s">
        <v>113</v>
      </c>
      <c r="AP136" s="1" t="s">
        <v>1299</v>
      </c>
      <c r="AQ136" s="122">
        <v>45948.734722222223</v>
      </c>
      <c r="AR136" s="1">
        <v>0</v>
      </c>
      <c r="AS136" s="1">
        <v>0</v>
      </c>
      <c r="AT136" s="1" t="s">
        <v>198</v>
      </c>
      <c r="AW136" s="1">
        <v>0</v>
      </c>
      <c r="AX136" s="1" t="s">
        <v>762</v>
      </c>
      <c r="AY136" s="1" t="s">
        <v>763</v>
      </c>
      <c r="AZ136" s="1" t="s">
        <v>764</v>
      </c>
      <c r="BA136" s="1" t="s">
        <v>180</v>
      </c>
      <c r="BB136" s="1">
        <v>530026</v>
      </c>
      <c r="BE136" s="1" t="s">
        <v>765</v>
      </c>
      <c r="BF136" s="122">
        <v>45948.714583333334</v>
      </c>
    </row>
    <row r="137" spans="1:58">
      <c r="A137" s="1">
        <v>130</v>
      </c>
      <c r="B137" s="1" t="s">
        <v>179</v>
      </c>
      <c r="C137" s="1" t="s">
        <v>180</v>
      </c>
      <c r="D137" s="1" t="s">
        <v>181</v>
      </c>
      <c r="E137" s="1" t="s">
        <v>1298</v>
      </c>
      <c r="F137" s="122">
        <v>45948.718055555553</v>
      </c>
      <c r="G137" s="1" t="s">
        <v>533</v>
      </c>
      <c r="I137" s="1" t="s">
        <v>757</v>
      </c>
      <c r="K137" s="1" t="s">
        <v>758</v>
      </c>
      <c r="M137" s="1" t="s">
        <v>206</v>
      </c>
      <c r="N137" s="1" t="s">
        <v>759</v>
      </c>
      <c r="O137" s="1">
        <v>712609</v>
      </c>
      <c r="P137" s="1">
        <v>8393208</v>
      </c>
      <c r="Q137" s="1" t="s">
        <v>315</v>
      </c>
      <c r="R137" s="1" t="s">
        <v>760</v>
      </c>
      <c r="S137" s="1" t="s">
        <v>348</v>
      </c>
      <c r="T137" s="1" t="s">
        <v>191</v>
      </c>
      <c r="U137" s="122">
        <v>44056.840277777781</v>
      </c>
      <c r="V137" s="1" t="s">
        <v>558</v>
      </c>
      <c r="W137" s="1" t="s">
        <v>20</v>
      </c>
      <c r="X137" s="1" t="s">
        <v>559</v>
      </c>
      <c r="Z137" s="1" t="s">
        <v>538</v>
      </c>
      <c r="AA137" s="1">
        <v>62064</v>
      </c>
      <c r="AB137" s="1">
        <v>0</v>
      </c>
      <c r="AC137" s="1">
        <v>0</v>
      </c>
      <c r="AD137" s="122">
        <v>45949.801388888889</v>
      </c>
      <c r="AE137" s="122">
        <v>45949.801388888889</v>
      </c>
      <c r="AF137" s="122">
        <v>45948.734027777777</v>
      </c>
      <c r="AG137" s="1">
        <v>0</v>
      </c>
      <c r="AH137" s="1">
        <v>0</v>
      </c>
      <c r="AI137" s="1" t="s">
        <v>195</v>
      </c>
      <c r="AJ137" s="122">
        <v>45948.719444444447</v>
      </c>
      <c r="AL137" s="1" t="s">
        <v>196</v>
      </c>
      <c r="AO137" s="1" t="s">
        <v>113</v>
      </c>
      <c r="AP137" s="1" t="s">
        <v>1300</v>
      </c>
      <c r="AQ137" s="122">
        <v>45948.734722222223</v>
      </c>
      <c r="AR137" s="1">
        <v>6891.2</v>
      </c>
      <c r="AS137" s="1">
        <v>7723.71</v>
      </c>
      <c r="AT137" s="1" t="s">
        <v>198</v>
      </c>
      <c r="AW137" s="1">
        <v>14615</v>
      </c>
      <c r="AX137" s="1" t="s">
        <v>762</v>
      </c>
      <c r="AY137" s="1" t="s">
        <v>763</v>
      </c>
      <c r="AZ137" s="1" t="s">
        <v>764</v>
      </c>
      <c r="BA137" s="1" t="s">
        <v>180</v>
      </c>
      <c r="BB137" s="1">
        <v>530026</v>
      </c>
      <c r="BE137" s="1" t="s">
        <v>765</v>
      </c>
      <c r="BF137" s="122">
        <v>45948.714583333334</v>
      </c>
    </row>
    <row r="138" spans="1:58">
      <c r="A138" s="1">
        <v>131</v>
      </c>
      <c r="B138" s="1" t="s">
        <v>179</v>
      </c>
      <c r="C138" s="1" t="s">
        <v>180</v>
      </c>
      <c r="D138" s="1" t="s">
        <v>181</v>
      </c>
      <c r="E138" s="1" t="s">
        <v>1301</v>
      </c>
      <c r="F138" s="122">
        <v>45948.456250000003</v>
      </c>
      <c r="G138" s="1" t="s">
        <v>244</v>
      </c>
      <c r="H138" s="1" t="s">
        <v>429</v>
      </c>
      <c r="I138" s="1" t="s">
        <v>1074</v>
      </c>
      <c r="K138" s="1" t="s">
        <v>1075</v>
      </c>
      <c r="M138" s="1" t="s">
        <v>206</v>
      </c>
      <c r="N138" s="1" t="s">
        <v>1076</v>
      </c>
      <c r="O138" s="1">
        <v>276944</v>
      </c>
      <c r="P138" s="1">
        <v>4062932</v>
      </c>
      <c r="Q138" s="1" t="s">
        <v>315</v>
      </c>
      <c r="R138" s="1" t="s">
        <v>1077</v>
      </c>
      <c r="S138" s="1" t="s">
        <v>1078</v>
      </c>
      <c r="T138" s="1" t="s">
        <v>454</v>
      </c>
      <c r="U138" s="122">
        <v>40534.712500000001</v>
      </c>
      <c r="V138" s="1" t="s">
        <v>192</v>
      </c>
      <c r="W138" s="1" t="s">
        <v>19</v>
      </c>
      <c r="X138" s="1" t="s">
        <v>193</v>
      </c>
      <c r="Z138" s="1" t="s">
        <v>4</v>
      </c>
      <c r="AA138" s="1">
        <v>37896</v>
      </c>
      <c r="AB138" s="1">
        <v>1500</v>
      </c>
      <c r="AC138" s="1">
        <v>5000</v>
      </c>
      <c r="AD138" s="122">
        <v>45948.770833333336</v>
      </c>
      <c r="AE138" s="122">
        <v>45948.770833333336</v>
      </c>
      <c r="AF138" s="122">
        <v>45949.393055555556</v>
      </c>
      <c r="AG138" s="1">
        <v>5000</v>
      </c>
      <c r="AH138" s="1">
        <v>0</v>
      </c>
      <c r="AI138" s="1" t="s">
        <v>195</v>
      </c>
      <c r="AJ138" s="122">
        <v>45948.550694444442</v>
      </c>
      <c r="AK138" s="122">
        <v>45948.551388888889</v>
      </c>
      <c r="AL138" s="1" t="s">
        <v>212</v>
      </c>
      <c r="AO138" s="1" t="s">
        <v>113</v>
      </c>
      <c r="AP138" s="1" t="s">
        <v>1302</v>
      </c>
      <c r="AQ138" s="122">
        <v>45949.393055555556</v>
      </c>
      <c r="AR138" s="1">
        <v>1581.2</v>
      </c>
      <c r="AS138" s="1">
        <v>4605.4799999999996</v>
      </c>
      <c r="AT138" s="1" t="s">
        <v>198</v>
      </c>
      <c r="AW138" s="1">
        <v>6187</v>
      </c>
      <c r="AX138" s="1" t="s">
        <v>1080</v>
      </c>
      <c r="AY138" s="1" t="s">
        <v>1081</v>
      </c>
      <c r="AZ138" s="1" t="s">
        <v>1082</v>
      </c>
      <c r="BA138" s="1" t="s">
        <v>180</v>
      </c>
      <c r="BB138" s="1">
        <v>560093</v>
      </c>
      <c r="BE138" s="1" t="s">
        <v>1083</v>
      </c>
      <c r="BF138" s="122">
        <v>45948.454861111109</v>
      </c>
    </row>
    <row r="139" spans="1:58">
      <c r="A139" s="1">
        <v>132</v>
      </c>
      <c r="B139" s="1" t="s">
        <v>179</v>
      </c>
      <c r="C139" s="1" t="s">
        <v>180</v>
      </c>
      <c r="D139" s="1" t="s">
        <v>181</v>
      </c>
      <c r="E139" s="1" t="s">
        <v>1303</v>
      </c>
      <c r="F139" s="122">
        <v>45949.446527777778</v>
      </c>
      <c r="G139" s="1" t="s">
        <v>244</v>
      </c>
      <c r="I139" s="1" t="s">
        <v>1304</v>
      </c>
      <c r="K139" s="1" t="s">
        <v>1305</v>
      </c>
      <c r="M139" s="1" t="s">
        <v>206</v>
      </c>
      <c r="N139" s="1" t="s">
        <v>1306</v>
      </c>
      <c r="O139" s="1">
        <v>966518</v>
      </c>
      <c r="P139" s="1">
        <v>2641291</v>
      </c>
      <c r="Q139" s="1" t="s">
        <v>271</v>
      </c>
      <c r="R139" s="1" t="s">
        <v>1307</v>
      </c>
      <c r="S139" s="1" t="s">
        <v>808</v>
      </c>
      <c r="T139" s="1" t="s">
        <v>191</v>
      </c>
      <c r="U139" s="122">
        <v>42290.65625</v>
      </c>
      <c r="V139" s="1" t="s">
        <v>192</v>
      </c>
      <c r="W139" s="1" t="s">
        <v>21</v>
      </c>
      <c r="X139" s="1" t="s">
        <v>193</v>
      </c>
      <c r="Z139" s="1" t="s">
        <v>4</v>
      </c>
      <c r="AA139" s="1">
        <v>35545</v>
      </c>
      <c r="AB139" s="1">
        <v>0</v>
      </c>
      <c r="AC139" s="1">
        <v>650</v>
      </c>
      <c r="AD139" s="122">
        <v>45949.5625</v>
      </c>
      <c r="AE139" s="122">
        <v>45949.5625</v>
      </c>
      <c r="AF139" s="122">
        <v>45949.486111111109</v>
      </c>
      <c r="AG139" s="1">
        <v>650</v>
      </c>
      <c r="AH139" s="1">
        <v>0</v>
      </c>
      <c r="AI139" s="1" t="s">
        <v>195</v>
      </c>
      <c r="AJ139" s="122">
        <v>45949.465277777781</v>
      </c>
      <c r="AK139" s="122">
        <v>45949.46597222222</v>
      </c>
      <c r="AL139" s="1" t="s">
        <v>212</v>
      </c>
      <c r="AO139" s="1" t="s">
        <v>113</v>
      </c>
      <c r="AP139" s="1" t="s">
        <v>1308</v>
      </c>
      <c r="AQ139" s="122">
        <v>45949.486111111109</v>
      </c>
      <c r="AR139" s="1">
        <v>1062</v>
      </c>
      <c r="AS139" s="1">
        <v>675</v>
      </c>
      <c r="AT139" s="1" t="s">
        <v>198</v>
      </c>
      <c r="AW139" s="1">
        <v>1737</v>
      </c>
      <c r="AX139" s="1" t="s">
        <v>1309</v>
      </c>
      <c r="AY139" s="1" t="s">
        <v>1310</v>
      </c>
      <c r="AZ139" s="1" t="s">
        <v>1311</v>
      </c>
      <c r="BA139" s="1" t="s">
        <v>180</v>
      </c>
      <c r="BB139" s="1">
        <v>751006</v>
      </c>
      <c r="BE139" s="1" t="s">
        <v>1312</v>
      </c>
      <c r="BF139" s="122">
        <v>45949.436805555553</v>
      </c>
    </row>
    <row r="140" spans="1:58">
      <c r="A140" s="1">
        <v>133</v>
      </c>
      <c r="B140" s="1" t="s">
        <v>179</v>
      </c>
      <c r="C140" s="1" t="s">
        <v>180</v>
      </c>
      <c r="D140" s="1" t="s">
        <v>181</v>
      </c>
      <c r="E140" s="1" t="s">
        <v>1313</v>
      </c>
      <c r="F140" s="122">
        <v>45951.481944444444</v>
      </c>
      <c r="G140" s="1" t="s">
        <v>244</v>
      </c>
      <c r="I140" s="1" t="s">
        <v>1314</v>
      </c>
      <c r="K140" s="1" t="s">
        <v>1315</v>
      </c>
      <c r="M140" s="1" t="s">
        <v>206</v>
      </c>
      <c r="N140" s="1" t="s">
        <v>1316</v>
      </c>
      <c r="O140" s="1">
        <v>548120</v>
      </c>
      <c r="P140" s="1">
        <v>5830819</v>
      </c>
      <c r="Q140" s="1" t="s">
        <v>1317</v>
      </c>
      <c r="R140" s="1" t="s">
        <v>1318</v>
      </c>
      <c r="S140" s="1" t="s">
        <v>850</v>
      </c>
      <c r="T140" s="1" t="s">
        <v>191</v>
      </c>
      <c r="U140" s="122">
        <v>43736.588888888888</v>
      </c>
      <c r="V140" s="1" t="s">
        <v>192</v>
      </c>
      <c r="W140" s="1" t="s">
        <v>19</v>
      </c>
      <c r="X140" s="1" t="s">
        <v>193</v>
      </c>
      <c r="Z140" s="1" t="s">
        <v>4</v>
      </c>
      <c r="AA140" s="1">
        <v>75774</v>
      </c>
      <c r="AB140" s="1">
        <v>0</v>
      </c>
      <c r="AC140" s="1">
        <v>0</v>
      </c>
      <c r="AD140" s="122">
        <v>45951.522916666669</v>
      </c>
      <c r="AE140" s="122">
        <v>45951.522916666669</v>
      </c>
      <c r="AF140" s="122">
        <v>45951.498611111114</v>
      </c>
      <c r="AG140" s="1">
        <v>0</v>
      </c>
      <c r="AH140" s="1">
        <v>0</v>
      </c>
      <c r="AI140" s="1" t="s">
        <v>195</v>
      </c>
      <c r="AJ140" s="122">
        <v>45951.49722222222</v>
      </c>
      <c r="AK140" s="122">
        <v>45951.49722222222</v>
      </c>
      <c r="AL140" s="1" t="s">
        <v>212</v>
      </c>
      <c r="AO140" s="1" t="s">
        <v>113</v>
      </c>
      <c r="AP140" s="1" t="s">
        <v>1319</v>
      </c>
      <c r="AQ140" s="122">
        <v>45951.499305555553</v>
      </c>
      <c r="AR140" s="1">
        <v>0</v>
      </c>
      <c r="AS140" s="1">
        <v>674.99</v>
      </c>
      <c r="AT140" s="1" t="s">
        <v>198</v>
      </c>
      <c r="AW140" s="1">
        <v>675</v>
      </c>
      <c r="AX140" s="1" t="s">
        <v>1320</v>
      </c>
      <c r="AY140" s="1" t="s">
        <v>1321</v>
      </c>
      <c r="AZ140" s="1" t="s">
        <v>1322</v>
      </c>
      <c r="BA140" s="1" t="s">
        <v>180</v>
      </c>
      <c r="BB140" s="1">
        <v>522001</v>
      </c>
      <c r="BE140" s="1" t="s">
        <v>1323</v>
      </c>
      <c r="BF140" s="122">
        <v>45951.479166666664</v>
      </c>
    </row>
    <row r="141" spans="1:58">
      <c r="A141" s="1">
        <v>134</v>
      </c>
      <c r="B141" s="1" t="s">
        <v>179</v>
      </c>
      <c r="C141" s="1" t="s">
        <v>180</v>
      </c>
      <c r="D141" s="1" t="s">
        <v>181</v>
      </c>
      <c r="E141" s="1" t="s">
        <v>1324</v>
      </c>
      <c r="F141" s="122">
        <v>45951.529166666667</v>
      </c>
      <c r="G141" s="1" t="s">
        <v>244</v>
      </c>
      <c r="I141" s="1" t="s">
        <v>1325</v>
      </c>
      <c r="K141" s="1" t="s">
        <v>1326</v>
      </c>
      <c r="M141" s="1" t="s">
        <v>206</v>
      </c>
      <c r="N141" s="1" t="s">
        <v>1327</v>
      </c>
      <c r="O141" s="1">
        <v>216757</v>
      </c>
      <c r="P141" s="1">
        <v>5005625</v>
      </c>
      <c r="Q141" s="1" t="s">
        <v>271</v>
      </c>
      <c r="R141" s="1" t="s">
        <v>1328</v>
      </c>
      <c r="S141" s="1" t="s">
        <v>273</v>
      </c>
      <c r="T141" s="1" t="s">
        <v>191</v>
      </c>
      <c r="U141" s="122">
        <v>41636.429166666669</v>
      </c>
      <c r="V141" s="1" t="s">
        <v>192</v>
      </c>
      <c r="W141" s="1" t="s">
        <v>19</v>
      </c>
      <c r="X141" s="1" t="s">
        <v>193</v>
      </c>
      <c r="Z141" s="1" t="s">
        <v>4</v>
      </c>
      <c r="AA141" s="1">
        <v>330194</v>
      </c>
      <c r="AB141" s="1">
        <v>0</v>
      </c>
      <c r="AC141" s="1">
        <v>1500</v>
      </c>
      <c r="AD141" s="122">
        <v>45951.770833333336</v>
      </c>
      <c r="AE141" s="122">
        <v>45951.770833333336</v>
      </c>
      <c r="AF141" s="122">
        <v>45951.65902777778</v>
      </c>
      <c r="AG141" s="1">
        <v>1500</v>
      </c>
      <c r="AH141" s="1">
        <v>0</v>
      </c>
      <c r="AI141" s="1" t="s">
        <v>195</v>
      </c>
      <c r="AJ141" s="122">
        <v>45951.652083333334</v>
      </c>
      <c r="AK141" s="122">
        <v>45951.652083333334</v>
      </c>
      <c r="AL141" s="1" t="s">
        <v>212</v>
      </c>
      <c r="AO141" s="1" t="s">
        <v>113</v>
      </c>
      <c r="AP141" s="1" t="s">
        <v>1329</v>
      </c>
      <c r="AQ141" s="122">
        <v>45951.65902777778</v>
      </c>
      <c r="AR141" s="1">
        <v>317.45999999999998</v>
      </c>
      <c r="AS141" s="1">
        <v>1344.98</v>
      </c>
      <c r="AT141" s="1" t="s">
        <v>198</v>
      </c>
      <c r="AW141" s="1">
        <v>1662</v>
      </c>
      <c r="AX141" s="1" t="s">
        <v>1330</v>
      </c>
      <c r="AY141" s="1" t="s">
        <v>1331</v>
      </c>
      <c r="AZ141" s="1" t="s">
        <v>1254</v>
      </c>
      <c r="BA141" s="1" t="s">
        <v>180</v>
      </c>
      <c r="BB141" s="1">
        <v>535002</v>
      </c>
      <c r="BE141" s="1" t="s">
        <v>1332</v>
      </c>
      <c r="BF141" s="122">
        <v>45951.523611111108</v>
      </c>
    </row>
    <row r="142" spans="1:58">
      <c r="A142" s="1">
        <v>135</v>
      </c>
      <c r="B142" s="1" t="s">
        <v>179</v>
      </c>
      <c r="C142" s="1" t="s">
        <v>180</v>
      </c>
      <c r="D142" s="1" t="s">
        <v>181</v>
      </c>
      <c r="E142" s="1" t="s">
        <v>1333</v>
      </c>
      <c r="F142" s="122">
        <v>45951.706944444442</v>
      </c>
      <c r="G142" s="1" t="s">
        <v>244</v>
      </c>
      <c r="H142" s="1" t="s">
        <v>429</v>
      </c>
      <c r="I142" s="1" t="s">
        <v>440</v>
      </c>
      <c r="K142" s="1" t="s">
        <v>441</v>
      </c>
      <c r="M142" s="1" t="s">
        <v>206</v>
      </c>
      <c r="N142" s="1" t="s">
        <v>442</v>
      </c>
      <c r="O142" s="1">
        <v>584326</v>
      </c>
      <c r="P142" s="1">
        <v>4544485</v>
      </c>
      <c r="Q142" s="1" t="s">
        <v>443</v>
      </c>
      <c r="R142" s="1" t="s">
        <v>444</v>
      </c>
      <c r="S142" s="1" t="s">
        <v>262</v>
      </c>
      <c r="T142" s="1" t="s">
        <v>191</v>
      </c>
      <c r="U142" s="122">
        <v>41593.843055555553</v>
      </c>
      <c r="V142" s="1" t="s">
        <v>192</v>
      </c>
      <c r="W142" s="1" t="s">
        <v>19</v>
      </c>
      <c r="X142" s="1" t="s">
        <v>193</v>
      </c>
      <c r="Z142" s="1" t="s">
        <v>4</v>
      </c>
      <c r="AA142" s="1">
        <v>39745</v>
      </c>
      <c r="AB142" s="1">
        <v>0</v>
      </c>
      <c r="AC142" s="1">
        <v>0</v>
      </c>
      <c r="AD142" s="122">
        <v>45951.770833333336</v>
      </c>
      <c r="AE142" s="122">
        <v>45951.770833333336</v>
      </c>
      <c r="AF142" s="122">
        <v>45951.750694444447</v>
      </c>
      <c r="AG142" s="1">
        <v>0</v>
      </c>
      <c r="AH142" s="1">
        <v>0</v>
      </c>
      <c r="AI142" s="1" t="s">
        <v>195</v>
      </c>
      <c r="AJ142" s="122">
        <v>45951.734722222223</v>
      </c>
      <c r="AK142" s="122">
        <v>45951.73541666667</v>
      </c>
      <c r="AL142" s="1" t="s">
        <v>212</v>
      </c>
      <c r="AO142" s="1" t="s">
        <v>113</v>
      </c>
      <c r="AP142" s="1" t="s">
        <v>1334</v>
      </c>
      <c r="AQ142" s="122">
        <v>45951.750694444447</v>
      </c>
      <c r="AR142" s="1">
        <v>678.5</v>
      </c>
      <c r="AS142" s="1">
        <v>0</v>
      </c>
      <c r="AT142" s="1" t="s">
        <v>198</v>
      </c>
      <c r="AW142" s="1">
        <v>679</v>
      </c>
      <c r="AX142" s="1" t="s">
        <v>446</v>
      </c>
      <c r="AY142" s="1" t="s">
        <v>447</v>
      </c>
      <c r="AZ142" s="1" t="s">
        <v>288</v>
      </c>
      <c r="BA142" s="1" t="s">
        <v>180</v>
      </c>
      <c r="BB142" s="1">
        <v>530045</v>
      </c>
      <c r="BC142" s="121">
        <v>23536</v>
      </c>
      <c r="BE142" s="1" t="s">
        <v>448</v>
      </c>
      <c r="BF142" s="122">
        <v>45951.705555555556</v>
      </c>
    </row>
    <row r="143" spans="1:58">
      <c r="A143" s="1">
        <v>136</v>
      </c>
      <c r="B143" s="1" t="s">
        <v>179</v>
      </c>
      <c r="C143" s="1" t="s">
        <v>180</v>
      </c>
      <c r="D143" s="1" t="s">
        <v>181</v>
      </c>
      <c r="E143" s="1" t="s">
        <v>1335</v>
      </c>
      <c r="F143" s="122">
        <v>45951.491666666669</v>
      </c>
      <c r="G143" s="1" t="s">
        <v>218</v>
      </c>
      <c r="I143" s="1" t="s">
        <v>1336</v>
      </c>
      <c r="K143" s="1" t="s">
        <v>1337</v>
      </c>
      <c r="M143" s="1" t="s">
        <v>904</v>
      </c>
      <c r="N143" s="1" t="s">
        <v>1338</v>
      </c>
      <c r="O143" s="1">
        <v>306476</v>
      </c>
      <c r="P143" s="1">
        <v>7178898</v>
      </c>
      <c r="Q143" s="1" t="s">
        <v>303</v>
      </c>
      <c r="R143" s="1" t="s">
        <v>1339</v>
      </c>
      <c r="S143" s="1" t="s">
        <v>1340</v>
      </c>
      <c r="T143" s="1" t="s">
        <v>191</v>
      </c>
      <c r="U143" s="122">
        <v>43298.501388888886</v>
      </c>
      <c r="V143" s="1" t="s">
        <v>192</v>
      </c>
      <c r="W143" s="1" t="s">
        <v>19</v>
      </c>
      <c r="X143" s="1" t="s">
        <v>193</v>
      </c>
      <c r="Z143" s="1" t="s">
        <v>3</v>
      </c>
      <c r="AA143" s="1">
        <v>40498</v>
      </c>
      <c r="AB143" s="1">
        <v>2500</v>
      </c>
      <c r="AC143" s="1">
        <v>3000</v>
      </c>
      <c r="AD143" s="122">
        <v>45951.770138888889</v>
      </c>
      <c r="AE143" s="122">
        <v>45951.770138888889</v>
      </c>
      <c r="AF143" s="122">
        <v>45951.758333333331</v>
      </c>
      <c r="AG143" s="1">
        <v>167</v>
      </c>
      <c r="AH143" s="1">
        <v>2375</v>
      </c>
      <c r="AI143" s="1" t="s">
        <v>195</v>
      </c>
      <c r="AJ143" s="122">
        <v>45951.65</v>
      </c>
      <c r="AK143" s="122">
        <v>45951.650694444441</v>
      </c>
      <c r="AL143" s="1" t="s">
        <v>212</v>
      </c>
      <c r="AO143" s="1" t="s">
        <v>113</v>
      </c>
      <c r="AP143" s="1" t="s">
        <v>1341</v>
      </c>
      <c r="AQ143" s="122">
        <v>45951.758333333331</v>
      </c>
      <c r="AR143" s="1">
        <v>3137.45</v>
      </c>
      <c r="AS143" s="1">
        <v>2184.36</v>
      </c>
      <c r="AT143" s="1" t="s">
        <v>198</v>
      </c>
      <c r="AU143" s="121">
        <v>45951</v>
      </c>
      <c r="AW143" s="1">
        <v>5322</v>
      </c>
      <c r="AX143" s="1" t="s">
        <v>1342</v>
      </c>
      <c r="AY143" s="1" t="s">
        <v>1343</v>
      </c>
      <c r="AZ143" s="1" t="s">
        <v>1344</v>
      </c>
      <c r="BA143" s="1" t="s">
        <v>180</v>
      </c>
      <c r="BB143" s="1">
        <v>500019</v>
      </c>
      <c r="BE143" s="1" t="s">
        <v>1345</v>
      </c>
      <c r="BF143" s="122">
        <v>45951.482638888891</v>
      </c>
    </row>
    <row r="144" spans="1:58">
      <c r="A144" s="1">
        <v>137</v>
      </c>
      <c r="B144" s="1" t="s">
        <v>179</v>
      </c>
      <c r="C144" s="1" t="s">
        <v>180</v>
      </c>
      <c r="D144" s="1" t="s">
        <v>181</v>
      </c>
      <c r="E144" s="1" t="s">
        <v>1346</v>
      </c>
      <c r="F144" s="122">
        <v>45951.518750000003</v>
      </c>
      <c r="G144" s="1" t="s">
        <v>595</v>
      </c>
      <c r="I144" s="1" t="s">
        <v>1347</v>
      </c>
      <c r="K144" s="1" t="s">
        <v>1348</v>
      </c>
      <c r="M144" s="1" t="s">
        <v>206</v>
      </c>
      <c r="N144" s="1" t="s">
        <v>1349</v>
      </c>
      <c r="O144" s="1">
        <v>186745</v>
      </c>
      <c r="P144" s="1">
        <v>7084573</v>
      </c>
      <c r="Q144" s="1" t="s">
        <v>235</v>
      </c>
      <c r="R144" s="1" t="s">
        <v>356</v>
      </c>
      <c r="S144" s="1" t="s">
        <v>357</v>
      </c>
      <c r="T144" s="1" t="s">
        <v>191</v>
      </c>
      <c r="U144" s="122">
        <v>44979.729861111111</v>
      </c>
      <c r="V144" s="1" t="s">
        <v>192</v>
      </c>
      <c r="W144" s="1" t="s">
        <v>19</v>
      </c>
      <c r="X144" s="1" t="s">
        <v>193</v>
      </c>
      <c r="Z144" s="1" t="s">
        <v>602</v>
      </c>
      <c r="AA144" s="1">
        <v>34825</v>
      </c>
      <c r="AB144" s="1">
        <v>0</v>
      </c>
      <c r="AC144" s="1">
        <v>350</v>
      </c>
      <c r="AD144" s="122">
        <v>45951.604166666664</v>
      </c>
      <c r="AE144" s="122">
        <v>45951.604166666664</v>
      </c>
      <c r="AF144" s="122">
        <v>45951.536805555559</v>
      </c>
      <c r="AG144" s="1">
        <v>350</v>
      </c>
      <c r="AH144" s="1">
        <v>0</v>
      </c>
      <c r="AI144" s="1" t="s">
        <v>195</v>
      </c>
      <c r="AJ144" s="122">
        <v>45951.521527777775</v>
      </c>
      <c r="AK144" s="122">
        <v>45951.521527777775</v>
      </c>
      <c r="AL144" s="1" t="s">
        <v>212</v>
      </c>
      <c r="AO144" s="1" t="s">
        <v>113</v>
      </c>
      <c r="AP144" s="1" t="s">
        <v>1350</v>
      </c>
      <c r="AQ144" s="122">
        <v>45951.536805555559</v>
      </c>
      <c r="AR144" s="1">
        <v>0</v>
      </c>
      <c r="AS144" s="1">
        <v>269</v>
      </c>
      <c r="AT144" s="1" t="s">
        <v>198</v>
      </c>
      <c r="AU144" s="121">
        <v>45951</v>
      </c>
      <c r="AW144" s="1">
        <v>269</v>
      </c>
      <c r="AX144" s="1" t="s">
        <v>1351</v>
      </c>
      <c r="AY144" s="1" t="s">
        <v>1352</v>
      </c>
      <c r="AZ144" s="1" t="s">
        <v>180</v>
      </c>
      <c r="BA144" s="1" t="s">
        <v>180</v>
      </c>
      <c r="BB144" s="1">
        <v>530045</v>
      </c>
      <c r="BE144" s="1" t="s">
        <v>1353</v>
      </c>
      <c r="BF144" s="122">
        <v>45951.51666666667</v>
      </c>
    </row>
    <row r="145" spans="1:58">
      <c r="A145" s="1">
        <v>138</v>
      </c>
      <c r="B145" s="1" t="s">
        <v>179</v>
      </c>
      <c r="C145" s="1" t="s">
        <v>180</v>
      </c>
      <c r="D145" s="1" t="s">
        <v>181</v>
      </c>
      <c r="E145" s="1" t="s">
        <v>1354</v>
      </c>
      <c r="F145" s="122">
        <v>45951.605555555558</v>
      </c>
      <c r="G145" s="1" t="s">
        <v>244</v>
      </c>
      <c r="I145" s="1" t="s">
        <v>1355</v>
      </c>
      <c r="K145" s="1" t="s">
        <v>1356</v>
      </c>
      <c r="M145" s="1" t="s">
        <v>233</v>
      </c>
      <c r="N145" s="1" t="s">
        <v>1357</v>
      </c>
      <c r="O145" s="1">
        <v>924255</v>
      </c>
      <c r="P145" s="1">
        <v>4759161</v>
      </c>
      <c r="Q145" s="1" t="s">
        <v>315</v>
      </c>
      <c r="R145" s="1" t="s">
        <v>261</v>
      </c>
      <c r="S145" s="1" t="s">
        <v>262</v>
      </c>
      <c r="T145" s="1" t="s">
        <v>191</v>
      </c>
      <c r="U145" s="122">
        <v>42228.695138888892</v>
      </c>
      <c r="V145" s="1" t="s">
        <v>192</v>
      </c>
      <c r="W145" s="1" t="s">
        <v>19</v>
      </c>
      <c r="X145" s="1" t="s">
        <v>193</v>
      </c>
      <c r="Z145" s="1" t="s">
        <v>4</v>
      </c>
      <c r="AA145" s="1">
        <v>39988</v>
      </c>
      <c r="AB145" s="1">
        <v>0</v>
      </c>
      <c r="AC145" s="1">
        <v>5000</v>
      </c>
      <c r="AD145" s="122">
        <v>45951.6875</v>
      </c>
      <c r="AE145" s="122">
        <v>45951.6875</v>
      </c>
      <c r="AF145" s="122">
        <v>45951.763194444444</v>
      </c>
      <c r="AG145" s="1">
        <v>5000</v>
      </c>
      <c r="AH145" s="1">
        <v>0</v>
      </c>
      <c r="AI145" s="1" t="s">
        <v>195</v>
      </c>
      <c r="AJ145" s="122">
        <v>45951.643750000003</v>
      </c>
      <c r="AK145" s="122">
        <v>45951.643750000003</v>
      </c>
      <c r="AL145" s="1" t="s">
        <v>212</v>
      </c>
      <c r="AO145" s="1" t="s">
        <v>113</v>
      </c>
      <c r="AP145" s="1" t="s">
        <v>1358</v>
      </c>
      <c r="AQ145" s="122">
        <v>45951.76666666667</v>
      </c>
      <c r="AR145" s="1">
        <v>0</v>
      </c>
      <c r="AS145" s="1">
        <v>5091</v>
      </c>
      <c r="AT145" s="1" t="s">
        <v>198</v>
      </c>
      <c r="AW145" s="1">
        <v>5091</v>
      </c>
      <c r="AX145" s="1" t="s">
        <v>1359</v>
      </c>
      <c r="AY145" s="1" t="s">
        <v>1360</v>
      </c>
      <c r="AZ145" s="1" t="s">
        <v>1361</v>
      </c>
      <c r="BA145" s="1" t="s">
        <v>180</v>
      </c>
      <c r="BB145" s="1">
        <v>535002</v>
      </c>
      <c r="BC145" s="121">
        <v>22082</v>
      </c>
      <c r="BE145" s="1" t="s">
        <v>1362</v>
      </c>
      <c r="BF145" s="122">
        <v>45951.603472222225</v>
      </c>
    </row>
    <row r="146" spans="1:58">
      <c r="A146" s="1">
        <v>139</v>
      </c>
      <c r="B146" s="1" t="s">
        <v>179</v>
      </c>
      <c r="C146" s="1" t="s">
        <v>180</v>
      </c>
      <c r="D146" s="1" t="s">
        <v>181</v>
      </c>
      <c r="E146" s="1" t="s">
        <v>1363</v>
      </c>
      <c r="F146" s="122">
        <v>45951.433333333334</v>
      </c>
      <c r="G146" s="1" t="s">
        <v>244</v>
      </c>
      <c r="I146" s="1" t="s">
        <v>1364</v>
      </c>
      <c r="K146" s="1" t="s">
        <v>1365</v>
      </c>
      <c r="M146" s="1" t="s">
        <v>206</v>
      </c>
      <c r="N146" s="1" t="s">
        <v>1366</v>
      </c>
      <c r="O146" s="1">
        <v>625124</v>
      </c>
      <c r="P146" s="1">
        <v>1249230</v>
      </c>
      <c r="Q146" s="1" t="s">
        <v>235</v>
      </c>
      <c r="R146" s="1" t="s">
        <v>718</v>
      </c>
      <c r="S146" s="1" t="s">
        <v>225</v>
      </c>
      <c r="T146" s="1" t="s">
        <v>191</v>
      </c>
      <c r="U146" s="122">
        <v>44082.752083333333</v>
      </c>
      <c r="V146" s="1" t="s">
        <v>192</v>
      </c>
      <c r="W146" s="1" t="s">
        <v>19</v>
      </c>
      <c r="X146" s="1" t="s">
        <v>193</v>
      </c>
      <c r="Z146" s="1" t="s">
        <v>4</v>
      </c>
      <c r="AA146" s="1">
        <v>40878</v>
      </c>
      <c r="AB146" s="1">
        <v>1600</v>
      </c>
      <c r="AC146" s="1">
        <v>400</v>
      </c>
      <c r="AD146" s="122">
        <v>45951.729166666664</v>
      </c>
      <c r="AE146" s="122">
        <v>45951.729166666664</v>
      </c>
      <c r="AF146" s="122">
        <v>45951.727083333331</v>
      </c>
      <c r="AG146" s="1">
        <v>400</v>
      </c>
      <c r="AH146" s="1">
        <v>0</v>
      </c>
      <c r="AI146" s="1" t="s">
        <v>195</v>
      </c>
      <c r="AJ146" s="122">
        <v>45951.647916666669</v>
      </c>
      <c r="AK146" s="122">
        <v>45951.647916666669</v>
      </c>
      <c r="AL146" s="1" t="s">
        <v>212</v>
      </c>
      <c r="AO146" s="1" t="s">
        <v>113</v>
      </c>
      <c r="AP146" s="1" t="s">
        <v>1367</v>
      </c>
      <c r="AQ146" s="122">
        <v>45951.727777777778</v>
      </c>
      <c r="AR146" s="1">
        <v>1410.1</v>
      </c>
      <c r="AS146" s="1">
        <v>2036.99</v>
      </c>
      <c r="AT146" s="1" t="s">
        <v>198</v>
      </c>
      <c r="AU146" s="121">
        <v>45951</v>
      </c>
      <c r="AW146" s="1">
        <v>3447</v>
      </c>
      <c r="AX146" s="1" t="s">
        <v>1368</v>
      </c>
      <c r="AY146" s="1" t="s">
        <v>1369</v>
      </c>
      <c r="AZ146" s="1" t="s">
        <v>1370</v>
      </c>
      <c r="BA146" s="1" t="s">
        <v>180</v>
      </c>
      <c r="BB146" s="1">
        <v>530013</v>
      </c>
      <c r="BF146" s="122">
        <v>45951.422222222223</v>
      </c>
    </row>
    <row r="147" spans="1:58">
      <c r="A147" s="1">
        <v>140</v>
      </c>
      <c r="B147" s="1" t="s">
        <v>179</v>
      </c>
      <c r="C147" s="1" t="s">
        <v>180</v>
      </c>
      <c r="D147" s="1" t="s">
        <v>181</v>
      </c>
      <c r="E147" s="1" t="s">
        <v>1371</v>
      </c>
      <c r="F147" s="122">
        <v>45948.48541666667</v>
      </c>
      <c r="G147" s="1" t="s">
        <v>1012</v>
      </c>
      <c r="I147" s="1" t="s">
        <v>1372</v>
      </c>
      <c r="K147" s="1" t="s">
        <v>1373</v>
      </c>
      <c r="M147" s="1" t="s">
        <v>206</v>
      </c>
      <c r="N147" s="1" t="s">
        <v>1374</v>
      </c>
      <c r="O147" s="1">
        <v>550409</v>
      </c>
      <c r="P147" s="1">
        <v>7475214</v>
      </c>
      <c r="Q147" s="1" t="s">
        <v>293</v>
      </c>
      <c r="R147" s="1" t="s">
        <v>1375</v>
      </c>
      <c r="S147" s="1" t="s">
        <v>1376</v>
      </c>
      <c r="T147" s="1" t="s">
        <v>191</v>
      </c>
      <c r="U147" s="122">
        <v>45409.757638888892</v>
      </c>
      <c r="V147" s="1" t="s">
        <v>192</v>
      </c>
      <c r="W147" s="1" t="s">
        <v>19</v>
      </c>
      <c r="X147" s="1" t="s">
        <v>193</v>
      </c>
      <c r="Z147" s="1" t="s">
        <v>23</v>
      </c>
      <c r="AA147" s="1">
        <v>47288</v>
      </c>
      <c r="AB147" s="1">
        <v>0</v>
      </c>
      <c r="AC147" s="1">
        <v>0</v>
      </c>
      <c r="AD147" s="122">
        <v>45948.688194444447</v>
      </c>
      <c r="AE147" s="122">
        <v>45948.688194444447</v>
      </c>
      <c r="AF147" s="122">
        <v>45951.388888888891</v>
      </c>
      <c r="AG147" s="1">
        <v>0</v>
      </c>
      <c r="AH147" s="1">
        <v>0</v>
      </c>
      <c r="AI147" s="1" t="s">
        <v>195</v>
      </c>
      <c r="AL147" s="1" t="s">
        <v>196</v>
      </c>
      <c r="AO147" s="1" t="s">
        <v>113</v>
      </c>
      <c r="AP147" s="1" t="s">
        <v>1377</v>
      </c>
      <c r="AQ147" s="122">
        <v>45951.388888888891</v>
      </c>
      <c r="AR147" s="1">
        <v>0</v>
      </c>
      <c r="AS147" s="1">
        <v>0</v>
      </c>
      <c r="AT147" s="1" t="s">
        <v>198</v>
      </c>
      <c r="AW147" s="1">
        <v>0</v>
      </c>
      <c r="AX147" s="1" t="s">
        <v>1378</v>
      </c>
      <c r="AY147" s="1" t="s">
        <v>1379</v>
      </c>
      <c r="AZ147" s="1" t="s">
        <v>1380</v>
      </c>
      <c r="BA147" s="1" t="s">
        <v>180</v>
      </c>
      <c r="BB147" s="1">
        <v>532122</v>
      </c>
      <c r="BF147" s="122">
        <v>45948.48333333333</v>
      </c>
    </row>
    <row r="148" spans="1:58">
      <c r="A148" s="1">
        <v>141</v>
      </c>
      <c r="B148" s="1" t="s">
        <v>179</v>
      </c>
      <c r="C148" s="1" t="s">
        <v>180</v>
      </c>
      <c r="D148" s="1" t="s">
        <v>181</v>
      </c>
      <c r="E148" s="1" t="s">
        <v>1381</v>
      </c>
      <c r="F148" s="122">
        <v>45951.508333333331</v>
      </c>
      <c r="G148" s="1" t="s">
        <v>279</v>
      </c>
      <c r="I148" s="1" t="s">
        <v>1347</v>
      </c>
      <c r="K148" s="1" t="s">
        <v>1348</v>
      </c>
      <c r="M148" s="1" t="s">
        <v>206</v>
      </c>
      <c r="N148" s="1" t="s">
        <v>1349</v>
      </c>
      <c r="O148" s="1">
        <v>186745</v>
      </c>
      <c r="P148" s="1">
        <v>7084573</v>
      </c>
      <c r="Q148" s="1" t="s">
        <v>235</v>
      </c>
      <c r="R148" s="1" t="s">
        <v>356</v>
      </c>
      <c r="S148" s="1" t="s">
        <v>357</v>
      </c>
      <c r="T148" s="1" t="s">
        <v>191</v>
      </c>
      <c r="U148" s="122">
        <v>44979.729861111111</v>
      </c>
      <c r="V148" s="1" t="s">
        <v>192</v>
      </c>
      <c r="W148" s="1" t="s">
        <v>19</v>
      </c>
      <c r="X148" s="1" t="s">
        <v>193</v>
      </c>
      <c r="Z148" s="1" t="s">
        <v>284</v>
      </c>
      <c r="AA148" s="1">
        <v>34825</v>
      </c>
      <c r="AB148" s="1">
        <v>0</v>
      </c>
      <c r="AC148" s="1">
        <v>0</v>
      </c>
      <c r="AD148" s="122">
        <v>45951.5625</v>
      </c>
      <c r="AE148" s="122">
        <v>45951.5625</v>
      </c>
      <c r="AF148" s="122">
        <v>45951.512499999997</v>
      </c>
      <c r="AG148" s="1">
        <v>0</v>
      </c>
      <c r="AH148" s="1">
        <v>0</v>
      </c>
      <c r="AI148" s="1" t="s">
        <v>195</v>
      </c>
      <c r="AL148" s="1" t="s">
        <v>196</v>
      </c>
      <c r="AO148" s="1" t="s">
        <v>113</v>
      </c>
      <c r="AP148" s="1" t="s">
        <v>1382</v>
      </c>
      <c r="AQ148" s="122">
        <v>45951.512499999997</v>
      </c>
      <c r="AR148" s="1">
        <v>0</v>
      </c>
      <c r="AS148" s="1">
        <v>0</v>
      </c>
      <c r="AT148" s="1" t="s">
        <v>198</v>
      </c>
      <c r="AW148" s="1">
        <v>0</v>
      </c>
      <c r="AX148" s="1" t="s">
        <v>1351</v>
      </c>
      <c r="AY148" s="1" t="s">
        <v>1352</v>
      </c>
      <c r="AZ148" s="1" t="s">
        <v>180</v>
      </c>
      <c r="BA148" s="1" t="s">
        <v>180</v>
      </c>
      <c r="BB148" s="1">
        <v>530045</v>
      </c>
      <c r="BE148" s="1" t="s">
        <v>1353</v>
      </c>
      <c r="BF148" s="122">
        <v>45951.505555555559</v>
      </c>
    </row>
    <row r="149" spans="1:58">
      <c r="A149" s="1">
        <v>142</v>
      </c>
      <c r="B149" s="1" t="s">
        <v>179</v>
      </c>
      <c r="C149" s="1" t="s">
        <v>180</v>
      </c>
      <c r="D149" s="1" t="s">
        <v>181</v>
      </c>
      <c r="E149" s="1" t="s">
        <v>1383</v>
      </c>
      <c r="F149" s="122">
        <v>45951.459722222222</v>
      </c>
      <c r="G149" s="1" t="s">
        <v>218</v>
      </c>
      <c r="I149" s="1" t="s">
        <v>1384</v>
      </c>
      <c r="K149" s="1" t="s">
        <v>1385</v>
      </c>
      <c r="M149" s="1" t="s">
        <v>325</v>
      </c>
      <c r="N149" s="1" t="s">
        <v>1386</v>
      </c>
      <c r="O149" s="1">
        <v>853843</v>
      </c>
      <c r="P149" s="1">
        <v>4678618</v>
      </c>
      <c r="Q149" s="1" t="s">
        <v>433</v>
      </c>
      <c r="R149" s="1" t="s">
        <v>1387</v>
      </c>
      <c r="S149" s="1" t="s">
        <v>1388</v>
      </c>
      <c r="T149" s="1" t="s">
        <v>454</v>
      </c>
      <c r="U149" s="122">
        <v>40100.450694444444</v>
      </c>
      <c r="V149" s="1" t="s">
        <v>192</v>
      </c>
      <c r="W149" s="1" t="s">
        <v>19</v>
      </c>
      <c r="X149" s="1" t="s">
        <v>193</v>
      </c>
      <c r="Z149" s="1" t="s">
        <v>3</v>
      </c>
      <c r="AA149" s="1">
        <v>24846</v>
      </c>
      <c r="AB149" s="1">
        <v>3000</v>
      </c>
      <c r="AC149" s="1">
        <v>4500</v>
      </c>
      <c r="AD149" s="122">
        <v>45951.770833333336</v>
      </c>
      <c r="AE149" s="122">
        <v>45951.770833333336</v>
      </c>
      <c r="AF149" s="122">
        <v>45951.722916666666</v>
      </c>
      <c r="AG149" s="1">
        <v>4504.5</v>
      </c>
      <c r="AH149" s="1">
        <v>2115</v>
      </c>
      <c r="AI149" s="1" t="s">
        <v>195</v>
      </c>
      <c r="AJ149" s="122">
        <v>45951.648611111108</v>
      </c>
      <c r="AK149" s="122">
        <v>45951.649305555555</v>
      </c>
      <c r="AL149" s="1" t="s">
        <v>212</v>
      </c>
      <c r="AO149" s="1" t="s">
        <v>113</v>
      </c>
      <c r="AP149" s="1" t="s">
        <v>1389</v>
      </c>
      <c r="AQ149" s="122">
        <v>45951.722916666666</v>
      </c>
      <c r="AR149" s="1">
        <v>2407.79</v>
      </c>
      <c r="AS149" s="1">
        <v>4175.1499999999996</v>
      </c>
      <c r="AT149" s="1" t="s">
        <v>198</v>
      </c>
      <c r="AU149" s="121">
        <v>45951</v>
      </c>
      <c r="AW149" s="1">
        <v>6583</v>
      </c>
      <c r="AX149" s="1" t="s">
        <v>1390</v>
      </c>
      <c r="AY149" s="1" t="s">
        <v>1391</v>
      </c>
      <c r="AZ149" s="1" t="s">
        <v>1392</v>
      </c>
      <c r="BA149" s="1" t="s">
        <v>180</v>
      </c>
      <c r="BB149" s="1">
        <v>500890</v>
      </c>
      <c r="BC149" s="121">
        <v>25591</v>
      </c>
      <c r="BF149" s="122">
        <v>45951.438888888886</v>
      </c>
    </row>
    <row r="150" spans="1:58">
      <c r="A150" s="1">
        <v>143</v>
      </c>
      <c r="B150" s="1" t="s">
        <v>179</v>
      </c>
      <c r="C150" s="1" t="s">
        <v>180</v>
      </c>
      <c r="D150" s="1" t="s">
        <v>181</v>
      </c>
      <c r="E150" s="1" t="s">
        <v>1393</v>
      </c>
      <c r="F150" s="122">
        <v>45952.401388888888</v>
      </c>
      <c r="G150" s="1" t="s">
        <v>651</v>
      </c>
      <c r="I150" s="1" t="s">
        <v>1394</v>
      </c>
      <c r="K150" s="1" t="s">
        <v>1395</v>
      </c>
      <c r="N150" s="1" t="s">
        <v>1396</v>
      </c>
      <c r="O150" s="1" t="s">
        <v>1397</v>
      </c>
      <c r="P150" s="1">
        <v>4766881</v>
      </c>
      <c r="Q150" s="1" t="s">
        <v>1398</v>
      </c>
      <c r="R150" s="1" t="s">
        <v>453</v>
      </c>
      <c r="S150" s="1" t="s">
        <v>368</v>
      </c>
      <c r="U150" s="122">
        <v>45926.722222222219</v>
      </c>
      <c r="V150" s="1" t="s">
        <v>192</v>
      </c>
      <c r="W150" s="1" t="s">
        <v>21</v>
      </c>
      <c r="X150" s="1" t="s">
        <v>193</v>
      </c>
      <c r="Z150" s="1" t="s">
        <v>658</v>
      </c>
      <c r="AA150" s="1">
        <v>1403</v>
      </c>
      <c r="AB150" s="1">
        <v>0</v>
      </c>
      <c r="AC150" s="1">
        <v>80</v>
      </c>
      <c r="AD150" s="122">
        <v>45952.520833333336</v>
      </c>
      <c r="AE150" s="122">
        <v>45952.5625</v>
      </c>
      <c r="AF150" s="122">
        <v>45952.538194444445</v>
      </c>
      <c r="AG150" s="1">
        <v>80</v>
      </c>
      <c r="AH150" s="1">
        <v>0</v>
      </c>
      <c r="AI150" s="1" t="s">
        <v>195</v>
      </c>
      <c r="AJ150" s="122">
        <v>45952.534722222219</v>
      </c>
      <c r="AK150" s="122">
        <v>45952.534722222219</v>
      </c>
      <c r="AL150" s="1" t="s">
        <v>212</v>
      </c>
      <c r="AO150" s="1" t="s">
        <v>113</v>
      </c>
      <c r="AP150" s="1" t="s">
        <v>1399</v>
      </c>
      <c r="AQ150" s="122">
        <v>45952.538194444445</v>
      </c>
      <c r="AR150" s="1">
        <v>0</v>
      </c>
      <c r="AS150" s="1">
        <v>0</v>
      </c>
      <c r="AT150" s="1" t="s">
        <v>198</v>
      </c>
      <c r="AW150" s="1">
        <v>0</v>
      </c>
      <c r="AX150" s="1" t="s">
        <v>1400</v>
      </c>
      <c r="AY150" s="1" t="s">
        <v>1401</v>
      </c>
      <c r="AZ150" s="1" t="s">
        <v>1402</v>
      </c>
      <c r="BA150" s="1" t="s">
        <v>180</v>
      </c>
      <c r="BB150" s="1">
        <v>530047</v>
      </c>
      <c r="BE150" s="1" t="s">
        <v>1403</v>
      </c>
      <c r="BF150" s="122">
        <v>45952.4</v>
      </c>
    </row>
    <row r="151" spans="1:58">
      <c r="A151" s="1">
        <v>144</v>
      </c>
      <c r="B151" s="1" t="s">
        <v>179</v>
      </c>
      <c r="C151" s="1" t="s">
        <v>180</v>
      </c>
      <c r="D151" s="1" t="s">
        <v>181</v>
      </c>
      <c r="E151" s="1" t="s">
        <v>1404</v>
      </c>
      <c r="F151" s="122">
        <v>45952.314583333333</v>
      </c>
      <c r="G151" s="1" t="s">
        <v>218</v>
      </c>
      <c r="I151" s="1" t="s">
        <v>1405</v>
      </c>
      <c r="K151" s="1" t="s">
        <v>1406</v>
      </c>
      <c r="M151" s="1" t="s">
        <v>206</v>
      </c>
      <c r="N151" s="1" t="s">
        <v>1407</v>
      </c>
      <c r="O151" s="1">
        <v>189463</v>
      </c>
      <c r="P151" s="1">
        <v>1026121</v>
      </c>
      <c r="Q151" s="1" t="s">
        <v>235</v>
      </c>
      <c r="R151" s="1" t="s">
        <v>1408</v>
      </c>
      <c r="S151" s="1" t="s">
        <v>1409</v>
      </c>
      <c r="T151" s="1" t="s">
        <v>191</v>
      </c>
      <c r="U151" s="122">
        <v>43756.797222222223</v>
      </c>
      <c r="V151" s="1" t="s">
        <v>192</v>
      </c>
      <c r="W151" s="1" t="s">
        <v>19</v>
      </c>
      <c r="X151" s="1" t="s">
        <v>193</v>
      </c>
      <c r="Z151" s="1" t="s">
        <v>3</v>
      </c>
      <c r="AA151" s="1">
        <v>95008</v>
      </c>
      <c r="AB151" s="1">
        <v>4000</v>
      </c>
      <c r="AC151" s="1">
        <v>7000</v>
      </c>
      <c r="AD151" s="122">
        <v>45952.645833333336</v>
      </c>
      <c r="AE151" s="122">
        <v>45952.645833333336</v>
      </c>
      <c r="AF151" s="122">
        <v>45952.760416666664</v>
      </c>
      <c r="AG151" s="1">
        <v>5220.7</v>
      </c>
      <c r="AH151" s="1">
        <v>2760</v>
      </c>
      <c r="AI151" s="1" t="s">
        <v>195</v>
      </c>
      <c r="AJ151" s="122">
        <v>45952.316666666666</v>
      </c>
      <c r="AK151" s="122">
        <v>45952.317361111112</v>
      </c>
      <c r="AL151" s="1" t="s">
        <v>212</v>
      </c>
      <c r="AO151" s="1" t="s">
        <v>113</v>
      </c>
      <c r="AP151" s="1" t="s">
        <v>1410</v>
      </c>
      <c r="AQ151" s="122">
        <v>45952.760416666664</v>
      </c>
      <c r="AR151" s="1">
        <v>3223.8</v>
      </c>
      <c r="AS151" s="1">
        <v>6948.43</v>
      </c>
      <c r="AT151" s="1" t="s">
        <v>198</v>
      </c>
      <c r="AU151" s="121">
        <v>45952</v>
      </c>
      <c r="AW151" s="1">
        <v>10172</v>
      </c>
      <c r="AX151" s="1" t="s">
        <v>1411</v>
      </c>
      <c r="AY151" s="1" t="s">
        <v>1412</v>
      </c>
      <c r="AZ151" s="1" t="s">
        <v>1413</v>
      </c>
      <c r="BA151" s="1" t="s">
        <v>180</v>
      </c>
      <c r="BB151" s="1">
        <v>534007</v>
      </c>
      <c r="BE151" s="1" t="s">
        <v>1414</v>
      </c>
      <c r="BF151" s="122">
        <v>45952.311111111114</v>
      </c>
    </row>
    <row r="152" spans="1:58">
      <c r="A152" s="1">
        <v>145</v>
      </c>
      <c r="B152" s="1" t="s">
        <v>179</v>
      </c>
      <c r="C152" s="1" t="s">
        <v>180</v>
      </c>
      <c r="D152" s="1" t="s">
        <v>181</v>
      </c>
      <c r="E152" s="1" t="s">
        <v>1415</v>
      </c>
      <c r="F152" s="122">
        <v>45952.767361111109</v>
      </c>
      <c r="G152" s="1" t="s">
        <v>279</v>
      </c>
      <c r="I152" s="1" t="s">
        <v>1416</v>
      </c>
      <c r="K152" s="1" t="s">
        <v>1417</v>
      </c>
      <c r="M152" s="1" t="s">
        <v>206</v>
      </c>
      <c r="N152" s="1" t="s">
        <v>1418</v>
      </c>
      <c r="O152" s="1">
        <v>937135</v>
      </c>
      <c r="P152" s="1">
        <v>9665633</v>
      </c>
      <c r="Q152" s="1" t="s">
        <v>248</v>
      </c>
      <c r="R152" s="1" t="s">
        <v>294</v>
      </c>
      <c r="S152" s="1" t="s">
        <v>237</v>
      </c>
      <c r="T152" s="1" t="s">
        <v>191</v>
      </c>
      <c r="U152" s="122">
        <v>45645.728472222225</v>
      </c>
      <c r="V152" s="1" t="s">
        <v>192</v>
      </c>
      <c r="W152" s="1" t="s">
        <v>19</v>
      </c>
      <c r="X152" s="1" t="s">
        <v>193</v>
      </c>
      <c r="Z152" s="1" t="s">
        <v>284</v>
      </c>
      <c r="AA152" s="1">
        <v>22658</v>
      </c>
      <c r="AB152" s="1">
        <v>250</v>
      </c>
      <c r="AC152" s="1">
        <v>0</v>
      </c>
      <c r="AD152" s="122">
        <v>45952.8125</v>
      </c>
      <c r="AE152" s="122">
        <v>45952.8125</v>
      </c>
      <c r="AF152" s="122">
        <v>45952.795138888891</v>
      </c>
      <c r="AG152" s="1">
        <v>0</v>
      </c>
      <c r="AH152" s="1">
        <v>250</v>
      </c>
      <c r="AI152" s="1" t="s">
        <v>195</v>
      </c>
      <c r="AL152" s="1" t="s">
        <v>196</v>
      </c>
      <c r="AO152" s="1" t="s">
        <v>113</v>
      </c>
      <c r="AP152" s="1" t="s">
        <v>1419</v>
      </c>
      <c r="AQ152" s="122">
        <v>45952.79583333333</v>
      </c>
      <c r="AR152" s="1">
        <v>0</v>
      </c>
      <c r="AS152" s="1">
        <v>0</v>
      </c>
      <c r="AT152" s="1" t="s">
        <v>198</v>
      </c>
      <c r="AW152" s="1">
        <v>0</v>
      </c>
      <c r="AX152" s="1" t="s">
        <v>1420</v>
      </c>
      <c r="AY152" s="1" t="s">
        <v>1421</v>
      </c>
      <c r="AZ152" s="1" t="s">
        <v>1422</v>
      </c>
      <c r="BA152" s="1" t="s">
        <v>180</v>
      </c>
      <c r="BB152" s="1">
        <v>530046</v>
      </c>
      <c r="BE152" s="1" t="s">
        <v>1423</v>
      </c>
      <c r="BF152" s="122">
        <v>45952.763888888891</v>
      </c>
    </row>
    <row r="153" spans="1:58">
      <c r="A153" s="1">
        <v>146</v>
      </c>
      <c r="B153" s="1" t="s">
        <v>179</v>
      </c>
      <c r="C153" s="1" t="s">
        <v>180</v>
      </c>
      <c r="D153" s="1" t="s">
        <v>181</v>
      </c>
      <c r="E153" s="1" t="s">
        <v>1424</v>
      </c>
      <c r="F153" s="122">
        <v>45952.722222222219</v>
      </c>
      <c r="G153" s="1" t="s">
        <v>244</v>
      </c>
      <c r="I153" s="1" t="s">
        <v>1425</v>
      </c>
      <c r="K153" s="1" t="s">
        <v>1426</v>
      </c>
      <c r="M153" s="1" t="s">
        <v>186</v>
      </c>
      <c r="N153" s="1" t="s">
        <v>1427</v>
      </c>
      <c r="O153" s="1">
        <v>232211</v>
      </c>
      <c r="P153" s="1">
        <v>7456691</v>
      </c>
      <c r="Q153" s="1" t="s">
        <v>293</v>
      </c>
      <c r="R153" s="1" t="s">
        <v>189</v>
      </c>
      <c r="S153" s="1" t="s">
        <v>190</v>
      </c>
      <c r="T153" s="1" t="s">
        <v>191</v>
      </c>
      <c r="U153" s="122">
        <v>45594.524305555555</v>
      </c>
      <c r="V153" s="1" t="s">
        <v>192</v>
      </c>
      <c r="W153" s="1" t="s">
        <v>21</v>
      </c>
      <c r="X153" s="1" t="s">
        <v>193</v>
      </c>
      <c r="Z153" s="1" t="s">
        <v>4</v>
      </c>
      <c r="AA153" s="1">
        <v>8471</v>
      </c>
      <c r="AB153" s="1">
        <v>1100</v>
      </c>
      <c r="AC153" s="1">
        <v>200</v>
      </c>
      <c r="AD153" s="122">
        <v>45952.770833333336</v>
      </c>
      <c r="AE153" s="122">
        <v>45952.770833333336</v>
      </c>
      <c r="AF153" s="122">
        <v>45952.725694444445</v>
      </c>
      <c r="AG153" s="1">
        <v>200</v>
      </c>
      <c r="AH153" s="1">
        <v>1100</v>
      </c>
      <c r="AI153" s="1" t="s">
        <v>195</v>
      </c>
      <c r="AL153" s="1" t="s">
        <v>196</v>
      </c>
      <c r="AO153" s="1" t="s">
        <v>113</v>
      </c>
      <c r="AP153" s="1" t="s">
        <v>1428</v>
      </c>
      <c r="AQ153" s="122">
        <v>45952.725694444445</v>
      </c>
      <c r="AR153" s="1">
        <v>1050.2</v>
      </c>
      <c r="AS153" s="1">
        <v>109.49</v>
      </c>
      <c r="AT153" s="1" t="s">
        <v>198</v>
      </c>
      <c r="AW153" s="1">
        <v>1160</v>
      </c>
      <c r="AX153" s="1" t="s">
        <v>1429</v>
      </c>
      <c r="AY153" s="1" t="s">
        <v>1430</v>
      </c>
      <c r="AZ153" s="1" t="s">
        <v>1431</v>
      </c>
      <c r="BA153" s="1" t="s">
        <v>180</v>
      </c>
      <c r="BB153" s="1">
        <v>531031</v>
      </c>
      <c r="BE153" s="1" t="s">
        <v>1403</v>
      </c>
      <c r="BF153" s="122">
        <v>45952.720138888886</v>
      </c>
    </row>
    <row r="154" spans="1:58">
      <c r="A154" s="1">
        <v>147</v>
      </c>
      <c r="B154" s="1" t="s">
        <v>179</v>
      </c>
      <c r="C154" s="1" t="s">
        <v>180</v>
      </c>
      <c r="D154" s="1" t="s">
        <v>181</v>
      </c>
      <c r="E154" s="1" t="s">
        <v>1432</v>
      </c>
      <c r="F154" s="122">
        <v>45952.488888888889</v>
      </c>
      <c r="G154" s="1" t="s">
        <v>244</v>
      </c>
      <c r="H154" s="1" t="s">
        <v>471</v>
      </c>
      <c r="I154" s="1" t="s">
        <v>902</v>
      </c>
      <c r="K154" s="1" t="s">
        <v>903</v>
      </c>
      <c r="M154" s="1" t="s">
        <v>408</v>
      </c>
      <c r="N154" s="1" t="s">
        <v>905</v>
      </c>
      <c r="O154" s="1">
        <v>374254</v>
      </c>
      <c r="P154" s="1">
        <v>4329844</v>
      </c>
      <c r="Q154" s="1" t="s">
        <v>271</v>
      </c>
      <c r="R154" s="1" t="s">
        <v>304</v>
      </c>
      <c r="S154" s="1" t="s">
        <v>250</v>
      </c>
      <c r="T154" s="1" t="s">
        <v>454</v>
      </c>
      <c r="U154" s="122">
        <v>43020.607638888891</v>
      </c>
      <c r="V154" s="1" t="s">
        <v>192</v>
      </c>
      <c r="W154" s="1" t="s">
        <v>19</v>
      </c>
      <c r="X154" s="1" t="s">
        <v>193</v>
      </c>
      <c r="Z154" s="1" t="s">
        <v>4</v>
      </c>
      <c r="AA154" s="1">
        <v>60533</v>
      </c>
      <c r="AB154" s="1">
        <v>500</v>
      </c>
      <c r="AC154" s="1">
        <v>2500</v>
      </c>
      <c r="AD154" s="122">
        <v>45952.520833333336</v>
      </c>
      <c r="AE154" s="122">
        <v>45952.520833333336</v>
      </c>
      <c r="AF154" s="122">
        <v>45952.53402777778</v>
      </c>
      <c r="AG154" s="1">
        <v>2500</v>
      </c>
      <c r="AH154" s="1">
        <v>0</v>
      </c>
      <c r="AI154" s="1" t="s">
        <v>195</v>
      </c>
      <c r="AJ154" s="122">
        <v>45952.500694444447</v>
      </c>
      <c r="AK154" s="122">
        <v>45952.501388888886</v>
      </c>
      <c r="AL154" s="1" t="s">
        <v>212</v>
      </c>
      <c r="AO154" s="1" t="s">
        <v>113</v>
      </c>
      <c r="AP154" s="1" t="s">
        <v>1433</v>
      </c>
      <c r="AQ154" s="122">
        <v>45952.534722222219</v>
      </c>
      <c r="AR154" s="1">
        <v>366.4</v>
      </c>
      <c r="AS154" s="1">
        <v>2117.61</v>
      </c>
      <c r="AT154" s="1" t="s">
        <v>198</v>
      </c>
      <c r="AW154" s="1">
        <v>2484</v>
      </c>
      <c r="AX154" s="1" t="s">
        <v>907</v>
      </c>
      <c r="AY154" s="1" t="s">
        <v>908</v>
      </c>
      <c r="AZ154" s="1" t="s">
        <v>909</v>
      </c>
      <c r="BA154" s="1" t="s">
        <v>180</v>
      </c>
      <c r="BB154" s="1">
        <v>535002</v>
      </c>
      <c r="BF154" s="122">
        <v>45952.486805555556</v>
      </c>
    </row>
    <row r="155" spans="1:58">
      <c r="A155" s="1">
        <v>148</v>
      </c>
      <c r="B155" s="1" t="s">
        <v>179</v>
      </c>
      <c r="C155" s="1" t="s">
        <v>180</v>
      </c>
      <c r="D155" s="1" t="s">
        <v>181</v>
      </c>
      <c r="E155" s="1" t="s">
        <v>1434</v>
      </c>
      <c r="F155" s="122">
        <v>45952.613888888889</v>
      </c>
      <c r="G155" s="1" t="s">
        <v>203</v>
      </c>
      <c r="I155" s="1" t="s">
        <v>1425</v>
      </c>
      <c r="K155" s="1" t="s">
        <v>1426</v>
      </c>
      <c r="M155" s="1" t="s">
        <v>186</v>
      </c>
      <c r="N155" s="1" t="s">
        <v>1427</v>
      </c>
      <c r="O155" s="1">
        <v>232211</v>
      </c>
      <c r="P155" s="1">
        <v>7456691</v>
      </c>
      <c r="Q155" s="1" t="s">
        <v>293</v>
      </c>
      <c r="R155" s="1" t="s">
        <v>189</v>
      </c>
      <c r="S155" s="1" t="s">
        <v>190</v>
      </c>
      <c r="T155" s="1" t="s">
        <v>191</v>
      </c>
      <c r="U155" s="122">
        <v>45594.524305555555</v>
      </c>
      <c r="V155" s="1" t="s">
        <v>192</v>
      </c>
      <c r="W155" s="1" t="s">
        <v>21</v>
      </c>
      <c r="X155" s="1" t="s">
        <v>193</v>
      </c>
      <c r="Z155" s="1" t="s">
        <v>211</v>
      </c>
      <c r="AA155" s="1">
        <v>8470</v>
      </c>
      <c r="AB155" s="1">
        <v>1000</v>
      </c>
      <c r="AC155" s="1">
        <v>3500</v>
      </c>
      <c r="AD155" s="122">
        <v>45952.770833333336</v>
      </c>
      <c r="AE155" s="122">
        <v>45952.770833333336</v>
      </c>
      <c r="AF155" s="122">
        <v>45952.71875</v>
      </c>
      <c r="AG155" s="1">
        <v>1886</v>
      </c>
      <c r="AH155" s="1">
        <v>0</v>
      </c>
      <c r="AI155" s="1" t="s">
        <v>195</v>
      </c>
      <c r="AJ155" s="122">
        <v>45952.71597222222</v>
      </c>
      <c r="AK155" s="122">
        <v>45952.71597222222</v>
      </c>
      <c r="AL155" s="1" t="s">
        <v>212</v>
      </c>
      <c r="AO155" s="1" t="s">
        <v>113</v>
      </c>
      <c r="AP155" s="1" t="s">
        <v>1435</v>
      </c>
      <c r="AQ155" s="122">
        <v>45952.71875</v>
      </c>
      <c r="AR155" s="1">
        <v>0</v>
      </c>
      <c r="AS155" s="1">
        <v>2657.89</v>
      </c>
      <c r="AT155" s="1" t="s">
        <v>198</v>
      </c>
      <c r="AW155" s="1">
        <v>2658</v>
      </c>
      <c r="AX155" s="1" t="s">
        <v>1429</v>
      </c>
      <c r="AY155" s="1" t="s">
        <v>1430</v>
      </c>
      <c r="AZ155" s="1" t="s">
        <v>1431</v>
      </c>
      <c r="BA155" s="1" t="s">
        <v>180</v>
      </c>
      <c r="BB155" s="1">
        <v>531031</v>
      </c>
      <c r="BE155" s="1" t="s">
        <v>1403</v>
      </c>
      <c r="BF155" s="122">
        <v>45952.611805555556</v>
      </c>
    </row>
    <row r="156" spans="1:58">
      <c r="A156" s="1">
        <v>149</v>
      </c>
      <c r="B156" s="1" t="s">
        <v>179</v>
      </c>
      <c r="C156" s="1" t="s">
        <v>180</v>
      </c>
      <c r="D156" s="1" t="s">
        <v>181</v>
      </c>
      <c r="E156" s="1" t="s">
        <v>1436</v>
      </c>
      <c r="F156" s="122">
        <v>45952.550694444442</v>
      </c>
      <c r="G156" s="1" t="s">
        <v>218</v>
      </c>
      <c r="I156" s="1" t="s">
        <v>1437</v>
      </c>
      <c r="K156" s="1" t="s">
        <v>1438</v>
      </c>
      <c r="M156" s="1" t="s">
        <v>206</v>
      </c>
      <c r="N156" s="1" t="s">
        <v>1439</v>
      </c>
      <c r="O156" s="1">
        <v>366033</v>
      </c>
      <c r="P156" s="1">
        <v>7349248</v>
      </c>
      <c r="Q156" s="1" t="s">
        <v>293</v>
      </c>
      <c r="R156" s="1" t="s">
        <v>820</v>
      </c>
      <c r="S156" s="1" t="s">
        <v>357</v>
      </c>
      <c r="T156" s="1" t="s">
        <v>191</v>
      </c>
      <c r="U156" s="122">
        <v>45342.711805555555</v>
      </c>
      <c r="V156" s="1" t="s">
        <v>192</v>
      </c>
      <c r="W156" s="1" t="s">
        <v>21</v>
      </c>
      <c r="X156" s="1" t="s">
        <v>226</v>
      </c>
      <c r="Z156" s="1" t="s">
        <v>3</v>
      </c>
      <c r="AA156" s="1">
        <v>32097</v>
      </c>
      <c r="AB156" s="1">
        <v>2500</v>
      </c>
      <c r="AC156" s="1">
        <v>3500</v>
      </c>
      <c r="AD156" s="122">
        <v>45952.770833333336</v>
      </c>
      <c r="AE156" s="122">
        <v>45952.8125</v>
      </c>
      <c r="AF156" s="122">
        <v>45952.75</v>
      </c>
      <c r="AG156" s="1">
        <v>2019</v>
      </c>
      <c r="AH156" s="1">
        <v>2140</v>
      </c>
      <c r="AI156" s="1" t="s">
        <v>195</v>
      </c>
      <c r="AJ156" s="122">
        <v>45952.734027777777</v>
      </c>
      <c r="AK156" s="122">
        <v>45952.734722222223</v>
      </c>
      <c r="AL156" s="1" t="s">
        <v>212</v>
      </c>
      <c r="AO156" s="1" t="s">
        <v>113</v>
      </c>
      <c r="AP156" s="1" t="s">
        <v>1440</v>
      </c>
      <c r="AQ156" s="122">
        <v>45952.75</v>
      </c>
      <c r="AR156" s="1">
        <v>1887.2</v>
      </c>
      <c r="AS156" s="1">
        <v>6152.14</v>
      </c>
      <c r="AT156" s="1" t="s">
        <v>198</v>
      </c>
      <c r="AW156" s="1">
        <v>8039</v>
      </c>
      <c r="AX156" s="1" t="s">
        <v>1441</v>
      </c>
      <c r="AY156" s="1" t="s">
        <v>1442</v>
      </c>
      <c r="AZ156" s="1" t="s">
        <v>1443</v>
      </c>
      <c r="BA156" s="1" t="s">
        <v>180</v>
      </c>
      <c r="BB156" s="1">
        <v>530017</v>
      </c>
      <c r="BE156" s="1" t="s">
        <v>1444</v>
      </c>
      <c r="BF156" s="122">
        <v>45952.548611111109</v>
      </c>
    </row>
    <row r="157" spans="1:58">
      <c r="A157" s="1">
        <v>150</v>
      </c>
      <c r="B157" s="1" t="s">
        <v>179</v>
      </c>
      <c r="C157" s="1" t="s">
        <v>180</v>
      </c>
      <c r="D157" s="1" t="s">
        <v>181</v>
      </c>
      <c r="E157" s="1" t="s">
        <v>1445</v>
      </c>
      <c r="F157" s="122">
        <v>45952.442361111112</v>
      </c>
      <c r="G157" s="1" t="s">
        <v>183</v>
      </c>
      <c r="I157" s="1" t="s">
        <v>1446</v>
      </c>
      <c r="K157" s="1" t="s">
        <v>1447</v>
      </c>
      <c r="M157" s="1" t="s">
        <v>206</v>
      </c>
      <c r="N157" s="1" t="s">
        <v>1448</v>
      </c>
      <c r="O157" s="1">
        <v>375385</v>
      </c>
      <c r="P157" s="1">
        <v>1271698</v>
      </c>
      <c r="Q157" s="1" t="s">
        <v>293</v>
      </c>
      <c r="R157" s="1" t="s">
        <v>656</v>
      </c>
      <c r="S157" s="1" t="s">
        <v>657</v>
      </c>
      <c r="T157" s="1" t="s">
        <v>191</v>
      </c>
      <c r="U157" s="122">
        <v>45857.770833333336</v>
      </c>
      <c r="V157" s="1" t="s">
        <v>192</v>
      </c>
      <c r="W157" s="1" t="s">
        <v>19</v>
      </c>
      <c r="X157" s="1" t="s">
        <v>193</v>
      </c>
      <c r="Z157" s="1" t="s">
        <v>194</v>
      </c>
      <c r="AA157" s="1">
        <v>5320</v>
      </c>
      <c r="AB157" s="1">
        <v>0</v>
      </c>
      <c r="AC157" s="1">
        <v>0</v>
      </c>
      <c r="AD157" s="122">
        <v>45952.479166666664</v>
      </c>
      <c r="AE157" s="122">
        <v>45952.479166666664</v>
      </c>
      <c r="AF157" s="122">
        <v>45952.5</v>
      </c>
      <c r="AG157" s="1">
        <v>0</v>
      </c>
      <c r="AH157" s="1">
        <v>0</v>
      </c>
      <c r="AI157" s="1" t="s">
        <v>195</v>
      </c>
      <c r="AJ157" s="122">
        <v>45952.497916666667</v>
      </c>
      <c r="AK157" s="122">
        <v>45952.498611111114</v>
      </c>
      <c r="AL157" s="1" t="s">
        <v>212</v>
      </c>
      <c r="AO157" s="1" t="s">
        <v>113</v>
      </c>
      <c r="AP157" s="1" t="s">
        <v>1449</v>
      </c>
      <c r="AQ157" s="122">
        <v>45952.5</v>
      </c>
      <c r="AR157" s="1">
        <v>0</v>
      </c>
      <c r="AS157" s="1">
        <v>53.96</v>
      </c>
      <c r="AT157" s="1" t="s">
        <v>198</v>
      </c>
      <c r="AU157" s="121">
        <v>45952</v>
      </c>
      <c r="AW157" s="1">
        <v>54</v>
      </c>
      <c r="AX157" s="1" t="s">
        <v>1450</v>
      </c>
      <c r="AY157" s="1" t="s">
        <v>404</v>
      </c>
      <c r="AZ157" s="1" t="s">
        <v>180</v>
      </c>
      <c r="BA157" s="1" t="s">
        <v>180</v>
      </c>
      <c r="BB157" s="1">
        <v>530041</v>
      </c>
      <c r="BF157" s="122">
        <v>45952.439583333333</v>
      </c>
    </row>
    <row r="158" spans="1:58">
      <c r="A158" s="1">
        <v>151</v>
      </c>
      <c r="B158" s="1" t="s">
        <v>179</v>
      </c>
      <c r="C158" s="1" t="s">
        <v>180</v>
      </c>
      <c r="D158" s="1" t="s">
        <v>181</v>
      </c>
      <c r="E158" s="1" t="s">
        <v>1451</v>
      </c>
      <c r="F158" s="122">
        <v>45952.743055555555</v>
      </c>
      <c r="G158" s="1" t="s">
        <v>595</v>
      </c>
      <c r="I158" s="1" t="s">
        <v>353</v>
      </c>
      <c r="K158" s="1" t="s">
        <v>354</v>
      </c>
      <c r="N158" s="1" t="s">
        <v>355</v>
      </c>
      <c r="O158" s="1">
        <v>148074</v>
      </c>
      <c r="P158" s="1">
        <v>7039084</v>
      </c>
      <c r="Q158" s="1" t="s">
        <v>235</v>
      </c>
      <c r="R158" s="1" t="s">
        <v>356</v>
      </c>
      <c r="S158" s="1" t="s">
        <v>357</v>
      </c>
      <c r="T158" s="1" t="s">
        <v>191</v>
      </c>
      <c r="U158" s="122">
        <v>44848.813888888886</v>
      </c>
      <c r="V158" s="1" t="s">
        <v>192</v>
      </c>
      <c r="W158" s="1" t="s">
        <v>19</v>
      </c>
      <c r="X158" s="1" t="s">
        <v>193</v>
      </c>
      <c r="Z158" s="1" t="s">
        <v>602</v>
      </c>
      <c r="AA158" s="1">
        <v>83591</v>
      </c>
      <c r="AB158" s="1">
        <v>0</v>
      </c>
      <c r="AC158" s="1">
        <v>0</v>
      </c>
      <c r="AD158" s="122">
        <v>45952.770833333336</v>
      </c>
      <c r="AE158" s="122">
        <v>45952.770833333336</v>
      </c>
      <c r="AF158" s="122">
        <v>45952.746527777781</v>
      </c>
      <c r="AG158" s="1">
        <v>0</v>
      </c>
      <c r="AH158" s="1">
        <v>0</v>
      </c>
      <c r="AI158" s="1" t="s">
        <v>195</v>
      </c>
      <c r="AJ158" s="122">
        <v>45952.745833333334</v>
      </c>
      <c r="AK158" s="122">
        <v>45952.745833333334</v>
      </c>
      <c r="AL158" s="1" t="s">
        <v>212</v>
      </c>
      <c r="AO158" s="1" t="s">
        <v>113</v>
      </c>
      <c r="AP158" s="1" t="s">
        <v>1452</v>
      </c>
      <c r="AQ158" s="122">
        <v>45952.74722222222</v>
      </c>
      <c r="AR158" s="1">
        <v>0</v>
      </c>
      <c r="AS158" s="1">
        <v>229.99</v>
      </c>
      <c r="AT158" s="1" t="s">
        <v>198</v>
      </c>
      <c r="AW158" s="1">
        <v>230</v>
      </c>
      <c r="AX158" s="1" t="s">
        <v>359</v>
      </c>
      <c r="AY158" s="1" t="s">
        <v>360</v>
      </c>
      <c r="AZ158" s="1" t="s">
        <v>361</v>
      </c>
      <c r="BA158" s="1" t="s">
        <v>180</v>
      </c>
      <c r="BB158" s="1">
        <v>530045</v>
      </c>
      <c r="BE158" s="1" t="s">
        <v>362</v>
      </c>
      <c r="BF158" s="122">
        <v>45952.741666666669</v>
      </c>
    </row>
    <row r="159" spans="1:58">
      <c r="A159" s="1">
        <v>152</v>
      </c>
      <c r="B159" s="1" t="s">
        <v>179</v>
      </c>
      <c r="C159" s="1" t="s">
        <v>180</v>
      </c>
      <c r="D159" s="1" t="s">
        <v>181</v>
      </c>
      <c r="E159" s="1" t="s">
        <v>1453</v>
      </c>
      <c r="F159" s="122">
        <v>45952.720138888886</v>
      </c>
      <c r="G159" s="1" t="s">
        <v>1012</v>
      </c>
      <c r="I159" s="1" t="s">
        <v>1454</v>
      </c>
      <c r="K159" s="1" t="s">
        <v>1438</v>
      </c>
      <c r="M159" s="1" t="s">
        <v>233</v>
      </c>
      <c r="N159" s="1" t="s">
        <v>1455</v>
      </c>
      <c r="O159" s="1">
        <v>177827</v>
      </c>
      <c r="P159" s="1">
        <v>1829321</v>
      </c>
      <c r="Q159" s="1" t="s">
        <v>315</v>
      </c>
      <c r="R159" s="1" t="s">
        <v>867</v>
      </c>
      <c r="S159" s="1" t="s">
        <v>348</v>
      </c>
      <c r="T159" s="1" t="s">
        <v>454</v>
      </c>
      <c r="U159" s="122">
        <v>42055.76666666667</v>
      </c>
      <c r="V159" s="1" t="s">
        <v>558</v>
      </c>
      <c r="W159" s="1" t="s">
        <v>20</v>
      </c>
      <c r="X159" s="1" t="s">
        <v>559</v>
      </c>
      <c r="Z159" s="1" t="s">
        <v>23</v>
      </c>
      <c r="AA159" s="1">
        <v>62485</v>
      </c>
      <c r="AB159" s="1">
        <v>0</v>
      </c>
      <c r="AC159" s="1">
        <v>0</v>
      </c>
      <c r="AD159" s="122">
        <v>45953.720138888886</v>
      </c>
      <c r="AE159" s="122">
        <v>45953.720138888886</v>
      </c>
      <c r="AF159" s="122">
        <v>45952.72152777778</v>
      </c>
      <c r="AG159" s="1">
        <v>0</v>
      </c>
      <c r="AH159" s="1">
        <v>0</v>
      </c>
      <c r="AI159" s="1" t="s">
        <v>195</v>
      </c>
      <c r="AL159" s="1" t="s">
        <v>196</v>
      </c>
      <c r="AO159" s="1" t="s">
        <v>113</v>
      </c>
      <c r="AP159" s="1" t="s">
        <v>1456</v>
      </c>
      <c r="AQ159" s="122">
        <v>45952.72152777778</v>
      </c>
      <c r="AR159" s="1">
        <v>0</v>
      </c>
      <c r="AS159" s="1">
        <v>0</v>
      </c>
      <c r="AT159" s="1" t="s">
        <v>198</v>
      </c>
      <c r="AW159" s="1">
        <v>0</v>
      </c>
      <c r="AX159" s="1" t="s">
        <v>1457</v>
      </c>
      <c r="AY159" s="1" t="s">
        <v>1458</v>
      </c>
      <c r="AZ159" s="1" t="s">
        <v>1459</v>
      </c>
      <c r="BA159" s="1" t="s">
        <v>180</v>
      </c>
      <c r="BB159" s="1">
        <v>530013</v>
      </c>
      <c r="BF159" s="122">
        <v>45952.718055555553</v>
      </c>
    </row>
    <row r="160" spans="1:58">
      <c r="A160" s="1">
        <v>153</v>
      </c>
      <c r="B160" s="1" t="s">
        <v>179</v>
      </c>
      <c r="C160" s="1" t="s">
        <v>180</v>
      </c>
      <c r="D160" s="1" t="s">
        <v>181</v>
      </c>
      <c r="E160" s="1" t="s">
        <v>1460</v>
      </c>
      <c r="F160" s="122">
        <v>45952.324305555558</v>
      </c>
      <c r="G160" s="1" t="s">
        <v>218</v>
      </c>
      <c r="I160" s="1" t="s">
        <v>1461</v>
      </c>
      <c r="K160" s="1" t="s">
        <v>1462</v>
      </c>
      <c r="M160" s="1" t="s">
        <v>206</v>
      </c>
      <c r="N160" s="1" t="s">
        <v>1463</v>
      </c>
      <c r="O160" s="1">
        <v>575209</v>
      </c>
      <c r="P160" s="1">
        <v>9160006</v>
      </c>
      <c r="Q160" s="1" t="s">
        <v>1464</v>
      </c>
      <c r="R160" s="1" t="s">
        <v>697</v>
      </c>
      <c r="S160" s="1" t="s">
        <v>237</v>
      </c>
      <c r="T160" s="1" t="s">
        <v>191</v>
      </c>
      <c r="U160" s="122">
        <v>44939.78402777778</v>
      </c>
      <c r="V160" s="1" t="s">
        <v>192</v>
      </c>
      <c r="W160" s="1" t="s">
        <v>19</v>
      </c>
      <c r="X160" s="1" t="s">
        <v>193</v>
      </c>
      <c r="Z160" s="1" t="s">
        <v>3</v>
      </c>
      <c r="AA160" s="1">
        <v>56028</v>
      </c>
      <c r="AB160" s="1">
        <v>2500</v>
      </c>
      <c r="AC160" s="1">
        <v>3000</v>
      </c>
      <c r="AD160" s="122">
        <v>45952.6875</v>
      </c>
      <c r="AE160" s="122">
        <v>45952.6875</v>
      </c>
      <c r="AF160" s="122">
        <v>45952.775000000001</v>
      </c>
      <c r="AG160" s="1">
        <v>3000</v>
      </c>
      <c r="AH160" s="1">
        <v>570</v>
      </c>
      <c r="AI160" s="1" t="s">
        <v>195</v>
      </c>
      <c r="AJ160" s="122">
        <v>45952.622916666667</v>
      </c>
      <c r="AK160" s="122">
        <v>45952.622916666667</v>
      </c>
      <c r="AL160" s="1" t="s">
        <v>212</v>
      </c>
      <c r="AO160" s="1" t="s">
        <v>113</v>
      </c>
      <c r="AP160" s="1" t="s">
        <v>1465</v>
      </c>
      <c r="AQ160" s="122">
        <v>45952.788194444445</v>
      </c>
      <c r="AR160" s="1">
        <v>1619.56</v>
      </c>
      <c r="AS160" s="1">
        <v>3481.25</v>
      </c>
      <c r="AT160" s="1" t="s">
        <v>198</v>
      </c>
      <c r="AU160" s="121">
        <v>45952</v>
      </c>
      <c r="AW160" s="1">
        <v>5101</v>
      </c>
      <c r="AX160" s="1" t="s">
        <v>1466</v>
      </c>
      <c r="AY160" s="1" t="s">
        <v>1467</v>
      </c>
      <c r="BA160" s="1" t="s">
        <v>180</v>
      </c>
      <c r="BB160" s="1">
        <v>532578</v>
      </c>
      <c r="BE160" s="1" t="s">
        <v>1468</v>
      </c>
      <c r="BF160" s="122">
        <v>45952.319444444445</v>
      </c>
    </row>
    <row r="161" spans="1:58">
      <c r="A161" s="1">
        <v>154</v>
      </c>
      <c r="B161" s="1" t="s">
        <v>179</v>
      </c>
      <c r="C161" s="1" t="s">
        <v>180</v>
      </c>
      <c r="D161" s="1" t="s">
        <v>181</v>
      </c>
      <c r="E161" s="1" t="s">
        <v>1469</v>
      </c>
      <c r="F161" s="122">
        <v>45952.705555555556</v>
      </c>
      <c r="G161" s="1" t="s">
        <v>595</v>
      </c>
      <c r="I161" s="1" t="s">
        <v>353</v>
      </c>
      <c r="K161" s="1" t="s">
        <v>354</v>
      </c>
      <c r="N161" s="1" t="s">
        <v>355</v>
      </c>
      <c r="O161" s="1">
        <v>148074</v>
      </c>
      <c r="P161" s="1">
        <v>7039084</v>
      </c>
      <c r="Q161" s="1" t="s">
        <v>235</v>
      </c>
      <c r="R161" s="1" t="s">
        <v>356</v>
      </c>
      <c r="S161" s="1" t="s">
        <v>357</v>
      </c>
      <c r="T161" s="1" t="s">
        <v>191</v>
      </c>
      <c r="U161" s="122">
        <v>44848.813888888886</v>
      </c>
      <c r="V161" s="1" t="s">
        <v>192</v>
      </c>
      <c r="W161" s="1" t="s">
        <v>19</v>
      </c>
      <c r="X161" s="1" t="s">
        <v>193</v>
      </c>
      <c r="Z161" s="1" t="s">
        <v>602</v>
      </c>
      <c r="AA161" s="1">
        <v>83590</v>
      </c>
      <c r="AB161" s="1">
        <v>0</v>
      </c>
      <c r="AC161" s="1">
        <v>2500</v>
      </c>
      <c r="AD161" s="122">
        <v>45952.770833333336</v>
      </c>
      <c r="AE161" s="122">
        <v>45952.770833333336</v>
      </c>
      <c r="AF161" s="122">
        <v>45952.722222222219</v>
      </c>
      <c r="AG161" s="1">
        <v>2500</v>
      </c>
      <c r="AH161" s="1">
        <v>0</v>
      </c>
      <c r="AI161" s="1" t="s">
        <v>195</v>
      </c>
      <c r="AL161" s="1" t="s">
        <v>196</v>
      </c>
      <c r="AO161" s="1" t="s">
        <v>113</v>
      </c>
      <c r="AP161" s="1" t="s">
        <v>1470</v>
      </c>
      <c r="AQ161" s="122">
        <v>45952.73541666667</v>
      </c>
      <c r="AR161" s="1">
        <v>0</v>
      </c>
      <c r="AS161" s="1">
        <v>2202.98</v>
      </c>
      <c r="AT161" s="1" t="s">
        <v>198</v>
      </c>
      <c r="AW161" s="1">
        <v>2203</v>
      </c>
      <c r="AX161" s="1" t="s">
        <v>359</v>
      </c>
      <c r="AY161" s="1" t="s">
        <v>360</v>
      </c>
      <c r="AZ161" s="1" t="s">
        <v>361</v>
      </c>
      <c r="BA161" s="1" t="s">
        <v>180</v>
      </c>
      <c r="BB161" s="1">
        <v>530045</v>
      </c>
      <c r="BE161" s="1" t="s">
        <v>362</v>
      </c>
      <c r="BF161" s="122">
        <v>45952.70416666667</v>
      </c>
    </row>
    <row r="162" spans="1:58">
      <c r="A162" s="1">
        <v>155</v>
      </c>
      <c r="B162" s="1" t="s">
        <v>179</v>
      </c>
      <c r="C162" s="1" t="s">
        <v>180</v>
      </c>
      <c r="D162" s="1" t="s">
        <v>181</v>
      </c>
      <c r="E162" s="1" t="s">
        <v>1471</v>
      </c>
      <c r="F162" s="122">
        <v>45952.62222222222</v>
      </c>
      <c r="G162" s="1" t="s">
        <v>533</v>
      </c>
      <c r="I162" s="1" t="s">
        <v>1472</v>
      </c>
      <c r="K162" s="1" t="s">
        <v>1473</v>
      </c>
      <c r="N162" s="1" t="s">
        <v>1474</v>
      </c>
      <c r="O162" s="1">
        <v>251606</v>
      </c>
      <c r="P162" s="1">
        <v>5469550</v>
      </c>
      <c r="Q162" s="1" t="s">
        <v>271</v>
      </c>
      <c r="R162" s="1" t="s">
        <v>1475</v>
      </c>
      <c r="S162" s="1" t="s">
        <v>850</v>
      </c>
      <c r="T162" s="1" t="s">
        <v>191</v>
      </c>
      <c r="U162" s="122">
        <v>42942.731944444444</v>
      </c>
      <c r="V162" s="1" t="s">
        <v>558</v>
      </c>
      <c r="W162" s="1" t="s">
        <v>20</v>
      </c>
      <c r="X162" s="1" t="s">
        <v>559</v>
      </c>
      <c r="Z162" s="1" t="s">
        <v>538</v>
      </c>
      <c r="AA162" s="1">
        <v>43846</v>
      </c>
      <c r="AB162" s="1">
        <v>0</v>
      </c>
      <c r="AC162" s="1">
        <v>0</v>
      </c>
      <c r="AD162" s="122">
        <v>45953.62222222222</v>
      </c>
      <c r="AE162" s="122">
        <v>45953.62222222222</v>
      </c>
      <c r="AF162" s="122">
        <v>45953.490277777775</v>
      </c>
      <c r="AG162" s="1">
        <v>0</v>
      </c>
      <c r="AH162" s="1">
        <v>0</v>
      </c>
      <c r="AI162" s="1" t="s">
        <v>195</v>
      </c>
      <c r="AJ162" s="122">
        <v>45952.623611111114</v>
      </c>
      <c r="AL162" s="1" t="s">
        <v>196</v>
      </c>
      <c r="AO162" s="1" t="s">
        <v>113</v>
      </c>
      <c r="AP162" s="1" t="s">
        <v>1476</v>
      </c>
      <c r="AQ162" s="122">
        <v>45953.490972222222</v>
      </c>
      <c r="AR162" s="1">
        <v>1534</v>
      </c>
      <c r="AS162" s="1">
        <v>0</v>
      </c>
      <c r="AT162" s="1" t="s">
        <v>198</v>
      </c>
      <c r="AW162" s="1">
        <v>1534</v>
      </c>
      <c r="AX162" s="1" t="s">
        <v>1477</v>
      </c>
      <c r="AY162" s="1" t="s">
        <v>1478</v>
      </c>
      <c r="AZ162" s="1" t="s">
        <v>1479</v>
      </c>
      <c r="BA162" s="1" t="s">
        <v>180</v>
      </c>
      <c r="BB162" s="1">
        <v>530011</v>
      </c>
      <c r="BE162" s="1" t="s">
        <v>1480</v>
      </c>
      <c r="BF162" s="122">
        <v>45952.620833333334</v>
      </c>
    </row>
    <row r="163" spans="1:58">
      <c r="A163" s="1">
        <v>156</v>
      </c>
      <c r="B163" s="1" t="s">
        <v>179</v>
      </c>
      <c r="C163" s="1" t="s">
        <v>180</v>
      </c>
      <c r="D163" s="1" t="s">
        <v>181</v>
      </c>
      <c r="E163" s="1" t="s">
        <v>1481</v>
      </c>
      <c r="F163" s="122">
        <v>45953.521527777775</v>
      </c>
      <c r="G163" s="1" t="s">
        <v>218</v>
      </c>
      <c r="I163" s="1" t="s">
        <v>1472</v>
      </c>
      <c r="K163" s="1" t="s">
        <v>1473</v>
      </c>
      <c r="M163" s="1" t="s">
        <v>206</v>
      </c>
      <c r="N163" s="1" t="s">
        <v>1474</v>
      </c>
      <c r="O163" s="1">
        <v>251606</v>
      </c>
      <c r="P163" s="1">
        <v>5469550</v>
      </c>
      <c r="Q163" s="1" t="s">
        <v>271</v>
      </c>
      <c r="R163" s="1" t="s">
        <v>1475</v>
      </c>
      <c r="S163" s="1" t="s">
        <v>850</v>
      </c>
      <c r="T163" s="1" t="s">
        <v>191</v>
      </c>
      <c r="U163" s="122">
        <v>42942.731944444444</v>
      </c>
      <c r="V163" s="1" t="s">
        <v>192</v>
      </c>
      <c r="W163" s="1" t="s">
        <v>19</v>
      </c>
      <c r="X163" s="1" t="s">
        <v>193</v>
      </c>
      <c r="Z163" s="1" t="s">
        <v>3</v>
      </c>
      <c r="AA163" s="1">
        <v>90846</v>
      </c>
      <c r="AB163" s="1">
        <v>2500</v>
      </c>
      <c r="AC163" s="1">
        <v>0</v>
      </c>
      <c r="AD163" s="122">
        <v>45953.6875</v>
      </c>
      <c r="AE163" s="122">
        <v>45953.6875</v>
      </c>
      <c r="AF163" s="122">
        <v>45953.712500000001</v>
      </c>
      <c r="AG163" s="1">
        <v>1979.4</v>
      </c>
      <c r="AH163" s="1">
        <v>3205</v>
      </c>
      <c r="AI163" s="1" t="s">
        <v>195</v>
      </c>
      <c r="AJ163" s="122">
        <v>45953.545138888891</v>
      </c>
      <c r="AK163" s="122">
        <v>45953.54583333333</v>
      </c>
      <c r="AL163" s="1" t="s">
        <v>212</v>
      </c>
      <c r="AO163" s="1" t="s">
        <v>113</v>
      </c>
      <c r="AP163" s="1" t="s">
        <v>1482</v>
      </c>
      <c r="AQ163" s="122">
        <v>45953.713194444441</v>
      </c>
      <c r="AR163" s="1">
        <v>1685.04</v>
      </c>
      <c r="AS163" s="1">
        <v>472.01</v>
      </c>
      <c r="AT163" s="1" t="s">
        <v>198</v>
      </c>
      <c r="AU163" s="121">
        <v>45953</v>
      </c>
      <c r="AW163" s="1">
        <v>2157</v>
      </c>
      <c r="AX163" s="1" t="s">
        <v>1477</v>
      </c>
      <c r="AY163" s="1" t="s">
        <v>1478</v>
      </c>
      <c r="AZ163" s="1" t="s">
        <v>1479</v>
      </c>
      <c r="BA163" s="1" t="s">
        <v>180</v>
      </c>
      <c r="BB163" s="1">
        <v>530011</v>
      </c>
      <c r="BE163" s="1" t="s">
        <v>1480</v>
      </c>
      <c r="BF163" s="122">
        <v>45953.496527777781</v>
      </c>
    </row>
    <row r="164" spans="1:58">
      <c r="A164" s="1">
        <v>157</v>
      </c>
      <c r="B164" s="1" t="s">
        <v>179</v>
      </c>
      <c r="C164" s="1" t="s">
        <v>180</v>
      </c>
      <c r="D164" s="1" t="s">
        <v>181</v>
      </c>
      <c r="E164" s="1" t="s">
        <v>1483</v>
      </c>
      <c r="F164" s="122">
        <v>45953.477083333331</v>
      </c>
      <c r="G164" s="1" t="s">
        <v>218</v>
      </c>
      <c r="I164" s="1" t="s">
        <v>1484</v>
      </c>
      <c r="K164" s="1" t="s">
        <v>1485</v>
      </c>
      <c r="M164" s="1" t="s">
        <v>206</v>
      </c>
      <c r="N164" s="1" t="s">
        <v>1486</v>
      </c>
      <c r="O164" s="1">
        <v>248635</v>
      </c>
      <c r="P164" s="1">
        <v>2408004</v>
      </c>
      <c r="Q164" s="1" t="s">
        <v>271</v>
      </c>
      <c r="R164" s="1" t="s">
        <v>1487</v>
      </c>
      <c r="S164" s="1" t="s">
        <v>632</v>
      </c>
      <c r="T164" s="1" t="s">
        <v>191</v>
      </c>
      <c r="U164" s="122">
        <v>44273.811805555553</v>
      </c>
      <c r="V164" s="1" t="s">
        <v>192</v>
      </c>
      <c r="W164" s="1" t="s">
        <v>21</v>
      </c>
      <c r="X164" s="1" t="s">
        <v>193</v>
      </c>
      <c r="Z164" s="1" t="s">
        <v>3</v>
      </c>
      <c r="AA164" s="1">
        <v>47023</v>
      </c>
      <c r="AB164" s="1">
        <v>2115</v>
      </c>
      <c r="AC164" s="1">
        <v>4500</v>
      </c>
      <c r="AD164" s="122">
        <v>45953.6875</v>
      </c>
      <c r="AE164" s="122">
        <v>45953.8125</v>
      </c>
      <c r="AF164" s="122">
        <v>45953.727777777778</v>
      </c>
      <c r="AG164" s="1">
        <v>1968.4</v>
      </c>
      <c r="AH164" s="1">
        <v>2115</v>
      </c>
      <c r="AI164" s="1" t="s">
        <v>195</v>
      </c>
      <c r="AJ164" s="122">
        <v>45953.719444444447</v>
      </c>
      <c r="AK164" s="122">
        <v>45953.719444444447</v>
      </c>
      <c r="AL164" s="1" t="s">
        <v>212</v>
      </c>
      <c r="AO164" s="1" t="s">
        <v>113</v>
      </c>
      <c r="AP164" s="1" t="s">
        <v>1488</v>
      </c>
      <c r="AQ164" s="122">
        <v>45953.729166666664</v>
      </c>
      <c r="AR164" s="1">
        <v>1832.9</v>
      </c>
      <c r="AS164" s="1">
        <v>2610.12</v>
      </c>
      <c r="AT164" s="1" t="s">
        <v>413</v>
      </c>
      <c r="AU164" s="121">
        <v>45953</v>
      </c>
      <c r="AV164" s="1" t="s">
        <v>239</v>
      </c>
      <c r="AW164" s="1">
        <v>4443</v>
      </c>
      <c r="AX164" s="1" t="s">
        <v>1489</v>
      </c>
      <c r="AY164" s="1" t="s">
        <v>1490</v>
      </c>
      <c r="AZ164" s="1" t="s">
        <v>1491</v>
      </c>
      <c r="BA164" s="1" t="s">
        <v>180</v>
      </c>
      <c r="BB164" s="1">
        <v>530045</v>
      </c>
      <c r="BE164" s="1" t="s">
        <v>1492</v>
      </c>
      <c r="BF164" s="122">
        <v>45953.451388888891</v>
      </c>
    </row>
    <row r="165" spans="1:58">
      <c r="A165" s="1">
        <v>158</v>
      </c>
      <c r="B165" s="1" t="s">
        <v>179</v>
      </c>
      <c r="C165" s="1" t="s">
        <v>180</v>
      </c>
      <c r="D165" s="1" t="s">
        <v>181</v>
      </c>
      <c r="E165" s="1" t="s">
        <v>1493</v>
      </c>
      <c r="F165" s="122">
        <v>45953.487500000003</v>
      </c>
      <c r="G165" s="1" t="s">
        <v>244</v>
      </c>
      <c r="I165" s="1" t="s">
        <v>1494</v>
      </c>
      <c r="K165" s="1" t="s">
        <v>1495</v>
      </c>
      <c r="M165" s="1" t="s">
        <v>206</v>
      </c>
      <c r="N165" s="1" t="s">
        <v>1496</v>
      </c>
      <c r="O165" s="1" t="s">
        <v>1497</v>
      </c>
      <c r="P165" s="1">
        <v>1587489</v>
      </c>
      <c r="Q165" s="1" t="s">
        <v>599</v>
      </c>
      <c r="R165" s="1" t="s">
        <v>1498</v>
      </c>
      <c r="S165" s="1" t="s">
        <v>225</v>
      </c>
      <c r="T165" s="1" t="s">
        <v>191</v>
      </c>
      <c r="U165" s="122">
        <v>45439.658333333333</v>
      </c>
      <c r="V165" s="1" t="s">
        <v>192</v>
      </c>
      <c r="W165" s="1" t="s">
        <v>21</v>
      </c>
      <c r="X165" s="1" t="s">
        <v>193</v>
      </c>
      <c r="Z165" s="1" t="s">
        <v>4</v>
      </c>
      <c r="AA165" s="1">
        <v>19845</v>
      </c>
      <c r="AB165" s="1">
        <v>600</v>
      </c>
      <c r="AC165" s="1">
        <v>1800</v>
      </c>
      <c r="AD165" s="122">
        <v>45953.645833333336</v>
      </c>
      <c r="AE165" s="122">
        <v>45953.6875</v>
      </c>
      <c r="AF165" s="122">
        <v>45953.706250000003</v>
      </c>
      <c r="AG165" s="1">
        <v>1800</v>
      </c>
      <c r="AH165" s="1">
        <v>0</v>
      </c>
      <c r="AI165" s="1" t="s">
        <v>195</v>
      </c>
      <c r="AJ165" s="122">
        <v>45953.65</v>
      </c>
      <c r="AK165" s="122">
        <v>45953.650694444441</v>
      </c>
      <c r="AL165" s="1" t="s">
        <v>212</v>
      </c>
      <c r="AO165" s="1" t="s">
        <v>113</v>
      </c>
      <c r="AP165" s="1" t="s">
        <v>1499</v>
      </c>
      <c r="AQ165" s="122">
        <v>45953.706944444442</v>
      </c>
      <c r="AR165" s="1">
        <v>1545.08</v>
      </c>
      <c r="AS165" s="1">
        <v>3583.5</v>
      </c>
      <c r="AT165" s="1" t="s">
        <v>198</v>
      </c>
      <c r="AW165" s="1">
        <v>5129</v>
      </c>
      <c r="AX165" s="1" t="s">
        <v>1500</v>
      </c>
      <c r="AY165" s="1" t="s">
        <v>1501</v>
      </c>
      <c r="AZ165" s="1" t="s">
        <v>1502</v>
      </c>
      <c r="BA165" s="1" t="s">
        <v>180</v>
      </c>
      <c r="BB165" s="1">
        <v>535002</v>
      </c>
      <c r="BE165" s="1" t="s">
        <v>1492</v>
      </c>
      <c r="BF165" s="122">
        <v>45953.482638888891</v>
      </c>
    </row>
    <row r="166" spans="1:58">
      <c r="A166" s="1">
        <v>159</v>
      </c>
      <c r="B166" s="1" t="s">
        <v>179</v>
      </c>
      <c r="C166" s="1" t="s">
        <v>180</v>
      </c>
      <c r="D166" s="1" t="s">
        <v>181</v>
      </c>
      <c r="E166" s="1" t="s">
        <v>1503</v>
      </c>
      <c r="F166" s="122">
        <v>45953.42291666667</v>
      </c>
      <c r="G166" s="1" t="s">
        <v>218</v>
      </c>
      <c r="I166" s="1" t="s">
        <v>1504</v>
      </c>
      <c r="K166" s="1" t="s">
        <v>1505</v>
      </c>
      <c r="M166" s="1" t="s">
        <v>206</v>
      </c>
      <c r="N166" s="1" t="s">
        <v>1506</v>
      </c>
      <c r="O166" s="1">
        <v>879219</v>
      </c>
      <c r="P166" s="1">
        <v>1261246</v>
      </c>
      <c r="Q166" s="1" t="s">
        <v>1317</v>
      </c>
      <c r="R166" s="1" t="s">
        <v>1507</v>
      </c>
      <c r="S166" s="1" t="s">
        <v>1508</v>
      </c>
      <c r="T166" s="1" t="s">
        <v>191</v>
      </c>
      <c r="U166" s="122">
        <v>44574.526388888888</v>
      </c>
      <c r="V166" s="1" t="s">
        <v>192</v>
      </c>
      <c r="W166" s="1" t="s">
        <v>19</v>
      </c>
      <c r="X166" s="1" t="s">
        <v>193</v>
      </c>
      <c r="Z166" s="1" t="s">
        <v>3</v>
      </c>
      <c r="AA166" s="1">
        <v>23723</v>
      </c>
      <c r="AB166" s="1">
        <v>3000</v>
      </c>
      <c r="AC166" s="1">
        <v>5000</v>
      </c>
      <c r="AD166" s="122">
        <v>45953.770833333336</v>
      </c>
      <c r="AE166" s="122">
        <v>45953.770833333336</v>
      </c>
      <c r="AF166" s="122">
        <v>45953.740972222222</v>
      </c>
      <c r="AG166" s="1">
        <v>3738</v>
      </c>
      <c r="AH166" s="1">
        <v>2710</v>
      </c>
      <c r="AI166" s="1" t="s">
        <v>195</v>
      </c>
      <c r="AJ166" s="122">
        <v>45953.542361111111</v>
      </c>
      <c r="AK166" s="122">
        <v>45953.543055555558</v>
      </c>
      <c r="AL166" s="1" t="s">
        <v>212</v>
      </c>
      <c r="AO166" s="1" t="s">
        <v>113</v>
      </c>
      <c r="AP166" s="1" t="s">
        <v>1509</v>
      </c>
      <c r="AQ166" s="122">
        <v>45953.740972222222</v>
      </c>
      <c r="AR166" s="1">
        <v>2447.3200000000002</v>
      </c>
      <c r="AS166" s="1">
        <v>4095.64</v>
      </c>
      <c r="AT166" s="1" t="s">
        <v>198</v>
      </c>
      <c r="AU166" s="121">
        <v>45953</v>
      </c>
      <c r="AW166" s="1">
        <v>6543</v>
      </c>
      <c r="AX166" s="1" t="s">
        <v>1510</v>
      </c>
      <c r="AY166" s="1" t="s">
        <v>1511</v>
      </c>
      <c r="AZ166" s="1" t="s">
        <v>1512</v>
      </c>
      <c r="BA166" s="1" t="s">
        <v>180</v>
      </c>
      <c r="BB166" s="1">
        <v>535002</v>
      </c>
      <c r="BF166" s="122">
        <v>45953.419444444444</v>
      </c>
    </row>
    <row r="167" spans="1:58">
      <c r="A167" s="1">
        <v>160</v>
      </c>
      <c r="B167" s="1" t="s">
        <v>179</v>
      </c>
      <c r="C167" s="1" t="s">
        <v>180</v>
      </c>
      <c r="D167" s="1" t="s">
        <v>181</v>
      </c>
      <c r="E167" s="1" t="s">
        <v>1513</v>
      </c>
      <c r="F167" s="122">
        <v>45953.719444444447</v>
      </c>
      <c r="G167" s="1" t="s">
        <v>244</v>
      </c>
      <c r="I167" s="1" t="s">
        <v>1472</v>
      </c>
      <c r="K167" s="1" t="s">
        <v>1473</v>
      </c>
      <c r="M167" s="1" t="s">
        <v>206</v>
      </c>
      <c r="N167" s="1" t="s">
        <v>1474</v>
      </c>
      <c r="O167" s="1">
        <v>251606</v>
      </c>
      <c r="P167" s="1">
        <v>5469550</v>
      </c>
      <c r="Q167" s="1" t="s">
        <v>271</v>
      </c>
      <c r="R167" s="1" t="s">
        <v>1475</v>
      </c>
      <c r="S167" s="1" t="s">
        <v>850</v>
      </c>
      <c r="T167" s="1" t="s">
        <v>191</v>
      </c>
      <c r="U167" s="122">
        <v>42942.731944444444</v>
      </c>
      <c r="V167" s="1" t="s">
        <v>192</v>
      </c>
      <c r="W167" s="1" t="s">
        <v>19</v>
      </c>
      <c r="X167" s="1" t="s">
        <v>226</v>
      </c>
      <c r="Z167" s="1" t="s">
        <v>4</v>
      </c>
      <c r="AA167" s="1">
        <v>43851</v>
      </c>
      <c r="AB167" s="1">
        <v>0</v>
      </c>
      <c r="AC167" s="1">
        <v>0</v>
      </c>
      <c r="AD167" s="122">
        <v>45953.770833333336</v>
      </c>
      <c r="AE167" s="122">
        <v>45953.770833333336</v>
      </c>
      <c r="AF167" s="122">
        <v>45953.727083333331</v>
      </c>
      <c r="AG167" s="1">
        <v>0</v>
      </c>
      <c r="AH167" s="1">
        <v>0</v>
      </c>
      <c r="AI167" s="1" t="s">
        <v>195</v>
      </c>
      <c r="AL167" s="1" t="s">
        <v>196</v>
      </c>
      <c r="AO167" s="1" t="s">
        <v>113</v>
      </c>
      <c r="AP167" s="1" t="s">
        <v>1514</v>
      </c>
      <c r="AQ167" s="122">
        <v>45953.727083333331</v>
      </c>
      <c r="AR167" s="1">
        <v>0</v>
      </c>
      <c r="AS167" s="1">
        <v>0</v>
      </c>
      <c r="AT167" s="1" t="s">
        <v>198</v>
      </c>
      <c r="AW167" s="1">
        <v>0</v>
      </c>
      <c r="AX167" s="1" t="s">
        <v>1477</v>
      </c>
      <c r="AY167" s="1" t="s">
        <v>1478</v>
      </c>
      <c r="AZ167" s="1" t="s">
        <v>1479</v>
      </c>
      <c r="BA167" s="1" t="s">
        <v>180</v>
      </c>
      <c r="BB167" s="1">
        <v>530011</v>
      </c>
      <c r="BE167" s="1" t="s">
        <v>1480</v>
      </c>
      <c r="BF167" s="122">
        <v>45953.71597222222</v>
      </c>
    </row>
    <row r="168" spans="1:58">
      <c r="A168" s="1">
        <v>161</v>
      </c>
      <c r="B168" s="1" t="s">
        <v>179</v>
      </c>
      <c r="C168" s="1" t="s">
        <v>180</v>
      </c>
      <c r="D168" s="1" t="s">
        <v>181</v>
      </c>
      <c r="E168" s="1" t="s">
        <v>1515</v>
      </c>
      <c r="F168" s="122">
        <v>45952.57916666667</v>
      </c>
      <c r="G168" s="1" t="s">
        <v>533</v>
      </c>
      <c r="I168" s="1" t="s">
        <v>1516</v>
      </c>
      <c r="K168" s="1" t="s">
        <v>1517</v>
      </c>
      <c r="M168" s="1" t="s">
        <v>186</v>
      </c>
      <c r="N168" s="1" t="s">
        <v>1518</v>
      </c>
      <c r="O168" s="1">
        <v>317231</v>
      </c>
      <c r="P168" s="1">
        <v>7176629</v>
      </c>
      <c r="Q168" s="1" t="s">
        <v>283</v>
      </c>
      <c r="R168" s="1" t="s">
        <v>1260</v>
      </c>
      <c r="S168" s="1" t="s">
        <v>368</v>
      </c>
      <c r="T168" s="1" t="s">
        <v>191</v>
      </c>
      <c r="U168" s="122">
        <v>44917.855555555558</v>
      </c>
      <c r="V168" s="1" t="s">
        <v>558</v>
      </c>
      <c r="W168" s="1" t="s">
        <v>20</v>
      </c>
      <c r="X168" s="1" t="s">
        <v>559</v>
      </c>
      <c r="Z168" s="1" t="s">
        <v>538</v>
      </c>
      <c r="AA168" s="1">
        <v>22742</v>
      </c>
      <c r="AB168" s="1">
        <v>0</v>
      </c>
      <c r="AC168" s="1">
        <v>0</v>
      </c>
      <c r="AD168" s="122">
        <v>45955.578472222223</v>
      </c>
      <c r="AE168" s="122">
        <v>45955.578472222223</v>
      </c>
      <c r="AF168" s="122">
        <v>45953.65902777778</v>
      </c>
      <c r="AG168" s="1">
        <v>0</v>
      </c>
      <c r="AH168" s="1">
        <v>0</v>
      </c>
      <c r="AI168" s="1" t="s">
        <v>195</v>
      </c>
      <c r="AJ168" s="122">
        <v>45952.70416666667</v>
      </c>
      <c r="AL168" s="1" t="s">
        <v>196</v>
      </c>
      <c r="AO168" s="1" t="s">
        <v>113</v>
      </c>
      <c r="AP168" s="1" t="s">
        <v>1519</v>
      </c>
      <c r="AQ168" s="122">
        <v>45953.659722222219</v>
      </c>
      <c r="AR168" s="1">
        <v>0</v>
      </c>
      <c r="AS168" s="1">
        <v>0</v>
      </c>
      <c r="AT168" s="1" t="s">
        <v>198</v>
      </c>
      <c r="AW168" s="1">
        <v>0</v>
      </c>
      <c r="AX168" s="1" t="s">
        <v>1520</v>
      </c>
      <c r="AY168" s="1" t="s">
        <v>1521</v>
      </c>
      <c r="AZ168" s="1" t="s">
        <v>1522</v>
      </c>
      <c r="BA168" s="1" t="s">
        <v>180</v>
      </c>
      <c r="BB168" s="1">
        <v>520004</v>
      </c>
      <c r="BE168" s="1" t="s">
        <v>1523</v>
      </c>
      <c r="BF168" s="122">
        <v>45952.57708333333</v>
      </c>
    </row>
    <row r="169" spans="1:58">
      <c r="A169" s="1">
        <v>162</v>
      </c>
      <c r="B169" s="1" t="s">
        <v>179</v>
      </c>
      <c r="C169" s="1" t="s">
        <v>180</v>
      </c>
      <c r="D169" s="1" t="s">
        <v>181</v>
      </c>
      <c r="E169" s="1" t="s">
        <v>1515</v>
      </c>
      <c r="F169" s="122">
        <v>45952.57916666667</v>
      </c>
      <c r="G169" s="1" t="s">
        <v>533</v>
      </c>
      <c r="I169" s="1" t="s">
        <v>1516</v>
      </c>
      <c r="K169" s="1" t="s">
        <v>1517</v>
      </c>
      <c r="M169" s="1" t="s">
        <v>186</v>
      </c>
      <c r="N169" s="1" t="s">
        <v>1518</v>
      </c>
      <c r="O169" s="1">
        <v>317231</v>
      </c>
      <c r="P169" s="1">
        <v>7176629</v>
      </c>
      <c r="Q169" s="1" t="s">
        <v>283</v>
      </c>
      <c r="R169" s="1" t="s">
        <v>1260</v>
      </c>
      <c r="S169" s="1" t="s">
        <v>368</v>
      </c>
      <c r="T169" s="1" t="s">
        <v>191</v>
      </c>
      <c r="U169" s="122">
        <v>44917.855555555558</v>
      </c>
      <c r="V169" s="1" t="s">
        <v>558</v>
      </c>
      <c r="W169" s="1" t="s">
        <v>20</v>
      </c>
      <c r="X169" s="1" t="s">
        <v>559</v>
      </c>
      <c r="Z169" s="1" t="s">
        <v>538</v>
      </c>
      <c r="AA169" s="1">
        <v>22742</v>
      </c>
      <c r="AB169" s="1">
        <v>0</v>
      </c>
      <c r="AC169" s="1">
        <v>0</v>
      </c>
      <c r="AD169" s="122">
        <v>45955.578472222223</v>
      </c>
      <c r="AE169" s="122">
        <v>45955.578472222223</v>
      </c>
      <c r="AF169" s="122">
        <v>45953.65902777778</v>
      </c>
      <c r="AG169" s="1">
        <v>0</v>
      </c>
      <c r="AH169" s="1">
        <v>0</v>
      </c>
      <c r="AI169" s="1" t="s">
        <v>195</v>
      </c>
      <c r="AJ169" s="122">
        <v>45952.70416666667</v>
      </c>
      <c r="AL169" s="1" t="s">
        <v>196</v>
      </c>
      <c r="AO169" s="1" t="s">
        <v>113</v>
      </c>
      <c r="AP169" s="1" t="s">
        <v>1524</v>
      </c>
      <c r="AQ169" s="122">
        <v>45953.659722222219</v>
      </c>
      <c r="AR169" s="1">
        <v>8741.44</v>
      </c>
      <c r="AS169" s="1">
        <v>16954.03</v>
      </c>
      <c r="AT169" s="1" t="s">
        <v>198</v>
      </c>
      <c r="AW169" s="1">
        <v>25695</v>
      </c>
      <c r="AX169" s="1" t="s">
        <v>1520</v>
      </c>
      <c r="AY169" s="1" t="s">
        <v>1521</v>
      </c>
      <c r="AZ169" s="1" t="s">
        <v>1522</v>
      </c>
      <c r="BA169" s="1" t="s">
        <v>180</v>
      </c>
      <c r="BB169" s="1">
        <v>520004</v>
      </c>
      <c r="BE169" s="1" t="s">
        <v>1523</v>
      </c>
      <c r="BF169" s="122">
        <v>45952.57708333333</v>
      </c>
    </row>
    <row r="170" spans="1:58">
      <c r="A170" s="1">
        <v>163</v>
      </c>
      <c r="B170" s="1" t="s">
        <v>179</v>
      </c>
      <c r="C170" s="1" t="s">
        <v>180</v>
      </c>
      <c r="D170" s="1" t="s">
        <v>181</v>
      </c>
      <c r="E170" s="1" t="s">
        <v>1525</v>
      </c>
      <c r="F170" s="122">
        <v>45953.539583333331</v>
      </c>
      <c r="G170" s="1" t="s">
        <v>244</v>
      </c>
      <c r="H170" s="1" t="s">
        <v>471</v>
      </c>
      <c r="I170" s="1" t="s">
        <v>1526</v>
      </c>
      <c r="K170" s="1" t="s">
        <v>1527</v>
      </c>
      <c r="N170" s="1" t="s">
        <v>1528</v>
      </c>
      <c r="O170" s="1">
        <v>216773</v>
      </c>
      <c r="P170" s="1">
        <v>3350609</v>
      </c>
      <c r="Q170" s="1" t="s">
        <v>1529</v>
      </c>
      <c r="R170" s="1" t="s">
        <v>1530</v>
      </c>
      <c r="S170" s="1" t="s">
        <v>1531</v>
      </c>
      <c r="T170" s="1" t="s">
        <v>191</v>
      </c>
      <c r="U170" s="122">
        <v>39844</v>
      </c>
      <c r="V170" s="1" t="s">
        <v>192</v>
      </c>
      <c r="W170" s="1" t="s">
        <v>19</v>
      </c>
      <c r="X170" s="1" t="s">
        <v>193</v>
      </c>
      <c r="Z170" s="1" t="s">
        <v>4</v>
      </c>
      <c r="AA170" s="1">
        <v>39471</v>
      </c>
      <c r="AB170" s="1">
        <v>350</v>
      </c>
      <c r="AC170" s="1">
        <v>600</v>
      </c>
      <c r="AD170" s="122">
        <v>45953.729166666664</v>
      </c>
      <c r="AE170" s="122">
        <v>45953.729166666664</v>
      </c>
      <c r="AF170" s="122">
        <v>45953.738194444442</v>
      </c>
      <c r="AG170" s="1">
        <v>600</v>
      </c>
      <c r="AH170" s="1">
        <v>0</v>
      </c>
      <c r="AI170" s="1" t="s">
        <v>195</v>
      </c>
      <c r="AJ170" s="122">
        <v>45953.546527777777</v>
      </c>
      <c r="AK170" s="122">
        <v>45953.546527777777</v>
      </c>
      <c r="AL170" s="1" t="s">
        <v>212</v>
      </c>
      <c r="AO170" s="1" t="s">
        <v>113</v>
      </c>
      <c r="AP170" s="1" t="s">
        <v>1532</v>
      </c>
      <c r="AQ170" s="122">
        <v>45953.739583333336</v>
      </c>
      <c r="AR170" s="1">
        <v>794.27</v>
      </c>
      <c r="AS170" s="1">
        <v>848.48</v>
      </c>
      <c r="AT170" s="1" t="s">
        <v>198</v>
      </c>
      <c r="AW170" s="1">
        <v>1643</v>
      </c>
      <c r="AX170" s="1" t="s">
        <v>1533</v>
      </c>
      <c r="AY170" s="1" t="s">
        <v>1534</v>
      </c>
      <c r="AZ170" s="1" t="s">
        <v>1535</v>
      </c>
      <c r="BA170" s="1" t="s">
        <v>180</v>
      </c>
      <c r="BB170" s="1">
        <v>517507</v>
      </c>
      <c r="BF170" s="122">
        <v>45953.538194444445</v>
      </c>
    </row>
    <row r="171" spans="1:58">
      <c r="A171" s="1">
        <v>164</v>
      </c>
      <c r="B171" s="1" t="s">
        <v>179</v>
      </c>
      <c r="C171" s="1" t="s">
        <v>180</v>
      </c>
      <c r="D171" s="1" t="s">
        <v>181</v>
      </c>
      <c r="E171" s="1" t="s">
        <v>1536</v>
      </c>
      <c r="F171" s="122">
        <v>45941.533333333333</v>
      </c>
      <c r="G171" s="1" t="s">
        <v>533</v>
      </c>
      <c r="I171" s="1" t="s">
        <v>1537</v>
      </c>
      <c r="K171" s="1" t="s">
        <v>1538</v>
      </c>
      <c r="M171" s="1" t="s">
        <v>206</v>
      </c>
      <c r="N171" s="1" t="s">
        <v>1539</v>
      </c>
      <c r="O171" s="1">
        <v>922315</v>
      </c>
      <c r="P171" s="1">
        <v>1292791</v>
      </c>
      <c r="Q171" s="1" t="s">
        <v>235</v>
      </c>
      <c r="R171" s="1" t="s">
        <v>1540</v>
      </c>
      <c r="S171" s="1" t="s">
        <v>1508</v>
      </c>
      <c r="T171" s="1" t="s">
        <v>454</v>
      </c>
      <c r="U171" s="122">
        <v>44649.716666666667</v>
      </c>
      <c r="V171" s="1" t="s">
        <v>558</v>
      </c>
      <c r="W171" s="1" t="s">
        <v>20</v>
      </c>
      <c r="X171" s="1" t="s">
        <v>559</v>
      </c>
      <c r="Z171" s="1" t="s">
        <v>538</v>
      </c>
      <c r="AA171" s="1">
        <v>38755</v>
      </c>
      <c r="AB171" s="1">
        <v>0</v>
      </c>
      <c r="AC171" s="1">
        <v>0</v>
      </c>
      <c r="AD171" s="122">
        <v>45946.783333333333</v>
      </c>
      <c r="AE171" s="122">
        <v>45946.783333333333</v>
      </c>
      <c r="AF171" s="122">
        <v>45953.522916666669</v>
      </c>
      <c r="AG171" s="1">
        <v>0</v>
      </c>
      <c r="AH171" s="1">
        <v>0</v>
      </c>
      <c r="AI171" s="1" t="s">
        <v>195</v>
      </c>
      <c r="AJ171" s="122">
        <v>45941.534722222219</v>
      </c>
      <c r="AL171" s="1" t="s">
        <v>196</v>
      </c>
      <c r="AO171" s="1" t="s">
        <v>113</v>
      </c>
      <c r="AP171" s="1" t="s">
        <v>1541</v>
      </c>
      <c r="AQ171" s="122">
        <v>45953.523611111108</v>
      </c>
      <c r="AR171" s="1">
        <v>0</v>
      </c>
      <c r="AS171" s="1">
        <v>0</v>
      </c>
      <c r="AT171" s="1" t="s">
        <v>198</v>
      </c>
      <c r="AW171" s="1">
        <v>0</v>
      </c>
      <c r="AX171" s="1" t="s">
        <v>1542</v>
      </c>
      <c r="AY171" s="1" t="s">
        <v>1543</v>
      </c>
      <c r="AZ171" s="1" t="s">
        <v>1544</v>
      </c>
      <c r="BA171" s="1" t="s">
        <v>180</v>
      </c>
      <c r="BB171" s="1">
        <v>530045</v>
      </c>
      <c r="BF171" s="122">
        <v>45941.531944444447</v>
      </c>
    </row>
    <row r="172" spans="1:58">
      <c r="A172" s="1">
        <v>165</v>
      </c>
      <c r="B172" s="1" t="s">
        <v>179</v>
      </c>
      <c r="C172" s="1" t="s">
        <v>180</v>
      </c>
      <c r="D172" s="1" t="s">
        <v>181</v>
      </c>
      <c r="E172" s="1" t="s">
        <v>1536</v>
      </c>
      <c r="F172" s="122">
        <v>45941.533333333333</v>
      </c>
      <c r="G172" s="1" t="s">
        <v>533</v>
      </c>
      <c r="I172" s="1" t="s">
        <v>1537</v>
      </c>
      <c r="K172" s="1" t="s">
        <v>1538</v>
      </c>
      <c r="M172" s="1" t="s">
        <v>206</v>
      </c>
      <c r="N172" s="1" t="s">
        <v>1539</v>
      </c>
      <c r="O172" s="1">
        <v>922315</v>
      </c>
      <c r="P172" s="1">
        <v>1292791</v>
      </c>
      <c r="Q172" s="1" t="s">
        <v>235</v>
      </c>
      <c r="R172" s="1" t="s">
        <v>1540</v>
      </c>
      <c r="S172" s="1" t="s">
        <v>1508</v>
      </c>
      <c r="T172" s="1" t="s">
        <v>454</v>
      </c>
      <c r="U172" s="122">
        <v>44649.716666666667</v>
      </c>
      <c r="V172" s="1" t="s">
        <v>558</v>
      </c>
      <c r="W172" s="1" t="s">
        <v>20</v>
      </c>
      <c r="X172" s="1" t="s">
        <v>559</v>
      </c>
      <c r="Z172" s="1" t="s">
        <v>538</v>
      </c>
      <c r="AA172" s="1">
        <v>38755</v>
      </c>
      <c r="AB172" s="1">
        <v>0</v>
      </c>
      <c r="AC172" s="1">
        <v>0</v>
      </c>
      <c r="AD172" s="122">
        <v>45946.783333333333</v>
      </c>
      <c r="AE172" s="122">
        <v>45946.783333333333</v>
      </c>
      <c r="AF172" s="122">
        <v>45953.522916666669</v>
      </c>
      <c r="AG172" s="1">
        <v>0</v>
      </c>
      <c r="AH172" s="1">
        <v>0</v>
      </c>
      <c r="AI172" s="1" t="s">
        <v>195</v>
      </c>
      <c r="AJ172" s="122">
        <v>45941.534722222219</v>
      </c>
      <c r="AL172" s="1" t="s">
        <v>196</v>
      </c>
      <c r="AO172" s="1" t="s">
        <v>113</v>
      </c>
      <c r="AP172" s="1" t="s">
        <v>1545</v>
      </c>
      <c r="AQ172" s="122">
        <v>45953.523611111108</v>
      </c>
      <c r="AR172" s="1">
        <v>19474.72</v>
      </c>
      <c r="AS172" s="1">
        <v>27419.53</v>
      </c>
      <c r="AT172" s="1" t="s">
        <v>198</v>
      </c>
      <c r="AW172" s="1">
        <v>46894</v>
      </c>
      <c r="AX172" s="1" t="s">
        <v>1542</v>
      </c>
      <c r="AY172" s="1" t="s">
        <v>1543</v>
      </c>
      <c r="AZ172" s="1" t="s">
        <v>1544</v>
      </c>
      <c r="BA172" s="1" t="s">
        <v>180</v>
      </c>
      <c r="BB172" s="1">
        <v>530045</v>
      </c>
      <c r="BF172" s="122">
        <v>45941.531944444447</v>
      </c>
    </row>
    <row r="173" spans="1:58">
      <c r="A173" s="1">
        <v>166</v>
      </c>
      <c r="B173" s="1" t="s">
        <v>179</v>
      </c>
      <c r="C173" s="1" t="s">
        <v>180</v>
      </c>
      <c r="D173" s="1" t="s">
        <v>181</v>
      </c>
      <c r="E173" s="1" t="s">
        <v>1546</v>
      </c>
      <c r="F173" s="122">
        <v>45953.478472222225</v>
      </c>
      <c r="G173" s="1" t="s">
        <v>218</v>
      </c>
      <c r="I173" s="1" t="s">
        <v>1547</v>
      </c>
      <c r="K173" s="1" t="s">
        <v>1548</v>
      </c>
      <c r="M173" s="1" t="s">
        <v>233</v>
      </c>
      <c r="N173" s="1" t="s">
        <v>1549</v>
      </c>
      <c r="O173" s="1">
        <v>473672</v>
      </c>
      <c r="P173" s="1">
        <v>8027307</v>
      </c>
      <c r="Q173" s="1" t="s">
        <v>315</v>
      </c>
      <c r="R173" s="1" t="s">
        <v>1550</v>
      </c>
      <c r="S173" s="1" t="s">
        <v>348</v>
      </c>
      <c r="T173" s="1" t="s">
        <v>191</v>
      </c>
      <c r="U173" s="122">
        <v>43061.484027777777</v>
      </c>
      <c r="V173" s="1" t="s">
        <v>192</v>
      </c>
      <c r="W173" s="1" t="s">
        <v>19</v>
      </c>
      <c r="X173" s="1" t="s">
        <v>193</v>
      </c>
      <c r="Z173" s="1" t="s">
        <v>3</v>
      </c>
      <c r="AA173" s="1">
        <v>73158</v>
      </c>
      <c r="AB173" s="1">
        <v>2500</v>
      </c>
      <c r="AC173" s="1">
        <v>3000</v>
      </c>
      <c r="AD173" s="122">
        <v>45953.770833333336</v>
      </c>
      <c r="AE173" s="122">
        <v>45953.770833333336</v>
      </c>
      <c r="AF173" s="122">
        <v>45953.729861111111</v>
      </c>
      <c r="AG173" s="1">
        <v>3811.6</v>
      </c>
      <c r="AH173" s="1">
        <v>2415</v>
      </c>
      <c r="AI173" s="1" t="s">
        <v>195</v>
      </c>
      <c r="AJ173" s="122">
        <v>45953.543749999997</v>
      </c>
      <c r="AK173" s="122">
        <v>45953.544444444444</v>
      </c>
      <c r="AL173" s="1" t="s">
        <v>212</v>
      </c>
      <c r="AO173" s="1" t="s">
        <v>113</v>
      </c>
      <c r="AP173" s="1" t="s">
        <v>1551</v>
      </c>
      <c r="AQ173" s="122">
        <v>45953.730555555558</v>
      </c>
      <c r="AR173" s="1">
        <v>2012.5</v>
      </c>
      <c r="AS173" s="1">
        <v>1597.28</v>
      </c>
      <c r="AT173" s="1" t="s">
        <v>198</v>
      </c>
      <c r="AU173" s="121">
        <v>45953</v>
      </c>
      <c r="AW173" s="1">
        <v>3610</v>
      </c>
      <c r="AX173" s="247">
        <v>47126</v>
      </c>
      <c r="AY173" s="1" t="s">
        <v>1552</v>
      </c>
      <c r="AZ173" s="1" t="s">
        <v>1553</v>
      </c>
      <c r="BA173" s="1" t="s">
        <v>180</v>
      </c>
      <c r="BB173" s="1">
        <v>530026</v>
      </c>
      <c r="BC173" s="121">
        <v>29262</v>
      </c>
      <c r="BE173" s="1" t="s">
        <v>1554</v>
      </c>
      <c r="BF173" s="122">
        <v>45953.451388888891</v>
      </c>
    </row>
    <row r="174" spans="1:58">
      <c r="A174" s="1">
        <v>167</v>
      </c>
      <c r="B174" s="1" t="s">
        <v>179</v>
      </c>
      <c r="C174" s="1" t="s">
        <v>180</v>
      </c>
      <c r="D174" s="1" t="s">
        <v>181</v>
      </c>
      <c r="E174" s="1" t="s">
        <v>1555</v>
      </c>
      <c r="F174" s="122">
        <v>45952.568749999999</v>
      </c>
      <c r="G174" s="1" t="s">
        <v>533</v>
      </c>
      <c r="I174" s="1" t="s">
        <v>1556</v>
      </c>
      <c r="K174" s="1" t="s">
        <v>1557</v>
      </c>
      <c r="M174" s="1" t="s">
        <v>206</v>
      </c>
      <c r="N174" s="1" t="s">
        <v>1558</v>
      </c>
      <c r="O174" s="1">
        <v>321628</v>
      </c>
      <c r="P174" s="1" t="s">
        <v>1559</v>
      </c>
      <c r="Q174" s="1" t="s">
        <v>315</v>
      </c>
      <c r="R174" s="1" t="s">
        <v>316</v>
      </c>
      <c r="S174" s="1" t="s">
        <v>317</v>
      </c>
      <c r="T174" s="1" t="s">
        <v>191</v>
      </c>
      <c r="U174" s="122">
        <v>45675.701388888891</v>
      </c>
      <c r="V174" s="1" t="s">
        <v>558</v>
      </c>
      <c r="W174" s="1" t="s">
        <v>20</v>
      </c>
      <c r="X174" s="1" t="s">
        <v>559</v>
      </c>
      <c r="Z174" s="1" t="s">
        <v>538</v>
      </c>
      <c r="AA174" s="1">
        <v>3087</v>
      </c>
      <c r="AB174" s="1">
        <v>0</v>
      </c>
      <c r="AC174" s="1">
        <v>0</v>
      </c>
      <c r="AD174" s="122">
        <v>45954.73541666667</v>
      </c>
      <c r="AE174" s="122">
        <v>45954.73541666667</v>
      </c>
      <c r="AF174" s="122">
        <v>45953.65625</v>
      </c>
      <c r="AG174" s="1">
        <v>0</v>
      </c>
      <c r="AH174" s="1">
        <v>0</v>
      </c>
      <c r="AI174" s="1" t="s">
        <v>195</v>
      </c>
      <c r="AJ174" s="122">
        <v>45952.570138888892</v>
      </c>
      <c r="AK174" s="122">
        <v>45952.595833333333</v>
      </c>
      <c r="AL174" s="1" t="s">
        <v>212</v>
      </c>
      <c r="AO174" s="1" t="s">
        <v>113</v>
      </c>
      <c r="AP174" s="1" t="s">
        <v>1560</v>
      </c>
      <c r="AQ174" s="122">
        <v>45953.656944444447</v>
      </c>
      <c r="AR174" s="1">
        <v>0</v>
      </c>
      <c r="AS174" s="1">
        <v>0</v>
      </c>
      <c r="AT174" s="1" t="s">
        <v>198</v>
      </c>
      <c r="AW174" s="1">
        <v>0</v>
      </c>
      <c r="AX174" s="1" t="s">
        <v>1561</v>
      </c>
      <c r="AY174" s="1" t="s">
        <v>1562</v>
      </c>
      <c r="AZ174" s="1" t="s">
        <v>1563</v>
      </c>
      <c r="BA174" s="1" t="s">
        <v>180</v>
      </c>
      <c r="BB174" s="1">
        <v>530002</v>
      </c>
      <c r="BE174" s="1" t="s">
        <v>1564</v>
      </c>
      <c r="BF174" s="122">
        <v>45952.567361111112</v>
      </c>
    </row>
    <row r="175" spans="1:58">
      <c r="A175" s="1">
        <v>168</v>
      </c>
      <c r="B175" s="1" t="s">
        <v>179</v>
      </c>
      <c r="C175" s="1" t="s">
        <v>180</v>
      </c>
      <c r="D175" s="1" t="s">
        <v>181</v>
      </c>
      <c r="E175" s="1" t="s">
        <v>1555</v>
      </c>
      <c r="F175" s="122">
        <v>45952.568749999999</v>
      </c>
      <c r="G175" s="1" t="s">
        <v>533</v>
      </c>
      <c r="I175" s="1" t="s">
        <v>1556</v>
      </c>
      <c r="K175" s="1" t="s">
        <v>1557</v>
      </c>
      <c r="M175" s="1" t="s">
        <v>206</v>
      </c>
      <c r="N175" s="1" t="s">
        <v>1558</v>
      </c>
      <c r="O175" s="1">
        <v>321628</v>
      </c>
      <c r="P175" s="1" t="s">
        <v>1559</v>
      </c>
      <c r="Q175" s="1" t="s">
        <v>315</v>
      </c>
      <c r="R175" s="1" t="s">
        <v>316</v>
      </c>
      <c r="S175" s="1" t="s">
        <v>317</v>
      </c>
      <c r="T175" s="1" t="s">
        <v>191</v>
      </c>
      <c r="U175" s="122">
        <v>45675.701388888891</v>
      </c>
      <c r="V175" s="1" t="s">
        <v>558</v>
      </c>
      <c r="W175" s="1" t="s">
        <v>20</v>
      </c>
      <c r="X175" s="1" t="s">
        <v>559</v>
      </c>
      <c r="Z175" s="1" t="s">
        <v>538</v>
      </c>
      <c r="AA175" s="1">
        <v>3087</v>
      </c>
      <c r="AB175" s="1">
        <v>0</v>
      </c>
      <c r="AC175" s="1">
        <v>0</v>
      </c>
      <c r="AD175" s="122">
        <v>45954.73541666667</v>
      </c>
      <c r="AE175" s="122">
        <v>45954.73541666667</v>
      </c>
      <c r="AF175" s="122">
        <v>45953.65625</v>
      </c>
      <c r="AG175" s="1">
        <v>0</v>
      </c>
      <c r="AH175" s="1">
        <v>0</v>
      </c>
      <c r="AI175" s="1" t="s">
        <v>195</v>
      </c>
      <c r="AJ175" s="122">
        <v>45952.570138888892</v>
      </c>
      <c r="AK175" s="122">
        <v>45952.595833333333</v>
      </c>
      <c r="AL175" s="1" t="s">
        <v>212</v>
      </c>
      <c r="AO175" s="1" t="s">
        <v>113</v>
      </c>
      <c r="AP175" s="1" t="s">
        <v>1565</v>
      </c>
      <c r="AQ175" s="122">
        <v>45953.656944444447</v>
      </c>
      <c r="AR175" s="1">
        <v>8466.5</v>
      </c>
      <c r="AS175" s="1">
        <v>2720.99</v>
      </c>
      <c r="AT175" s="1" t="s">
        <v>198</v>
      </c>
      <c r="AW175" s="1">
        <v>11187</v>
      </c>
      <c r="AX175" s="1" t="s">
        <v>1561</v>
      </c>
      <c r="AY175" s="1" t="s">
        <v>1562</v>
      </c>
      <c r="AZ175" s="1" t="s">
        <v>1563</v>
      </c>
      <c r="BA175" s="1" t="s">
        <v>180</v>
      </c>
      <c r="BB175" s="1">
        <v>530002</v>
      </c>
      <c r="BE175" s="1" t="s">
        <v>1564</v>
      </c>
      <c r="BF175" s="122">
        <v>45952.567361111112</v>
      </c>
    </row>
    <row r="176" spans="1:58">
      <c r="A176" s="1">
        <v>169</v>
      </c>
      <c r="B176" s="1" t="s">
        <v>179</v>
      </c>
      <c r="C176" s="1" t="s">
        <v>180</v>
      </c>
      <c r="D176" s="1" t="s">
        <v>181</v>
      </c>
      <c r="E176" s="1" t="s">
        <v>1566</v>
      </c>
      <c r="F176" s="122">
        <v>45953.431250000001</v>
      </c>
      <c r="G176" s="1" t="s">
        <v>218</v>
      </c>
      <c r="I176" s="1" t="s">
        <v>1567</v>
      </c>
      <c r="K176" s="1" t="s">
        <v>1568</v>
      </c>
      <c r="M176" s="1" t="s">
        <v>206</v>
      </c>
      <c r="N176" s="1" t="s">
        <v>1569</v>
      </c>
      <c r="O176" s="1">
        <v>370938</v>
      </c>
      <c r="P176" s="1">
        <v>5156942</v>
      </c>
      <c r="Q176" s="1" t="s">
        <v>271</v>
      </c>
      <c r="R176" s="1" t="s">
        <v>644</v>
      </c>
      <c r="S176" s="1" t="s">
        <v>645</v>
      </c>
      <c r="T176" s="1" t="s">
        <v>191</v>
      </c>
      <c r="U176" s="122">
        <v>41664.775000000001</v>
      </c>
      <c r="V176" s="1" t="s">
        <v>192</v>
      </c>
      <c r="W176" s="1" t="s">
        <v>21</v>
      </c>
      <c r="X176" s="1" t="s">
        <v>226</v>
      </c>
      <c r="Z176" s="1" t="s">
        <v>3</v>
      </c>
      <c r="AA176" s="1">
        <v>96352</v>
      </c>
      <c r="AB176" s="1">
        <v>2000</v>
      </c>
      <c r="AC176" s="1">
        <v>4000</v>
      </c>
      <c r="AD176" s="122">
        <v>45953.6875</v>
      </c>
      <c r="AE176" s="122">
        <v>45953.729166666664</v>
      </c>
      <c r="AF176" s="122">
        <v>45953.647916666669</v>
      </c>
      <c r="AG176" s="1">
        <v>2889</v>
      </c>
      <c r="AH176" s="1">
        <v>1915</v>
      </c>
      <c r="AI176" s="1" t="s">
        <v>195</v>
      </c>
      <c r="AJ176" s="122">
        <v>45953.643750000003</v>
      </c>
      <c r="AK176" s="122">
        <v>45953.644444444442</v>
      </c>
      <c r="AL176" s="1" t="s">
        <v>212</v>
      </c>
      <c r="AO176" s="1" t="s">
        <v>113</v>
      </c>
      <c r="AP176" s="1" t="s">
        <v>1570</v>
      </c>
      <c r="AQ176" s="122">
        <v>45953.647916666669</v>
      </c>
      <c r="AR176" s="1">
        <v>1552.88</v>
      </c>
      <c r="AS176" s="1">
        <v>4225.99</v>
      </c>
      <c r="AT176" s="1" t="s">
        <v>198</v>
      </c>
      <c r="AW176" s="1">
        <v>5779</v>
      </c>
      <c r="AX176" s="1" t="s">
        <v>1571</v>
      </c>
      <c r="AY176" s="1" t="s">
        <v>1572</v>
      </c>
      <c r="AZ176" s="1" t="s">
        <v>1573</v>
      </c>
      <c r="BA176" s="1" t="s">
        <v>180</v>
      </c>
      <c r="BB176" s="1">
        <v>532593</v>
      </c>
      <c r="BE176" s="1" t="s">
        <v>1492</v>
      </c>
      <c r="BF176" s="122">
        <v>45953.421527777777</v>
      </c>
    </row>
    <row r="177" spans="1:58">
      <c r="A177" s="1">
        <v>170</v>
      </c>
      <c r="B177" s="1" t="s">
        <v>179</v>
      </c>
      <c r="C177" s="1" t="s">
        <v>180</v>
      </c>
      <c r="D177" s="1" t="s">
        <v>181</v>
      </c>
      <c r="E177" s="1" t="s">
        <v>1574</v>
      </c>
      <c r="F177" s="122">
        <v>45953.732638888891</v>
      </c>
      <c r="G177" s="1" t="s">
        <v>244</v>
      </c>
      <c r="I177" s="1" t="s">
        <v>1484</v>
      </c>
      <c r="K177" s="1" t="s">
        <v>1485</v>
      </c>
      <c r="M177" s="1" t="s">
        <v>206</v>
      </c>
      <c r="N177" s="1" t="s">
        <v>1486</v>
      </c>
      <c r="O177" s="1">
        <v>248635</v>
      </c>
      <c r="P177" s="1">
        <v>2408004</v>
      </c>
      <c r="Q177" s="1" t="s">
        <v>271</v>
      </c>
      <c r="R177" s="1" t="s">
        <v>1487</v>
      </c>
      <c r="S177" s="1" t="s">
        <v>632</v>
      </c>
      <c r="T177" s="1" t="s">
        <v>191</v>
      </c>
      <c r="U177" s="122">
        <v>44273.811805555553</v>
      </c>
      <c r="V177" s="1" t="s">
        <v>192</v>
      </c>
      <c r="W177" s="1" t="s">
        <v>21</v>
      </c>
      <c r="X177" s="1" t="s">
        <v>193</v>
      </c>
      <c r="Z177" s="1" t="s">
        <v>4</v>
      </c>
      <c r="AA177" s="1">
        <v>47024</v>
      </c>
      <c r="AB177" s="1">
        <v>600</v>
      </c>
      <c r="AC177" s="1">
        <v>150</v>
      </c>
      <c r="AD177" s="122">
        <v>45953.770833333336</v>
      </c>
      <c r="AE177" s="122">
        <v>45953.770833333336</v>
      </c>
      <c r="AF177" s="122">
        <v>45953.734722222223</v>
      </c>
      <c r="AG177" s="1">
        <v>150</v>
      </c>
      <c r="AH177" s="1">
        <v>600</v>
      </c>
      <c r="AI177" s="1" t="s">
        <v>195</v>
      </c>
      <c r="AL177" s="1" t="s">
        <v>196</v>
      </c>
      <c r="AO177" s="1" t="s">
        <v>113</v>
      </c>
      <c r="AP177" s="1" t="s">
        <v>1575</v>
      </c>
      <c r="AQ177" s="122">
        <v>45953.734722222223</v>
      </c>
      <c r="AR177" s="1">
        <v>480.86</v>
      </c>
      <c r="AS177" s="1">
        <v>37.49</v>
      </c>
      <c r="AT177" s="1" t="s">
        <v>198</v>
      </c>
      <c r="AW177" s="1">
        <v>518</v>
      </c>
      <c r="AX177" s="1" t="s">
        <v>1489</v>
      </c>
      <c r="AY177" s="1" t="s">
        <v>1490</v>
      </c>
      <c r="AZ177" s="1" t="s">
        <v>1491</v>
      </c>
      <c r="BA177" s="1" t="s">
        <v>180</v>
      </c>
      <c r="BB177" s="1">
        <v>530045</v>
      </c>
      <c r="BE177" s="1" t="s">
        <v>1492</v>
      </c>
      <c r="BF177" s="122">
        <v>45953.730555555558</v>
      </c>
    </row>
    <row r="178" spans="1:58">
      <c r="A178" s="1">
        <v>171</v>
      </c>
      <c r="B178" s="1" t="s">
        <v>179</v>
      </c>
      <c r="C178" s="1" t="s">
        <v>180</v>
      </c>
      <c r="D178" s="1" t="s">
        <v>181</v>
      </c>
      <c r="E178" s="1" t="s">
        <v>1576</v>
      </c>
      <c r="F178" s="122">
        <v>45953.498611111114</v>
      </c>
      <c r="G178" s="1" t="s">
        <v>244</v>
      </c>
      <c r="I178" s="1" t="s">
        <v>1577</v>
      </c>
      <c r="K178" s="1" t="s">
        <v>1578</v>
      </c>
      <c r="N178" s="1" t="s">
        <v>1579</v>
      </c>
      <c r="O178" s="1">
        <v>501031</v>
      </c>
      <c r="P178" s="1">
        <v>2338732</v>
      </c>
      <c r="Q178" s="1" t="s">
        <v>235</v>
      </c>
      <c r="R178" s="1" t="s">
        <v>1580</v>
      </c>
      <c r="S178" s="1" t="s">
        <v>808</v>
      </c>
      <c r="T178" s="1" t="s">
        <v>454</v>
      </c>
      <c r="U178" s="122">
        <v>41722.699999999997</v>
      </c>
      <c r="V178" s="1" t="s">
        <v>192</v>
      </c>
      <c r="W178" s="1" t="s">
        <v>21</v>
      </c>
      <c r="X178" s="1" t="s">
        <v>193</v>
      </c>
      <c r="Z178" s="1" t="s">
        <v>4</v>
      </c>
      <c r="AA178" s="1">
        <v>114584</v>
      </c>
      <c r="AB178" s="1">
        <v>0</v>
      </c>
      <c r="AC178" s="1">
        <v>0</v>
      </c>
      <c r="AD178" s="122">
        <v>45953.6875</v>
      </c>
      <c r="AE178" s="122">
        <v>45953.6875</v>
      </c>
      <c r="AF178" s="122">
        <v>45953.507638888892</v>
      </c>
      <c r="AG178" s="1">
        <v>0</v>
      </c>
      <c r="AH178" s="1">
        <v>0</v>
      </c>
      <c r="AI178" s="1" t="s">
        <v>195</v>
      </c>
      <c r="AJ178" s="122">
        <v>45953.506249999999</v>
      </c>
      <c r="AK178" s="122">
        <v>45953.506944444445</v>
      </c>
      <c r="AL178" s="1" t="s">
        <v>212</v>
      </c>
      <c r="AO178" s="1" t="s">
        <v>113</v>
      </c>
      <c r="AP178" s="1" t="s">
        <v>1581</v>
      </c>
      <c r="AQ178" s="122">
        <v>45953.508333333331</v>
      </c>
      <c r="AR178" s="1">
        <v>73.28</v>
      </c>
      <c r="AS178" s="1">
        <v>524.99</v>
      </c>
      <c r="AT178" s="1" t="s">
        <v>198</v>
      </c>
      <c r="AW178" s="1">
        <v>598</v>
      </c>
      <c r="AX178" s="1" t="s">
        <v>1582</v>
      </c>
      <c r="AY178" s="1" t="s">
        <v>1583</v>
      </c>
      <c r="AZ178" s="1" t="s">
        <v>1584</v>
      </c>
      <c r="BA178" s="1" t="s">
        <v>180</v>
      </c>
      <c r="BB178" s="1">
        <v>530017</v>
      </c>
      <c r="BC178" s="121">
        <v>30132</v>
      </c>
      <c r="BE178" s="1" t="s">
        <v>1585</v>
      </c>
      <c r="BF178" s="122">
        <v>45953.490972222222</v>
      </c>
    </row>
    <row r="179" spans="1:58">
      <c r="A179" s="1">
        <v>172</v>
      </c>
      <c r="B179" s="1" t="s">
        <v>179</v>
      </c>
      <c r="C179" s="1" t="s">
        <v>180</v>
      </c>
      <c r="D179" s="1" t="s">
        <v>181</v>
      </c>
      <c r="E179" s="1" t="s">
        <v>1586</v>
      </c>
      <c r="F179" s="122">
        <v>45934.504166666666</v>
      </c>
      <c r="G179" s="1" t="s">
        <v>533</v>
      </c>
      <c r="I179" s="1" t="s">
        <v>1587</v>
      </c>
      <c r="K179" s="1" t="s">
        <v>1588</v>
      </c>
      <c r="M179" s="1" t="s">
        <v>206</v>
      </c>
      <c r="N179" s="1" t="s">
        <v>1589</v>
      </c>
      <c r="O179" s="1">
        <v>117731</v>
      </c>
      <c r="P179" s="1">
        <v>1803420</v>
      </c>
      <c r="Q179" s="1" t="s">
        <v>235</v>
      </c>
      <c r="R179" s="1" t="s">
        <v>997</v>
      </c>
      <c r="S179" s="1" t="s">
        <v>808</v>
      </c>
      <c r="T179" s="1" t="s">
        <v>191</v>
      </c>
      <c r="U179" s="122">
        <v>40968.940972222219</v>
      </c>
      <c r="V179" s="1" t="s">
        <v>558</v>
      </c>
      <c r="W179" s="1" t="s">
        <v>20</v>
      </c>
      <c r="X179" s="1" t="s">
        <v>559</v>
      </c>
      <c r="Z179" s="1" t="s">
        <v>538</v>
      </c>
      <c r="AA179" s="1">
        <v>435022</v>
      </c>
      <c r="AB179" s="1">
        <v>0</v>
      </c>
      <c r="AC179" s="1">
        <v>0</v>
      </c>
      <c r="AD179" s="122">
        <v>45939.467361111114</v>
      </c>
      <c r="AE179" s="122">
        <v>45939.467361111114</v>
      </c>
      <c r="AF179" s="122">
        <v>45954.672222222223</v>
      </c>
      <c r="AG179" s="1">
        <v>5705.5</v>
      </c>
      <c r="AH179" s="1">
        <v>0</v>
      </c>
      <c r="AI179" s="1" t="s">
        <v>195</v>
      </c>
      <c r="AJ179" s="122">
        <v>45940.584027777775</v>
      </c>
      <c r="AL179" s="1" t="s">
        <v>196</v>
      </c>
      <c r="AO179" s="1" t="s">
        <v>113</v>
      </c>
      <c r="AP179" s="1" t="s">
        <v>1590</v>
      </c>
      <c r="AQ179" s="122">
        <v>45954.672222222223</v>
      </c>
      <c r="AR179" s="1">
        <v>13973.32</v>
      </c>
      <c r="AS179" s="1">
        <v>11881.86</v>
      </c>
      <c r="AT179" s="1" t="s">
        <v>198</v>
      </c>
      <c r="AU179" s="121">
        <v>45934</v>
      </c>
      <c r="AW179" s="1">
        <v>25855</v>
      </c>
      <c r="AX179" s="1" t="s">
        <v>1591</v>
      </c>
      <c r="AY179" s="1" t="s">
        <v>1592</v>
      </c>
      <c r="AZ179" s="1" t="s">
        <v>1593</v>
      </c>
      <c r="BA179" s="1" t="s">
        <v>180</v>
      </c>
      <c r="BB179" s="1">
        <v>530015</v>
      </c>
      <c r="BF179" s="122">
        <v>45934.464583333334</v>
      </c>
    </row>
    <row r="180" spans="1:58">
      <c r="A180" s="1">
        <v>173</v>
      </c>
      <c r="B180" s="1" t="s">
        <v>179</v>
      </c>
      <c r="C180" s="1" t="s">
        <v>180</v>
      </c>
      <c r="D180" s="1" t="s">
        <v>181</v>
      </c>
      <c r="E180" s="1" t="s">
        <v>1594</v>
      </c>
      <c r="F180" s="122">
        <v>45954.467361111114</v>
      </c>
      <c r="G180" s="1" t="s">
        <v>244</v>
      </c>
      <c r="H180" s="1" t="s">
        <v>471</v>
      </c>
      <c r="I180" s="1" t="s">
        <v>440</v>
      </c>
      <c r="K180" s="1" t="s">
        <v>441</v>
      </c>
      <c r="N180" s="1" t="s">
        <v>442</v>
      </c>
      <c r="O180" s="1">
        <v>584326</v>
      </c>
      <c r="P180" s="1">
        <v>4544485</v>
      </c>
      <c r="Q180" s="1" t="s">
        <v>443</v>
      </c>
      <c r="R180" s="1" t="s">
        <v>444</v>
      </c>
      <c r="S180" s="1" t="s">
        <v>262</v>
      </c>
      <c r="T180" s="1" t="s">
        <v>191</v>
      </c>
      <c r="U180" s="122">
        <v>41593.843055555553</v>
      </c>
      <c r="V180" s="1" t="s">
        <v>192</v>
      </c>
      <c r="W180" s="1" t="s">
        <v>19</v>
      </c>
      <c r="X180" s="1" t="s">
        <v>193</v>
      </c>
      <c r="Z180" s="1" t="s">
        <v>4</v>
      </c>
      <c r="AA180" s="1">
        <v>39916</v>
      </c>
      <c r="AB180" s="1">
        <v>1000</v>
      </c>
      <c r="AC180" s="1">
        <v>3000</v>
      </c>
      <c r="AD180" s="122">
        <v>45954.8125</v>
      </c>
      <c r="AE180" s="122">
        <v>45954.8125</v>
      </c>
      <c r="AF180" s="122">
        <v>45954.665277777778</v>
      </c>
      <c r="AG180" s="1">
        <v>3000</v>
      </c>
      <c r="AH180" s="1">
        <v>1000</v>
      </c>
      <c r="AI180" s="1" t="s">
        <v>195</v>
      </c>
      <c r="AL180" s="1" t="s">
        <v>196</v>
      </c>
      <c r="AO180" s="1" t="s">
        <v>113</v>
      </c>
      <c r="AP180" s="1" t="s">
        <v>1595</v>
      </c>
      <c r="AQ180" s="122">
        <v>45954.665972222225</v>
      </c>
      <c r="AR180" s="1">
        <v>693.02</v>
      </c>
      <c r="AS180" s="1">
        <v>2554.9899999999998</v>
      </c>
      <c r="AT180" s="1" t="s">
        <v>198</v>
      </c>
      <c r="AW180" s="1">
        <v>3248</v>
      </c>
      <c r="AX180" s="1" t="s">
        <v>446</v>
      </c>
      <c r="AY180" s="1" t="s">
        <v>447</v>
      </c>
      <c r="AZ180" s="1" t="s">
        <v>288</v>
      </c>
      <c r="BA180" s="1" t="s">
        <v>180</v>
      </c>
      <c r="BB180" s="1">
        <v>530045</v>
      </c>
      <c r="BC180" s="121">
        <v>23536</v>
      </c>
      <c r="BE180" s="1" t="s">
        <v>448</v>
      </c>
      <c r="BF180" s="122">
        <v>45954.464583333334</v>
      </c>
    </row>
    <row r="181" spans="1:58">
      <c r="A181" s="1">
        <v>174</v>
      </c>
      <c r="B181" s="1" t="s">
        <v>179</v>
      </c>
      <c r="C181" s="1" t="s">
        <v>180</v>
      </c>
      <c r="D181" s="1" t="s">
        <v>181</v>
      </c>
      <c r="E181" s="1" t="s">
        <v>1596</v>
      </c>
      <c r="F181" s="122">
        <v>45954.427083333336</v>
      </c>
      <c r="G181" s="1" t="s">
        <v>244</v>
      </c>
      <c r="I181" s="1" t="s">
        <v>1597</v>
      </c>
      <c r="K181" s="1" t="s">
        <v>1598</v>
      </c>
      <c r="N181" s="1" t="s">
        <v>1599</v>
      </c>
      <c r="O181" s="1">
        <v>379812</v>
      </c>
      <c r="P181" s="1">
        <v>3172706</v>
      </c>
      <c r="Q181" s="1" t="s">
        <v>1600</v>
      </c>
      <c r="R181" s="1" t="s">
        <v>1601</v>
      </c>
      <c r="S181" s="1" t="s">
        <v>1602</v>
      </c>
      <c r="T181" s="1" t="s">
        <v>191</v>
      </c>
      <c r="U181" s="122">
        <v>43060.749305555553</v>
      </c>
      <c r="V181" s="1" t="s">
        <v>192</v>
      </c>
      <c r="W181" s="1" t="s">
        <v>19</v>
      </c>
      <c r="X181" s="1" t="s">
        <v>193</v>
      </c>
      <c r="Z181" s="1" t="s">
        <v>4</v>
      </c>
      <c r="AA181" s="1">
        <v>96846</v>
      </c>
      <c r="AB181" s="1">
        <v>1000</v>
      </c>
      <c r="AC181" s="1">
        <v>5000</v>
      </c>
      <c r="AD181" s="122">
        <v>45954.770833333336</v>
      </c>
      <c r="AE181" s="122">
        <v>45954.770833333336</v>
      </c>
      <c r="AF181" s="122">
        <v>45954.738888888889</v>
      </c>
      <c r="AG181" s="1">
        <v>5000</v>
      </c>
      <c r="AH181" s="1">
        <v>1000</v>
      </c>
      <c r="AI181" s="1" t="s">
        <v>195</v>
      </c>
      <c r="AL181" s="1" t="s">
        <v>196</v>
      </c>
      <c r="AO181" s="1" t="s">
        <v>113</v>
      </c>
      <c r="AP181" s="1" t="s">
        <v>1603</v>
      </c>
      <c r="AQ181" s="122">
        <v>45954.739583333336</v>
      </c>
      <c r="AR181" s="1">
        <v>2051.8000000000002</v>
      </c>
      <c r="AS181" s="1">
        <v>19014.97</v>
      </c>
      <c r="AT181" s="1" t="s">
        <v>198</v>
      </c>
      <c r="AW181" s="1">
        <v>21067</v>
      </c>
      <c r="AX181" s="1" t="s">
        <v>1604</v>
      </c>
      <c r="AY181" s="1" t="s">
        <v>1605</v>
      </c>
      <c r="AZ181" s="1" t="s">
        <v>1606</v>
      </c>
      <c r="BA181" s="1" t="s">
        <v>180</v>
      </c>
      <c r="BB181" s="1">
        <v>530046</v>
      </c>
      <c r="BF181" s="122">
        <v>45954.40625</v>
      </c>
    </row>
    <row r="182" spans="1:58">
      <c r="A182" s="1">
        <v>175</v>
      </c>
      <c r="B182" s="1" t="s">
        <v>179</v>
      </c>
      <c r="C182" s="1" t="s">
        <v>180</v>
      </c>
      <c r="D182" s="1" t="s">
        <v>181</v>
      </c>
      <c r="E182" s="1" t="s">
        <v>1607</v>
      </c>
      <c r="F182" s="122">
        <v>45954.7</v>
      </c>
      <c r="G182" s="1" t="s">
        <v>651</v>
      </c>
      <c r="I182" s="1" t="s">
        <v>1608</v>
      </c>
      <c r="K182" s="1" t="s">
        <v>1609</v>
      </c>
      <c r="N182" s="1" t="s">
        <v>1610</v>
      </c>
      <c r="O182" s="1">
        <v>232855</v>
      </c>
      <c r="P182" s="1" t="s">
        <v>1611</v>
      </c>
      <c r="Q182" s="1" t="s">
        <v>235</v>
      </c>
      <c r="R182" s="1" t="s">
        <v>1612</v>
      </c>
      <c r="S182" s="1" t="s">
        <v>1613</v>
      </c>
      <c r="U182" s="122">
        <v>45927.82916666667</v>
      </c>
      <c r="V182" s="1" t="s">
        <v>192</v>
      </c>
      <c r="W182" s="1" t="s">
        <v>21</v>
      </c>
      <c r="X182" s="1" t="s">
        <v>226</v>
      </c>
      <c r="Z182" s="1" t="s">
        <v>658</v>
      </c>
      <c r="AA182" s="1">
        <v>1024</v>
      </c>
      <c r="AB182" s="1">
        <v>0</v>
      </c>
      <c r="AC182" s="1">
        <v>64</v>
      </c>
      <c r="AD182" s="122">
        <v>45954.729166666664</v>
      </c>
      <c r="AE182" s="122">
        <v>45954.729166666664</v>
      </c>
      <c r="AF182" s="122">
        <v>45954.706944444442</v>
      </c>
      <c r="AG182" s="1">
        <v>64</v>
      </c>
      <c r="AH182" s="1">
        <v>0</v>
      </c>
      <c r="AI182" s="1" t="s">
        <v>195</v>
      </c>
      <c r="AJ182" s="122">
        <v>45954.70416666667</v>
      </c>
      <c r="AK182" s="122">
        <v>45954.704861111109</v>
      </c>
      <c r="AL182" s="1" t="s">
        <v>212</v>
      </c>
      <c r="AO182" s="1" t="s">
        <v>113</v>
      </c>
      <c r="AP182" s="1" t="s">
        <v>1614</v>
      </c>
      <c r="AQ182" s="122">
        <v>45954.706944444442</v>
      </c>
      <c r="AR182" s="1">
        <v>0</v>
      </c>
      <c r="AS182" s="1">
        <v>67.959999999999994</v>
      </c>
      <c r="AT182" s="1" t="s">
        <v>198</v>
      </c>
      <c r="AW182" s="1">
        <v>68</v>
      </c>
      <c r="AX182" s="248">
        <v>25569</v>
      </c>
      <c r="AY182" s="1" t="s">
        <v>1615</v>
      </c>
      <c r="AZ182" s="1" t="s">
        <v>180</v>
      </c>
      <c r="BA182" s="1" t="s">
        <v>180</v>
      </c>
      <c r="BB182" s="1">
        <v>531162</v>
      </c>
      <c r="BE182" s="1" t="s">
        <v>1285</v>
      </c>
      <c r="BF182" s="122">
        <v>45954.696527777778</v>
      </c>
    </row>
    <row r="183" spans="1:58">
      <c r="A183" s="1">
        <v>176</v>
      </c>
      <c r="B183" s="1" t="s">
        <v>179</v>
      </c>
      <c r="C183" s="1" t="s">
        <v>180</v>
      </c>
      <c r="D183" s="1" t="s">
        <v>181</v>
      </c>
      <c r="E183" s="1" t="s">
        <v>1616</v>
      </c>
      <c r="F183" s="122">
        <v>45952.529861111114</v>
      </c>
      <c r="G183" s="1" t="s">
        <v>244</v>
      </c>
      <c r="I183" s="1" t="s">
        <v>1587</v>
      </c>
      <c r="K183" s="1" t="s">
        <v>1588</v>
      </c>
      <c r="M183" s="1" t="s">
        <v>206</v>
      </c>
      <c r="N183" s="1" t="s">
        <v>1589</v>
      </c>
      <c r="O183" s="1">
        <v>117731</v>
      </c>
      <c r="P183" s="1">
        <v>1803420</v>
      </c>
      <c r="Q183" s="1" t="s">
        <v>235</v>
      </c>
      <c r="R183" s="1" t="s">
        <v>997</v>
      </c>
      <c r="S183" s="1" t="s">
        <v>808</v>
      </c>
      <c r="T183" s="1" t="s">
        <v>191</v>
      </c>
      <c r="U183" s="122">
        <v>40968.940972222219</v>
      </c>
      <c r="V183" s="1" t="s">
        <v>192</v>
      </c>
      <c r="W183" s="1" t="s">
        <v>19</v>
      </c>
      <c r="X183" s="1" t="s">
        <v>193</v>
      </c>
      <c r="Z183" s="1" t="s">
        <v>4</v>
      </c>
      <c r="AA183" s="1">
        <v>435023</v>
      </c>
      <c r="AB183" s="1">
        <v>1000</v>
      </c>
      <c r="AC183" s="1">
        <v>18000</v>
      </c>
      <c r="AD183" s="122">
        <v>45952.770833333336</v>
      </c>
      <c r="AE183" s="122">
        <v>45952.770833333336</v>
      </c>
      <c r="AF183" s="122">
        <v>45954.675694444442</v>
      </c>
      <c r="AG183" s="1">
        <v>0</v>
      </c>
      <c r="AH183" s="1">
        <v>0</v>
      </c>
      <c r="AI183" s="1" t="s">
        <v>195</v>
      </c>
      <c r="AJ183" s="122">
        <v>45952.621527777781</v>
      </c>
      <c r="AK183" s="122">
        <v>45952.621527777781</v>
      </c>
      <c r="AL183" s="1" t="s">
        <v>212</v>
      </c>
      <c r="AO183" s="1" t="s">
        <v>113</v>
      </c>
      <c r="AP183" s="1" t="s">
        <v>1617</v>
      </c>
      <c r="AQ183" s="122">
        <v>45954.676388888889</v>
      </c>
      <c r="AR183" s="1">
        <v>1172.46</v>
      </c>
      <c r="AS183" s="1">
        <v>14524.98</v>
      </c>
      <c r="AT183" s="1" t="s">
        <v>198</v>
      </c>
      <c r="AW183" s="1">
        <v>15697</v>
      </c>
      <c r="AX183" s="1" t="s">
        <v>1591</v>
      </c>
      <c r="AY183" s="1" t="s">
        <v>1592</v>
      </c>
      <c r="AZ183" s="1" t="s">
        <v>1593</v>
      </c>
      <c r="BA183" s="1" t="s">
        <v>180</v>
      </c>
      <c r="BB183" s="1">
        <v>530015</v>
      </c>
      <c r="BF183" s="122">
        <v>45952.527083333334</v>
      </c>
    </row>
    <row r="184" spans="1:58">
      <c r="A184" s="1">
        <v>177</v>
      </c>
      <c r="B184" s="1" t="s">
        <v>179</v>
      </c>
      <c r="C184" s="1" t="s">
        <v>180</v>
      </c>
      <c r="D184" s="1" t="s">
        <v>181</v>
      </c>
      <c r="E184" s="1" t="s">
        <v>1618</v>
      </c>
      <c r="F184" s="122">
        <v>45954.711111111108</v>
      </c>
      <c r="G184" s="1" t="s">
        <v>1012</v>
      </c>
      <c r="I184" s="1" t="s">
        <v>1619</v>
      </c>
      <c r="K184" s="1" t="s">
        <v>1620</v>
      </c>
      <c r="N184" s="1" t="s">
        <v>1621</v>
      </c>
      <c r="O184" s="1">
        <v>298259</v>
      </c>
      <c r="P184" s="1">
        <v>7164497</v>
      </c>
      <c r="Q184" s="1" t="s">
        <v>235</v>
      </c>
      <c r="R184" s="1" t="s">
        <v>465</v>
      </c>
      <c r="S184" s="1" t="s">
        <v>368</v>
      </c>
      <c r="T184" s="1" t="s">
        <v>191</v>
      </c>
      <c r="U184" s="122">
        <v>44936.509027777778</v>
      </c>
      <c r="V184" s="1" t="s">
        <v>558</v>
      </c>
      <c r="W184" s="1" t="s">
        <v>20</v>
      </c>
      <c r="X184" s="1" t="s">
        <v>559</v>
      </c>
      <c r="Z184" s="1" t="s">
        <v>23</v>
      </c>
      <c r="AA184" s="1">
        <v>63201</v>
      </c>
      <c r="AB184" s="1">
        <v>0</v>
      </c>
      <c r="AC184" s="1">
        <v>0</v>
      </c>
      <c r="AD184" s="122">
        <v>45954.835416666669</v>
      </c>
      <c r="AE184" s="122">
        <v>45954.835416666669</v>
      </c>
      <c r="AF184" s="122">
        <v>45954.759722222225</v>
      </c>
      <c r="AG184" s="1">
        <v>0</v>
      </c>
      <c r="AH184" s="1">
        <v>0</v>
      </c>
      <c r="AI184" s="1" t="s">
        <v>195</v>
      </c>
      <c r="AL184" s="1" t="s">
        <v>196</v>
      </c>
      <c r="AO184" s="1" t="s">
        <v>113</v>
      </c>
      <c r="AP184" s="1" t="s">
        <v>1622</v>
      </c>
      <c r="AQ184" s="122">
        <v>45954.760416666664</v>
      </c>
      <c r="AR184" s="1">
        <v>177</v>
      </c>
      <c r="AS184" s="1">
        <v>804.99</v>
      </c>
      <c r="AT184" s="1" t="s">
        <v>198</v>
      </c>
      <c r="AW184" s="1">
        <v>982</v>
      </c>
      <c r="AX184" s="1" t="s">
        <v>1623</v>
      </c>
      <c r="AY184" s="1" t="s">
        <v>1624</v>
      </c>
      <c r="AZ184" s="1" t="s">
        <v>1625</v>
      </c>
      <c r="BA184" s="1" t="s">
        <v>180</v>
      </c>
      <c r="BB184" s="1">
        <v>530001</v>
      </c>
      <c r="BE184" s="1" t="s">
        <v>1626</v>
      </c>
      <c r="BF184" s="122">
        <v>45954.708333333336</v>
      </c>
    </row>
    <row r="185" spans="1:58">
      <c r="A185" s="1">
        <v>178</v>
      </c>
      <c r="B185" s="1" t="s">
        <v>179</v>
      </c>
      <c r="C185" s="1" t="s">
        <v>180</v>
      </c>
      <c r="D185" s="1" t="s">
        <v>181</v>
      </c>
      <c r="E185" s="1" t="s">
        <v>1627</v>
      </c>
      <c r="F185" s="122">
        <v>45954.490277777775</v>
      </c>
      <c r="G185" s="1" t="s">
        <v>872</v>
      </c>
      <c r="I185" s="1" t="s">
        <v>1628</v>
      </c>
      <c r="K185" s="1" t="s">
        <v>1629</v>
      </c>
      <c r="M185" s="1" t="s">
        <v>233</v>
      </c>
      <c r="N185" s="1" t="s">
        <v>1630</v>
      </c>
      <c r="O185" s="1">
        <v>733652</v>
      </c>
      <c r="P185" s="1">
        <v>9151697</v>
      </c>
      <c r="Q185" s="1" t="s">
        <v>1631</v>
      </c>
      <c r="R185" s="1" t="s">
        <v>621</v>
      </c>
      <c r="S185" s="1" t="s">
        <v>526</v>
      </c>
      <c r="T185" s="1" t="s">
        <v>191</v>
      </c>
      <c r="U185" s="122">
        <v>44763.795138888891</v>
      </c>
      <c r="V185" s="1" t="s">
        <v>192</v>
      </c>
      <c r="W185" s="1" t="s">
        <v>21</v>
      </c>
      <c r="X185" s="1" t="s">
        <v>193</v>
      </c>
      <c r="Z185" s="1" t="s">
        <v>877</v>
      </c>
      <c r="AA185" s="1">
        <v>22139</v>
      </c>
      <c r="AB185" s="1">
        <v>0</v>
      </c>
      <c r="AC185" s="1">
        <v>5250</v>
      </c>
      <c r="AD185" s="122">
        <v>45954.645833333336</v>
      </c>
      <c r="AE185" s="122">
        <v>45954.645833333336</v>
      </c>
      <c r="AF185" s="122">
        <v>45954.502083333333</v>
      </c>
      <c r="AG185" s="1">
        <v>5250</v>
      </c>
      <c r="AH185" s="1">
        <v>0</v>
      </c>
      <c r="AI185" s="1" t="s">
        <v>195</v>
      </c>
      <c r="AL185" s="1" t="s">
        <v>196</v>
      </c>
      <c r="AO185" s="1" t="s">
        <v>113</v>
      </c>
      <c r="AP185" s="1" t="s">
        <v>1632</v>
      </c>
      <c r="AQ185" s="122">
        <v>45954.502083333333</v>
      </c>
      <c r="AR185" s="1">
        <v>0</v>
      </c>
      <c r="AS185" s="1">
        <v>5246</v>
      </c>
      <c r="AT185" s="1" t="s">
        <v>198</v>
      </c>
      <c r="AW185" s="1">
        <v>5246</v>
      </c>
      <c r="AX185" s="1" t="s">
        <v>1633</v>
      </c>
      <c r="AY185" s="1" t="s">
        <v>1634</v>
      </c>
      <c r="BA185" s="1" t="s">
        <v>180</v>
      </c>
      <c r="BB185" s="1">
        <v>530015</v>
      </c>
      <c r="BE185" s="1" t="s">
        <v>1635</v>
      </c>
      <c r="BF185" s="122">
        <v>45954.487500000003</v>
      </c>
    </row>
    <row r="186" spans="1:58">
      <c r="A186" s="1">
        <v>179</v>
      </c>
      <c r="B186" s="1" t="s">
        <v>179</v>
      </c>
      <c r="C186" s="1" t="s">
        <v>180</v>
      </c>
      <c r="D186" s="1" t="s">
        <v>181</v>
      </c>
      <c r="E186" s="1" t="s">
        <v>1636</v>
      </c>
      <c r="F186" s="122">
        <v>45954.511111111111</v>
      </c>
      <c r="G186" s="1" t="s">
        <v>218</v>
      </c>
      <c r="I186" s="1" t="s">
        <v>1637</v>
      </c>
      <c r="K186" s="1" t="s">
        <v>1638</v>
      </c>
      <c r="M186" s="1" t="s">
        <v>233</v>
      </c>
      <c r="N186" s="1" t="s">
        <v>1639</v>
      </c>
      <c r="O186" s="1">
        <v>220897</v>
      </c>
      <c r="P186" s="1">
        <v>5423108</v>
      </c>
      <c r="Q186" s="1" t="s">
        <v>706</v>
      </c>
      <c r="R186" s="1" t="s">
        <v>1640</v>
      </c>
      <c r="S186" s="1" t="s">
        <v>850</v>
      </c>
      <c r="T186" s="1" t="s">
        <v>454</v>
      </c>
      <c r="U186" s="122">
        <v>42842.813194444447</v>
      </c>
      <c r="V186" s="1" t="s">
        <v>192</v>
      </c>
      <c r="W186" s="1" t="s">
        <v>21</v>
      </c>
      <c r="X186" s="1" t="s">
        <v>193</v>
      </c>
      <c r="Z186" s="1" t="s">
        <v>3</v>
      </c>
      <c r="AA186" s="1">
        <v>135946</v>
      </c>
      <c r="AB186" s="1">
        <v>3000</v>
      </c>
      <c r="AC186" s="1">
        <v>6500</v>
      </c>
      <c r="AD186" s="122">
        <v>45954.770833333336</v>
      </c>
      <c r="AE186" s="122">
        <v>45954.770833333336</v>
      </c>
      <c r="AF186" s="122">
        <v>45954.714583333334</v>
      </c>
      <c r="AG186" s="1">
        <v>4578.8999999999996</v>
      </c>
      <c r="AH186" s="1">
        <v>2610</v>
      </c>
      <c r="AI186" s="1" t="s">
        <v>195</v>
      </c>
      <c r="AJ186" s="122">
        <v>45954.708333333336</v>
      </c>
      <c r="AK186" s="122">
        <v>45954.708333333336</v>
      </c>
      <c r="AL186" s="1" t="s">
        <v>212</v>
      </c>
      <c r="AO186" s="1" t="s">
        <v>113</v>
      </c>
      <c r="AP186" s="1" t="s">
        <v>1641</v>
      </c>
      <c r="AQ186" s="122">
        <v>45954.736111111109</v>
      </c>
      <c r="AR186" s="1">
        <v>1486.8</v>
      </c>
      <c r="AS186" s="1">
        <v>7321.85</v>
      </c>
      <c r="AT186" s="1" t="s">
        <v>198</v>
      </c>
      <c r="AW186" s="1">
        <v>8809</v>
      </c>
      <c r="AX186" s="1" t="s">
        <v>1642</v>
      </c>
      <c r="AY186" s="1" t="s">
        <v>1643</v>
      </c>
      <c r="AZ186" s="1" t="s">
        <v>1644</v>
      </c>
      <c r="BA186" s="1" t="s">
        <v>180</v>
      </c>
      <c r="BB186" s="1">
        <v>530040</v>
      </c>
      <c r="BE186" s="1" t="s">
        <v>1285</v>
      </c>
      <c r="BF186" s="122">
        <v>45954.491666666669</v>
      </c>
    </row>
    <row r="187" spans="1:58">
      <c r="A187" s="1">
        <v>180</v>
      </c>
      <c r="B187" s="1" t="s">
        <v>179</v>
      </c>
      <c r="C187" s="1" t="s">
        <v>180</v>
      </c>
      <c r="D187" s="1" t="s">
        <v>181</v>
      </c>
      <c r="E187" s="1" t="s">
        <v>1645</v>
      </c>
      <c r="F187" s="122">
        <v>45954.754166666666</v>
      </c>
      <c r="G187" s="1" t="s">
        <v>533</v>
      </c>
      <c r="I187" s="1" t="s">
        <v>1646</v>
      </c>
      <c r="K187" s="1" t="s">
        <v>1647</v>
      </c>
      <c r="M187" s="1" t="s">
        <v>206</v>
      </c>
      <c r="N187" s="1" t="s">
        <v>1648</v>
      </c>
      <c r="O187" s="1">
        <v>151534</v>
      </c>
      <c r="P187" s="1">
        <v>1175844</v>
      </c>
      <c r="Q187" s="1" t="s">
        <v>235</v>
      </c>
      <c r="R187" s="1" t="s">
        <v>1649</v>
      </c>
      <c r="S187" s="1" t="s">
        <v>505</v>
      </c>
      <c r="T187" s="1" t="s">
        <v>191</v>
      </c>
      <c r="U187" s="122">
        <v>41036.804166666669</v>
      </c>
      <c r="V187" s="1" t="s">
        <v>558</v>
      </c>
      <c r="W187" s="1" t="s">
        <v>20</v>
      </c>
      <c r="X187" s="1" t="s">
        <v>559</v>
      </c>
      <c r="Z187" s="1" t="s">
        <v>538</v>
      </c>
      <c r="AA187" s="1">
        <v>82851</v>
      </c>
      <c r="AB187" s="1">
        <v>0</v>
      </c>
      <c r="AC187" s="1">
        <v>0</v>
      </c>
      <c r="AD187" s="122">
        <v>45955.836805555555</v>
      </c>
      <c r="AE187" s="122">
        <v>45955.836805555555</v>
      </c>
      <c r="AF187" s="122">
        <v>45954.758333333331</v>
      </c>
      <c r="AG187" s="1">
        <v>0</v>
      </c>
      <c r="AH187" s="1">
        <v>0</v>
      </c>
      <c r="AI187" s="1" t="s">
        <v>195</v>
      </c>
      <c r="AJ187" s="122">
        <v>45954.754861111112</v>
      </c>
      <c r="AL187" s="1" t="s">
        <v>196</v>
      </c>
      <c r="AO187" s="1" t="s">
        <v>113</v>
      </c>
      <c r="AP187" s="1" t="s">
        <v>1650</v>
      </c>
      <c r="AQ187" s="122">
        <v>45954.758333333331</v>
      </c>
      <c r="AR187" s="1">
        <v>2242</v>
      </c>
      <c r="AS187" s="1">
        <v>0</v>
      </c>
      <c r="AT187" s="1" t="s">
        <v>198</v>
      </c>
      <c r="AW187" s="1">
        <v>2242</v>
      </c>
      <c r="AX187" s="1" t="s">
        <v>1651</v>
      </c>
      <c r="AY187" s="1" t="s">
        <v>1652</v>
      </c>
      <c r="AZ187" s="1" t="s">
        <v>1653</v>
      </c>
      <c r="BA187" s="1" t="s">
        <v>180</v>
      </c>
      <c r="BB187" s="1">
        <v>530027</v>
      </c>
      <c r="BE187" s="1" t="s">
        <v>1654</v>
      </c>
      <c r="BF187" s="122">
        <v>45954.75277777778</v>
      </c>
    </row>
    <row r="188" spans="1:58">
      <c r="A188" s="1">
        <v>181</v>
      </c>
      <c r="B188" s="1" t="s">
        <v>179</v>
      </c>
      <c r="C188" s="1" t="s">
        <v>180</v>
      </c>
      <c r="D188" s="1" t="s">
        <v>181</v>
      </c>
      <c r="E188" s="1" t="s">
        <v>1655</v>
      </c>
      <c r="F188" s="122">
        <v>45936.727777777778</v>
      </c>
      <c r="G188" s="1" t="s">
        <v>533</v>
      </c>
      <c r="I188" s="1" t="s">
        <v>1656</v>
      </c>
      <c r="K188" s="1" t="s">
        <v>1657</v>
      </c>
      <c r="M188" s="1" t="s">
        <v>206</v>
      </c>
      <c r="N188" s="1" t="s">
        <v>1658</v>
      </c>
      <c r="O188" s="1">
        <v>390578</v>
      </c>
      <c r="P188" s="1">
        <v>1233692</v>
      </c>
      <c r="Q188" s="1" t="s">
        <v>248</v>
      </c>
      <c r="R188" s="1" t="s">
        <v>876</v>
      </c>
      <c r="S188" s="1" t="s">
        <v>237</v>
      </c>
      <c r="T188" s="1" t="s">
        <v>454</v>
      </c>
      <c r="U188" s="122">
        <v>44481.724999999999</v>
      </c>
      <c r="V188" s="1" t="s">
        <v>558</v>
      </c>
      <c r="W188" s="1" t="s">
        <v>20</v>
      </c>
      <c r="X188" s="1" t="s">
        <v>559</v>
      </c>
      <c r="Z188" s="1" t="s">
        <v>538</v>
      </c>
      <c r="AA188" s="1">
        <v>20776</v>
      </c>
      <c r="AB188" s="1">
        <v>0</v>
      </c>
      <c r="AC188" s="1">
        <v>0</v>
      </c>
      <c r="AD188" s="122">
        <v>45945.761805555558</v>
      </c>
      <c r="AE188" s="122">
        <v>45945.761805555558</v>
      </c>
      <c r="AF188" s="122">
        <v>45954.600694444445</v>
      </c>
      <c r="AG188" s="1">
        <v>0</v>
      </c>
      <c r="AH188" s="1">
        <v>0</v>
      </c>
      <c r="AI188" s="1" t="s">
        <v>195</v>
      </c>
      <c r="AJ188" s="122">
        <v>45940.581944444442</v>
      </c>
      <c r="AL188" s="1" t="s">
        <v>196</v>
      </c>
      <c r="AO188" s="1" t="s">
        <v>113</v>
      </c>
      <c r="AP188" s="1" t="s">
        <v>1659</v>
      </c>
      <c r="AQ188" s="122">
        <v>45954.601388888892</v>
      </c>
      <c r="AR188" s="1">
        <v>0</v>
      </c>
      <c r="AS188" s="1">
        <v>0</v>
      </c>
      <c r="AT188" s="1" t="s">
        <v>198</v>
      </c>
      <c r="AW188" s="1">
        <v>0</v>
      </c>
      <c r="AX188" s="1" t="s">
        <v>1660</v>
      </c>
      <c r="AY188" s="1" t="s">
        <v>833</v>
      </c>
      <c r="AZ188" s="1" t="s">
        <v>1661</v>
      </c>
      <c r="BA188" s="1" t="s">
        <v>180</v>
      </c>
      <c r="BB188" s="1">
        <v>530008</v>
      </c>
      <c r="BF188" s="122">
        <v>45936.71875</v>
      </c>
    </row>
    <row r="189" spans="1:58">
      <c r="A189" s="1">
        <v>182</v>
      </c>
      <c r="B189" s="1" t="s">
        <v>179</v>
      </c>
      <c r="C189" s="1" t="s">
        <v>180</v>
      </c>
      <c r="D189" s="1" t="s">
        <v>181</v>
      </c>
      <c r="E189" s="1" t="s">
        <v>1655</v>
      </c>
      <c r="F189" s="122">
        <v>45936.727777777778</v>
      </c>
      <c r="G189" s="1" t="s">
        <v>533</v>
      </c>
      <c r="I189" s="1" t="s">
        <v>1656</v>
      </c>
      <c r="K189" s="1" t="s">
        <v>1657</v>
      </c>
      <c r="M189" s="1" t="s">
        <v>206</v>
      </c>
      <c r="N189" s="1" t="s">
        <v>1658</v>
      </c>
      <c r="O189" s="1">
        <v>390578</v>
      </c>
      <c r="P189" s="1">
        <v>1233692</v>
      </c>
      <c r="Q189" s="1" t="s">
        <v>248</v>
      </c>
      <c r="R189" s="1" t="s">
        <v>876</v>
      </c>
      <c r="S189" s="1" t="s">
        <v>237</v>
      </c>
      <c r="T189" s="1" t="s">
        <v>454</v>
      </c>
      <c r="U189" s="122">
        <v>44481.724999999999</v>
      </c>
      <c r="V189" s="1" t="s">
        <v>558</v>
      </c>
      <c r="W189" s="1" t="s">
        <v>20</v>
      </c>
      <c r="X189" s="1" t="s">
        <v>559</v>
      </c>
      <c r="Z189" s="1" t="s">
        <v>538</v>
      </c>
      <c r="AA189" s="1">
        <v>20776</v>
      </c>
      <c r="AB189" s="1">
        <v>0</v>
      </c>
      <c r="AC189" s="1">
        <v>0</v>
      </c>
      <c r="AD189" s="122">
        <v>45945.761805555558</v>
      </c>
      <c r="AE189" s="122">
        <v>45945.761805555558</v>
      </c>
      <c r="AF189" s="122">
        <v>45954.600694444445</v>
      </c>
      <c r="AG189" s="1">
        <v>0</v>
      </c>
      <c r="AH189" s="1">
        <v>0</v>
      </c>
      <c r="AI189" s="1" t="s">
        <v>195</v>
      </c>
      <c r="AJ189" s="122">
        <v>45940.581944444442</v>
      </c>
      <c r="AL189" s="1" t="s">
        <v>196</v>
      </c>
      <c r="AO189" s="1" t="s">
        <v>113</v>
      </c>
      <c r="AP189" s="1" t="s">
        <v>1662</v>
      </c>
      <c r="AQ189" s="122">
        <v>45954.601388888892</v>
      </c>
      <c r="AR189" s="1">
        <v>19196.240000000002</v>
      </c>
      <c r="AS189" s="1">
        <v>8583.52</v>
      </c>
      <c r="AT189" s="1" t="s">
        <v>198</v>
      </c>
      <c r="AW189" s="1">
        <v>27780</v>
      </c>
      <c r="AX189" s="1" t="s">
        <v>1660</v>
      </c>
      <c r="AY189" s="1" t="s">
        <v>833</v>
      </c>
      <c r="AZ189" s="1" t="s">
        <v>1661</v>
      </c>
      <c r="BA189" s="1" t="s">
        <v>180</v>
      </c>
      <c r="BB189" s="1">
        <v>530008</v>
      </c>
      <c r="BF189" s="122">
        <v>45936.71875</v>
      </c>
    </row>
    <row r="190" spans="1:58">
      <c r="A190" s="1">
        <v>183</v>
      </c>
      <c r="B190" s="1" t="s">
        <v>179</v>
      </c>
      <c r="C190" s="1" t="s">
        <v>180</v>
      </c>
      <c r="D190" s="1" t="s">
        <v>181</v>
      </c>
      <c r="E190" s="1" t="s">
        <v>1663</v>
      </c>
      <c r="F190" s="122">
        <v>45943.600694444445</v>
      </c>
      <c r="G190" s="1" t="s">
        <v>533</v>
      </c>
      <c r="I190" s="1" t="s">
        <v>1664</v>
      </c>
      <c r="K190" s="1" t="s">
        <v>1665</v>
      </c>
      <c r="M190" s="1" t="s">
        <v>206</v>
      </c>
      <c r="N190" s="1" t="s">
        <v>1666</v>
      </c>
      <c r="O190" s="1">
        <v>709283</v>
      </c>
      <c r="P190" s="1">
        <v>8384284</v>
      </c>
      <c r="Q190" s="1" t="s">
        <v>706</v>
      </c>
      <c r="R190" s="1" t="s">
        <v>1667</v>
      </c>
      <c r="S190" s="1" t="s">
        <v>348</v>
      </c>
      <c r="T190" s="1" t="s">
        <v>191</v>
      </c>
      <c r="U190" s="122">
        <v>44117.415277777778</v>
      </c>
      <c r="V190" s="1" t="s">
        <v>558</v>
      </c>
      <c r="W190" s="1" t="s">
        <v>20</v>
      </c>
      <c r="X190" s="1" t="s">
        <v>559</v>
      </c>
      <c r="Z190" s="1" t="s">
        <v>538</v>
      </c>
      <c r="AA190" s="1">
        <v>30352</v>
      </c>
      <c r="AB190" s="1">
        <v>0</v>
      </c>
      <c r="AC190" s="1">
        <v>0</v>
      </c>
      <c r="AD190" s="122">
        <v>45960.76666666667</v>
      </c>
      <c r="AE190" s="122">
        <v>45960.76666666667</v>
      </c>
      <c r="AF190" s="122">
        <v>45957.738888888889</v>
      </c>
      <c r="AG190" s="1">
        <v>0</v>
      </c>
      <c r="AH190" s="1">
        <v>0</v>
      </c>
      <c r="AI190" s="1" t="s">
        <v>195</v>
      </c>
      <c r="AJ190" s="122">
        <v>45943.601388888892</v>
      </c>
      <c r="AL190" s="1" t="s">
        <v>196</v>
      </c>
      <c r="AO190" s="1" t="s">
        <v>113</v>
      </c>
      <c r="AP190" s="1" t="s">
        <v>1668</v>
      </c>
      <c r="AQ190" s="122">
        <v>45957.738888888889</v>
      </c>
      <c r="AR190" s="1">
        <v>0</v>
      </c>
      <c r="AS190" s="1">
        <v>0</v>
      </c>
      <c r="AT190" s="1" t="s">
        <v>198</v>
      </c>
      <c r="AW190" s="1">
        <v>0</v>
      </c>
      <c r="AX190" s="1" t="s">
        <v>1669</v>
      </c>
      <c r="AY190" s="1" t="s">
        <v>1670</v>
      </c>
      <c r="AZ190" s="1" t="s">
        <v>1671</v>
      </c>
      <c r="BA190" s="1" t="s">
        <v>180</v>
      </c>
      <c r="BB190" s="1">
        <v>530045</v>
      </c>
      <c r="BE190" s="1" t="s">
        <v>1672</v>
      </c>
      <c r="BF190" s="122">
        <v>45943.597916666666</v>
      </c>
    </row>
    <row r="191" spans="1:58">
      <c r="A191" s="1">
        <v>184</v>
      </c>
      <c r="B191" s="1" t="s">
        <v>179</v>
      </c>
      <c r="C191" s="1" t="s">
        <v>180</v>
      </c>
      <c r="D191" s="1" t="s">
        <v>181</v>
      </c>
      <c r="E191" s="1" t="s">
        <v>1663</v>
      </c>
      <c r="F191" s="122">
        <v>45943.600694444445</v>
      </c>
      <c r="G191" s="1" t="s">
        <v>533</v>
      </c>
      <c r="I191" s="1" t="s">
        <v>1664</v>
      </c>
      <c r="K191" s="1" t="s">
        <v>1665</v>
      </c>
      <c r="M191" s="1" t="s">
        <v>206</v>
      </c>
      <c r="N191" s="1" t="s">
        <v>1666</v>
      </c>
      <c r="O191" s="1">
        <v>709283</v>
      </c>
      <c r="P191" s="1">
        <v>8384284</v>
      </c>
      <c r="Q191" s="1" t="s">
        <v>706</v>
      </c>
      <c r="R191" s="1" t="s">
        <v>1667</v>
      </c>
      <c r="S191" s="1" t="s">
        <v>348</v>
      </c>
      <c r="T191" s="1" t="s">
        <v>191</v>
      </c>
      <c r="U191" s="122">
        <v>44117.415277777778</v>
      </c>
      <c r="V191" s="1" t="s">
        <v>558</v>
      </c>
      <c r="W191" s="1" t="s">
        <v>20</v>
      </c>
      <c r="X191" s="1" t="s">
        <v>559</v>
      </c>
      <c r="Z191" s="1" t="s">
        <v>538</v>
      </c>
      <c r="AA191" s="1">
        <v>30352</v>
      </c>
      <c r="AB191" s="1">
        <v>0</v>
      </c>
      <c r="AC191" s="1">
        <v>0</v>
      </c>
      <c r="AD191" s="122">
        <v>45960.76666666667</v>
      </c>
      <c r="AE191" s="122">
        <v>45960.76666666667</v>
      </c>
      <c r="AF191" s="122">
        <v>45957.738888888889</v>
      </c>
      <c r="AG191" s="1">
        <v>0</v>
      </c>
      <c r="AH191" s="1">
        <v>0</v>
      </c>
      <c r="AI191" s="1" t="s">
        <v>195</v>
      </c>
      <c r="AJ191" s="122">
        <v>45943.601388888892</v>
      </c>
      <c r="AL191" s="1" t="s">
        <v>196</v>
      </c>
      <c r="AO191" s="1" t="s">
        <v>113</v>
      </c>
      <c r="AP191" s="1" t="s">
        <v>1673</v>
      </c>
      <c r="AQ191" s="122">
        <v>45957.738888888889</v>
      </c>
      <c r="AR191" s="1">
        <v>30996.84</v>
      </c>
      <c r="AS191" s="1">
        <v>24014.46</v>
      </c>
      <c r="AT191" s="1" t="s">
        <v>198</v>
      </c>
      <c r="AW191" s="1">
        <v>55011</v>
      </c>
      <c r="AX191" s="1" t="s">
        <v>1669</v>
      </c>
      <c r="AY191" s="1" t="s">
        <v>1670</v>
      </c>
      <c r="AZ191" s="1" t="s">
        <v>1671</v>
      </c>
      <c r="BA191" s="1" t="s">
        <v>180</v>
      </c>
      <c r="BB191" s="1">
        <v>530045</v>
      </c>
      <c r="BE191" s="1" t="s">
        <v>1672</v>
      </c>
      <c r="BF191" s="122">
        <v>45943.597916666666</v>
      </c>
    </row>
    <row r="192" spans="1:58">
      <c r="A192" s="1">
        <v>185</v>
      </c>
      <c r="B192" s="1" t="s">
        <v>179</v>
      </c>
      <c r="C192" s="1" t="s">
        <v>180</v>
      </c>
      <c r="D192" s="1" t="s">
        <v>181</v>
      </c>
      <c r="E192" s="1" t="s">
        <v>1674</v>
      </c>
      <c r="F192" s="122">
        <v>45957.458333333336</v>
      </c>
      <c r="G192" s="1" t="s">
        <v>218</v>
      </c>
      <c r="I192" s="1" t="s">
        <v>1675</v>
      </c>
      <c r="K192" s="1" t="s">
        <v>1676</v>
      </c>
      <c r="M192" s="1" t="s">
        <v>325</v>
      </c>
      <c r="N192" s="1" t="s">
        <v>1677</v>
      </c>
      <c r="O192" s="1">
        <v>140519</v>
      </c>
      <c r="P192" s="1">
        <v>1095312</v>
      </c>
      <c r="Q192" s="1" t="s">
        <v>655</v>
      </c>
      <c r="R192" s="1" t="s">
        <v>1678</v>
      </c>
      <c r="S192" s="1" t="s">
        <v>1679</v>
      </c>
      <c r="T192" s="1" t="s">
        <v>191</v>
      </c>
      <c r="U192" s="122">
        <v>44970.74722222222</v>
      </c>
      <c r="V192" s="1" t="s">
        <v>192</v>
      </c>
      <c r="W192" s="1" t="s">
        <v>21</v>
      </c>
      <c r="X192" s="1" t="s">
        <v>193</v>
      </c>
      <c r="Z192" s="1" t="s">
        <v>3</v>
      </c>
      <c r="AA192" s="1">
        <v>13079</v>
      </c>
      <c r="AB192" s="1">
        <v>2500</v>
      </c>
      <c r="AC192" s="1">
        <v>3500</v>
      </c>
      <c r="AD192" s="122">
        <v>45957.645833333336</v>
      </c>
      <c r="AE192" s="122">
        <v>45957.645833333336</v>
      </c>
      <c r="AF192" s="122">
        <v>45957.663194444445</v>
      </c>
      <c r="AG192" s="1">
        <v>3500</v>
      </c>
      <c r="AH192" s="1">
        <v>2500</v>
      </c>
      <c r="AI192" s="1" t="s">
        <v>195</v>
      </c>
      <c r="AL192" s="1" t="s">
        <v>196</v>
      </c>
      <c r="AO192" s="1" t="s">
        <v>113</v>
      </c>
      <c r="AP192" s="1" t="s">
        <v>1680</v>
      </c>
      <c r="AQ192" s="122">
        <v>45957.663194444445</v>
      </c>
      <c r="AR192" s="1">
        <v>0</v>
      </c>
      <c r="AS192" s="1">
        <v>1972.91</v>
      </c>
      <c r="AT192" s="1" t="s">
        <v>413</v>
      </c>
      <c r="AU192" s="121">
        <v>45957</v>
      </c>
      <c r="AW192" s="1">
        <v>1973</v>
      </c>
      <c r="AX192" s="1" t="s">
        <v>1681</v>
      </c>
      <c r="AY192" s="1" t="s">
        <v>1682</v>
      </c>
      <c r="AZ192" s="1" t="s">
        <v>1683</v>
      </c>
      <c r="BA192" s="1" t="s">
        <v>180</v>
      </c>
      <c r="BB192" s="1">
        <v>530016</v>
      </c>
      <c r="BE192" s="1" t="s">
        <v>1684</v>
      </c>
      <c r="BF192" s="122">
        <v>45957.456250000003</v>
      </c>
    </row>
    <row r="193" spans="1:58">
      <c r="A193" s="1">
        <v>186</v>
      </c>
      <c r="B193" s="1" t="s">
        <v>179</v>
      </c>
      <c r="C193" s="1" t="s">
        <v>180</v>
      </c>
      <c r="D193" s="1" t="s">
        <v>181</v>
      </c>
      <c r="E193" s="1" t="s">
        <v>1685</v>
      </c>
      <c r="F193" s="122">
        <v>45952.700694444444</v>
      </c>
      <c r="G193" s="1" t="s">
        <v>533</v>
      </c>
      <c r="I193" s="1" t="s">
        <v>1686</v>
      </c>
      <c r="K193" s="1" t="s">
        <v>1687</v>
      </c>
      <c r="N193" s="1" t="s">
        <v>1688</v>
      </c>
      <c r="O193" s="1">
        <v>393232</v>
      </c>
      <c r="P193" s="1">
        <v>1290338</v>
      </c>
      <c r="Q193" s="1" t="s">
        <v>655</v>
      </c>
      <c r="R193" s="1" t="s">
        <v>1689</v>
      </c>
      <c r="S193" s="1" t="s">
        <v>1690</v>
      </c>
      <c r="U193" s="122">
        <v>45926.487500000003</v>
      </c>
      <c r="V193" s="1" t="s">
        <v>558</v>
      </c>
      <c r="W193" s="1" t="s">
        <v>20</v>
      </c>
      <c r="X193" s="1" t="s">
        <v>559</v>
      </c>
      <c r="Z193" s="1" t="s">
        <v>538</v>
      </c>
      <c r="AA193" s="1">
        <v>1062</v>
      </c>
      <c r="AB193" s="1">
        <v>0</v>
      </c>
      <c r="AC193" s="1">
        <v>0</v>
      </c>
      <c r="AD193" s="122">
        <v>45959.700694444444</v>
      </c>
      <c r="AE193" s="122">
        <v>45959.700694444444</v>
      </c>
      <c r="AF193" s="122">
        <v>45957.74722222222</v>
      </c>
      <c r="AG193" s="1">
        <v>0</v>
      </c>
      <c r="AH193" s="1">
        <v>0</v>
      </c>
      <c r="AI193" s="1" t="s">
        <v>195</v>
      </c>
      <c r="AJ193" s="122">
        <v>45952.701388888891</v>
      </c>
      <c r="AL193" s="1" t="s">
        <v>196</v>
      </c>
      <c r="AO193" s="1" t="s">
        <v>113</v>
      </c>
      <c r="AP193" s="1" t="s">
        <v>1691</v>
      </c>
      <c r="AQ193" s="122">
        <v>45957.74722222222</v>
      </c>
      <c r="AR193" s="1">
        <v>14447.92</v>
      </c>
      <c r="AS193" s="1">
        <v>0</v>
      </c>
      <c r="AT193" s="1" t="s">
        <v>198</v>
      </c>
      <c r="AW193" s="1">
        <v>14448</v>
      </c>
      <c r="AX193" s="1" t="s">
        <v>1692</v>
      </c>
      <c r="AY193" s="1" t="s">
        <v>1693</v>
      </c>
      <c r="AZ193" s="1" t="s">
        <v>1694</v>
      </c>
      <c r="BA193" s="1" t="s">
        <v>180</v>
      </c>
      <c r="BB193" s="1">
        <v>530013</v>
      </c>
      <c r="BE193" s="1" t="s">
        <v>1264</v>
      </c>
      <c r="BF193" s="122">
        <v>45952.698611111111</v>
      </c>
    </row>
    <row r="194" spans="1:58">
      <c r="A194" s="1">
        <v>187</v>
      </c>
      <c r="B194" s="1" t="s">
        <v>179</v>
      </c>
      <c r="C194" s="1" t="s">
        <v>180</v>
      </c>
      <c r="D194" s="1" t="s">
        <v>181</v>
      </c>
      <c r="E194" s="1" t="s">
        <v>1695</v>
      </c>
      <c r="F194" s="122">
        <v>45957.506944444445</v>
      </c>
      <c r="G194" s="1" t="s">
        <v>218</v>
      </c>
      <c r="I194" s="1" t="s">
        <v>1696</v>
      </c>
      <c r="K194" s="1" t="s">
        <v>1697</v>
      </c>
      <c r="M194" s="1" t="s">
        <v>206</v>
      </c>
      <c r="N194" s="1" t="s">
        <v>1698</v>
      </c>
      <c r="O194" s="1">
        <v>262869</v>
      </c>
      <c r="P194" s="1">
        <v>4107163</v>
      </c>
      <c r="Q194" s="1" t="s">
        <v>1117</v>
      </c>
      <c r="R194" s="1" t="s">
        <v>790</v>
      </c>
      <c r="S194" s="1" t="s">
        <v>484</v>
      </c>
      <c r="T194" s="1" t="s">
        <v>191</v>
      </c>
      <c r="U194" s="122">
        <v>44742.693749999999</v>
      </c>
      <c r="V194" s="1" t="s">
        <v>192</v>
      </c>
      <c r="W194" s="1" t="s">
        <v>21</v>
      </c>
      <c r="X194" s="1" t="s">
        <v>193</v>
      </c>
      <c r="Z194" s="1" t="s">
        <v>3</v>
      </c>
      <c r="AA194" s="1">
        <v>28757</v>
      </c>
      <c r="AB194" s="1">
        <v>2500</v>
      </c>
      <c r="AC194" s="1">
        <v>5000</v>
      </c>
      <c r="AD194" s="122">
        <v>45957.770833333336</v>
      </c>
      <c r="AE194" s="122">
        <v>45957.8125</v>
      </c>
      <c r="AF194" s="122">
        <v>45957.736805555556</v>
      </c>
      <c r="AG194" s="1">
        <v>2851.9</v>
      </c>
      <c r="AH194" s="1">
        <v>2190</v>
      </c>
      <c r="AI194" s="1" t="s">
        <v>195</v>
      </c>
      <c r="AJ194" s="122">
        <v>45957.728472222225</v>
      </c>
      <c r="AK194" s="122">
        <v>45957.729166666664</v>
      </c>
      <c r="AL194" s="1" t="s">
        <v>212</v>
      </c>
      <c r="AO194" s="1" t="s">
        <v>113</v>
      </c>
      <c r="AP194" s="1" t="s">
        <v>1699</v>
      </c>
      <c r="AQ194" s="122">
        <v>45957.737500000003</v>
      </c>
      <c r="AR194" s="1">
        <v>2550.46</v>
      </c>
      <c r="AS194" s="1">
        <v>4791.66</v>
      </c>
      <c r="AT194" s="1" t="s">
        <v>198</v>
      </c>
      <c r="AW194" s="1">
        <v>7342</v>
      </c>
      <c r="AX194" s="1" t="s">
        <v>1700</v>
      </c>
      <c r="AY194" s="1" t="s">
        <v>1701</v>
      </c>
      <c r="AZ194" s="1" t="s">
        <v>1702</v>
      </c>
      <c r="BA194" s="1" t="s">
        <v>180</v>
      </c>
      <c r="BB194" s="1">
        <v>530003</v>
      </c>
      <c r="BE194" s="1" t="s">
        <v>1285</v>
      </c>
      <c r="BF194" s="122">
        <v>45957.481944444444</v>
      </c>
    </row>
    <row r="195" spans="1:58">
      <c r="A195" s="1">
        <v>188</v>
      </c>
      <c r="B195" s="1" t="s">
        <v>179</v>
      </c>
      <c r="C195" s="1" t="s">
        <v>180</v>
      </c>
      <c r="D195" s="1" t="s">
        <v>181</v>
      </c>
      <c r="E195" s="1" t="s">
        <v>1703</v>
      </c>
      <c r="F195" s="122">
        <v>45957.527083333334</v>
      </c>
      <c r="G195" s="1" t="s">
        <v>244</v>
      </c>
      <c r="H195" s="1" t="s">
        <v>429</v>
      </c>
      <c r="I195" s="1" t="s">
        <v>1504</v>
      </c>
      <c r="K195" s="1" t="s">
        <v>1505</v>
      </c>
      <c r="M195" s="1" t="s">
        <v>206</v>
      </c>
      <c r="N195" s="1" t="s">
        <v>1506</v>
      </c>
      <c r="O195" s="1">
        <v>879219</v>
      </c>
      <c r="P195" s="1">
        <v>1261246</v>
      </c>
      <c r="Q195" s="1" t="s">
        <v>1317</v>
      </c>
      <c r="R195" s="1" t="s">
        <v>1507</v>
      </c>
      <c r="S195" s="1" t="s">
        <v>1508</v>
      </c>
      <c r="T195" s="1" t="s">
        <v>191</v>
      </c>
      <c r="U195" s="122">
        <v>44574.526388888888</v>
      </c>
      <c r="V195" s="1" t="s">
        <v>192</v>
      </c>
      <c r="W195" s="1" t="s">
        <v>19</v>
      </c>
      <c r="X195" s="1" t="s">
        <v>193</v>
      </c>
      <c r="Z195" s="1" t="s">
        <v>4</v>
      </c>
      <c r="AA195" s="1">
        <v>23723</v>
      </c>
      <c r="AB195" s="1">
        <v>0</v>
      </c>
      <c r="AC195" s="1">
        <v>5000</v>
      </c>
      <c r="AD195" s="122">
        <v>45957.776388888888</v>
      </c>
      <c r="AE195" s="122">
        <v>45957.776388888888</v>
      </c>
      <c r="AF195" s="122">
        <v>45957.775694444441</v>
      </c>
      <c r="AG195" s="1">
        <v>5000</v>
      </c>
      <c r="AH195" s="1">
        <v>0</v>
      </c>
      <c r="AI195" s="1" t="s">
        <v>195</v>
      </c>
      <c r="AL195" s="1" t="s">
        <v>196</v>
      </c>
      <c r="AO195" s="1" t="s">
        <v>113</v>
      </c>
      <c r="AP195" s="1" t="s">
        <v>1704</v>
      </c>
      <c r="AQ195" s="122">
        <v>45957.777083333334</v>
      </c>
      <c r="AR195" s="1">
        <v>3894</v>
      </c>
      <c r="AS195" s="1">
        <v>0</v>
      </c>
      <c r="AT195" s="1" t="s">
        <v>198</v>
      </c>
      <c r="AW195" s="1">
        <v>3894</v>
      </c>
      <c r="AX195" s="1" t="s">
        <v>1510</v>
      </c>
      <c r="AY195" s="1" t="s">
        <v>1511</v>
      </c>
      <c r="AZ195" s="1" t="s">
        <v>1512</v>
      </c>
      <c r="BA195" s="1" t="s">
        <v>180</v>
      </c>
      <c r="BB195" s="1">
        <v>535002</v>
      </c>
      <c r="BF195" s="122">
        <v>45957.522916666669</v>
      </c>
    </row>
    <row r="196" spans="1:58">
      <c r="A196" s="1">
        <v>189</v>
      </c>
      <c r="B196" s="1" t="s">
        <v>179</v>
      </c>
      <c r="C196" s="1" t="s">
        <v>180</v>
      </c>
      <c r="D196" s="1" t="s">
        <v>181</v>
      </c>
      <c r="E196" s="1" t="s">
        <v>1705</v>
      </c>
      <c r="F196" s="122">
        <v>45957.631944444445</v>
      </c>
      <c r="G196" s="1" t="s">
        <v>244</v>
      </c>
      <c r="I196" s="1" t="s">
        <v>1706</v>
      </c>
      <c r="K196" s="1" t="s">
        <v>1707</v>
      </c>
      <c r="M196" s="1" t="s">
        <v>206</v>
      </c>
      <c r="N196" s="1" t="s">
        <v>1708</v>
      </c>
      <c r="O196" s="1">
        <v>761545</v>
      </c>
      <c r="P196" s="1">
        <v>5535007</v>
      </c>
      <c r="Q196" s="1" t="s">
        <v>271</v>
      </c>
      <c r="R196" s="1" t="s">
        <v>1709</v>
      </c>
      <c r="S196" s="1" t="s">
        <v>645</v>
      </c>
      <c r="T196" s="1" t="s">
        <v>191</v>
      </c>
      <c r="U196" s="122">
        <v>42290.753472222219</v>
      </c>
      <c r="V196" s="1" t="s">
        <v>192</v>
      </c>
      <c r="W196" s="1" t="s">
        <v>21</v>
      </c>
      <c r="X196" s="1" t="s">
        <v>193</v>
      </c>
      <c r="Z196" s="1" t="s">
        <v>4</v>
      </c>
      <c r="AA196" s="1">
        <v>87385</v>
      </c>
      <c r="AB196" s="1">
        <v>250</v>
      </c>
      <c r="AC196" s="1">
        <v>1100</v>
      </c>
      <c r="AD196" s="122">
        <v>45957.729166666664</v>
      </c>
      <c r="AE196" s="122">
        <v>45957.729166666664</v>
      </c>
      <c r="AF196" s="122">
        <v>45957.676388888889</v>
      </c>
      <c r="AG196" s="1">
        <v>1100</v>
      </c>
      <c r="AH196" s="1">
        <v>0</v>
      </c>
      <c r="AI196" s="1" t="s">
        <v>195</v>
      </c>
      <c r="AJ196" s="122">
        <v>45957.65625</v>
      </c>
      <c r="AK196" s="122">
        <v>45957.656944444447</v>
      </c>
      <c r="AL196" s="1" t="s">
        <v>212</v>
      </c>
      <c r="AO196" s="1" t="s">
        <v>113</v>
      </c>
      <c r="AP196" s="1" t="s">
        <v>1710</v>
      </c>
      <c r="AQ196" s="122">
        <v>45957.676388888889</v>
      </c>
      <c r="AR196" s="1">
        <v>177</v>
      </c>
      <c r="AS196" s="1">
        <v>1061.99</v>
      </c>
      <c r="AT196" s="1" t="s">
        <v>198</v>
      </c>
      <c r="AW196" s="1">
        <v>1239</v>
      </c>
      <c r="AX196" s="1" t="s">
        <v>1711</v>
      </c>
      <c r="AY196" s="1" t="s">
        <v>1712</v>
      </c>
      <c r="AZ196" s="1" t="s">
        <v>1713</v>
      </c>
      <c r="BA196" s="1" t="s">
        <v>180</v>
      </c>
      <c r="BB196" s="1">
        <v>530040</v>
      </c>
      <c r="BE196" s="1" t="s">
        <v>1285</v>
      </c>
      <c r="BF196" s="122">
        <v>45957.62777777778</v>
      </c>
    </row>
    <row r="197" spans="1:58">
      <c r="A197" s="1">
        <v>190</v>
      </c>
      <c r="B197" s="1" t="s">
        <v>179</v>
      </c>
      <c r="C197" s="1" t="s">
        <v>180</v>
      </c>
      <c r="D197" s="1" t="s">
        <v>181</v>
      </c>
      <c r="E197" s="1" t="s">
        <v>1714</v>
      </c>
      <c r="F197" s="122">
        <v>45954.447222222225</v>
      </c>
      <c r="G197" s="1" t="s">
        <v>244</v>
      </c>
      <c r="I197" s="1" t="s">
        <v>1715</v>
      </c>
      <c r="K197" s="1" t="s">
        <v>1716</v>
      </c>
      <c r="N197" s="1" t="s">
        <v>1717</v>
      </c>
      <c r="O197" s="1">
        <v>216345</v>
      </c>
      <c r="P197" s="1">
        <v>2834218</v>
      </c>
      <c r="Q197" s="1" t="s">
        <v>1718</v>
      </c>
      <c r="R197" s="1" t="s">
        <v>1719</v>
      </c>
      <c r="S197" s="1" t="s">
        <v>1720</v>
      </c>
      <c r="T197" s="1" t="s">
        <v>191</v>
      </c>
      <c r="U197" s="122">
        <v>42532.800694444442</v>
      </c>
      <c r="V197" s="1" t="s">
        <v>192</v>
      </c>
      <c r="W197" s="1" t="s">
        <v>21</v>
      </c>
      <c r="X197" s="1" t="s">
        <v>193</v>
      </c>
      <c r="Z197" s="1" t="s">
        <v>4</v>
      </c>
      <c r="AA197" s="1">
        <v>186247</v>
      </c>
      <c r="AB197" s="1">
        <v>0</v>
      </c>
      <c r="AC197" s="1">
        <v>4500</v>
      </c>
      <c r="AD197" s="122">
        <v>45954.6875</v>
      </c>
      <c r="AE197" s="122">
        <v>45954.6875</v>
      </c>
      <c r="AF197" s="122">
        <v>45957.513888888891</v>
      </c>
      <c r="AG197" s="1">
        <v>4500</v>
      </c>
      <c r="AH197" s="1">
        <v>0</v>
      </c>
      <c r="AI197" s="1" t="s">
        <v>195</v>
      </c>
      <c r="AL197" s="1" t="s">
        <v>196</v>
      </c>
      <c r="AO197" s="1" t="s">
        <v>113</v>
      </c>
      <c r="AP197" s="1" t="s">
        <v>1721</v>
      </c>
      <c r="AQ197" s="122">
        <v>45957.513888888891</v>
      </c>
      <c r="AR197" s="1">
        <v>0</v>
      </c>
      <c r="AS197" s="1">
        <v>625</v>
      </c>
      <c r="AT197" s="1" t="s">
        <v>198</v>
      </c>
      <c r="AW197" s="1">
        <v>625</v>
      </c>
      <c r="AX197" s="1" t="s">
        <v>1722</v>
      </c>
      <c r="AY197" s="1" t="s">
        <v>1723</v>
      </c>
      <c r="AZ197" s="1" t="s">
        <v>1724</v>
      </c>
      <c r="BA197" s="1" t="s">
        <v>180</v>
      </c>
      <c r="BB197" s="1">
        <v>531162</v>
      </c>
      <c r="BF197" s="122">
        <v>45954.438194444447</v>
      </c>
    </row>
    <row r="198" spans="1:58">
      <c r="A198" s="1">
        <v>191</v>
      </c>
      <c r="B198" s="1" t="s">
        <v>179</v>
      </c>
      <c r="C198" s="1" t="s">
        <v>180</v>
      </c>
      <c r="D198" s="1" t="s">
        <v>181</v>
      </c>
      <c r="E198" s="1" t="s">
        <v>1725</v>
      </c>
      <c r="F198" s="122">
        <v>45952.668055555558</v>
      </c>
      <c r="G198" s="1" t="s">
        <v>533</v>
      </c>
      <c r="I198" s="1" t="s">
        <v>1726</v>
      </c>
      <c r="K198" s="1" t="s">
        <v>1727</v>
      </c>
      <c r="M198" s="1" t="s">
        <v>206</v>
      </c>
      <c r="N198" s="1" t="s">
        <v>1728</v>
      </c>
      <c r="O198" s="1">
        <v>656783</v>
      </c>
      <c r="P198" s="1">
        <v>1280836</v>
      </c>
      <c r="Q198" s="1" t="s">
        <v>1729</v>
      </c>
      <c r="R198" s="1" t="s">
        <v>1730</v>
      </c>
      <c r="S198" s="1" t="s">
        <v>225</v>
      </c>
      <c r="T198" s="1" t="s">
        <v>191</v>
      </c>
      <c r="U198" s="122">
        <v>44124.720833333333</v>
      </c>
      <c r="V198" s="1" t="s">
        <v>558</v>
      </c>
      <c r="W198" s="1" t="s">
        <v>20</v>
      </c>
      <c r="X198" s="1" t="s">
        <v>559</v>
      </c>
      <c r="Z198" s="1" t="s">
        <v>538</v>
      </c>
      <c r="AA198" s="1">
        <v>39162</v>
      </c>
      <c r="AB198" s="1">
        <v>0</v>
      </c>
      <c r="AC198" s="1">
        <v>0</v>
      </c>
      <c r="AD198" s="122">
        <v>45958.751388888886</v>
      </c>
      <c r="AE198" s="122">
        <v>45958.751388888886</v>
      </c>
      <c r="AF198" s="122">
        <v>45957.435416666667</v>
      </c>
      <c r="AG198" s="1">
        <v>0</v>
      </c>
      <c r="AH198" s="1">
        <v>0</v>
      </c>
      <c r="AI198" s="1" t="s">
        <v>195</v>
      </c>
      <c r="AJ198" s="122">
        <v>45952.70208333333</v>
      </c>
      <c r="AL198" s="1" t="s">
        <v>196</v>
      </c>
      <c r="AO198" s="1" t="s">
        <v>113</v>
      </c>
      <c r="AP198" s="1" t="s">
        <v>1731</v>
      </c>
      <c r="AQ198" s="122">
        <v>45957.436111111114</v>
      </c>
      <c r="AR198" s="1">
        <v>13089.74</v>
      </c>
      <c r="AS198" s="1">
        <v>29381.95</v>
      </c>
      <c r="AT198" s="1" t="s">
        <v>198</v>
      </c>
      <c r="AW198" s="1">
        <v>42472</v>
      </c>
      <c r="AX198" s="1" t="s">
        <v>1732</v>
      </c>
      <c r="AY198" s="1" t="s">
        <v>1733</v>
      </c>
      <c r="AZ198" s="1" t="s">
        <v>918</v>
      </c>
      <c r="BA198" s="1" t="s">
        <v>180</v>
      </c>
      <c r="BB198" s="1">
        <v>530051</v>
      </c>
      <c r="BE198" s="1" t="s">
        <v>1734</v>
      </c>
      <c r="BF198" s="122">
        <v>45952.665972222225</v>
      </c>
    </row>
    <row r="199" spans="1:58">
      <c r="A199" s="1">
        <v>192</v>
      </c>
      <c r="B199" s="1" t="s">
        <v>179</v>
      </c>
      <c r="C199" s="1" t="s">
        <v>180</v>
      </c>
      <c r="D199" s="1" t="s">
        <v>181</v>
      </c>
      <c r="E199" s="1" t="s">
        <v>1725</v>
      </c>
      <c r="F199" s="122">
        <v>45952.668055555558</v>
      </c>
      <c r="G199" s="1" t="s">
        <v>533</v>
      </c>
      <c r="I199" s="1" t="s">
        <v>1726</v>
      </c>
      <c r="K199" s="1" t="s">
        <v>1727</v>
      </c>
      <c r="M199" s="1" t="s">
        <v>206</v>
      </c>
      <c r="N199" s="1" t="s">
        <v>1728</v>
      </c>
      <c r="O199" s="1">
        <v>656783</v>
      </c>
      <c r="P199" s="1">
        <v>1280836</v>
      </c>
      <c r="Q199" s="1" t="s">
        <v>1729</v>
      </c>
      <c r="R199" s="1" t="s">
        <v>1730</v>
      </c>
      <c r="S199" s="1" t="s">
        <v>225</v>
      </c>
      <c r="T199" s="1" t="s">
        <v>191</v>
      </c>
      <c r="U199" s="122">
        <v>44124.720833333333</v>
      </c>
      <c r="V199" s="1" t="s">
        <v>558</v>
      </c>
      <c r="W199" s="1" t="s">
        <v>20</v>
      </c>
      <c r="X199" s="1" t="s">
        <v>559</v>
      </c>
      <c r="Z199" s="1" t="s">
        <v>538</v>
      </c>
      <c r="AA199" s="1">
        <v>39162</v>
      </c>
      <c r="AB199" s="1">
        <v>0</v>
      </c>
      <c r="AC199" s="1">
        <v>0</v>
      </c>
      <c r="AD199" s="122">
        <v>45958.751388888886</v>
      </c>
      <c r="AE199" s="122">
        <v>45958.751388888886</v>
      </c>
      <c r="AF199" s="122">
        <v>45957.435416666667</v>
      </c>
      <c r="AG199" s="1">
        <v>0</v>
      </c>
      <c r="AH199" s="1">
        <v>0</v>
      </c>
      <c r="AI199" s="1" t="s">
        <v>195</v>
      </c>
      <c r="AJ199" s="122">
        <v>45952.70208333333</v>
      </c>
      <c r="AL199" s="1" t="s">
        <v>196</v>
      </c>
      <c r="AO199" s="1" t="s">
        <v>113</v>
      </c>
      <c r="AP199" s="1" t="s">
        <v>1735</v>
      </c>
      <c r="AQ199" s="122">
        <v>45957.436111111114</v>
      </c>
      <c r="AR199" s="1">
        <v>0</v>
      </c>
      <c r="AS199" s="1">
        <v>0</v>
      </c>
      <c r="AT199" s="1" t="s">
        <v>198</v>
      </c>
      <c r="AW199" s="1">
        <v>0</v>
      </c>
      <c r="AX199" s="1" t="s">
        <v>1732</v>
      </c>
      <c r="AY199" s="1" t="s">
        <v>1733</v>
      </c>
      <c r="AZ199" s="1" t="s">
        <v>918</v>
      </c>
      <c r="BA199" s="1" t="s">
        <v>180</v>
      </c>
      <c r="BB199" s="1">
        <v>530051</v>
      </c>
      <c r="BE199" s="1" t="s">
        <v>1734</v>
      </c>
      <c r="BF199" s="122">
        <v>45952.665972222225</v>
      </c>
    </row>
    <row r="200" spans="1:58">
      <c r="A200" s="1">
        <v>193</v>
      </c>
      <c r="B200" s="1" t="s">
        <v>179</v>
      </c>
      <c r="C200" s="1" t="s">
        <v>180</v>
      </c>
      <c r="D200" s="1" t="s">
        <v>181</v>
      </c>
      <c r="E200" s="1" t="s">
        <v>1736</v>
      </c>
      <c r="F200" s="122">
        <v>45952.677777777775</v>
      </c>
      <c r="G200" s="1" t="s">
        <v>533</v>
      </c>
      <c r="I200" s="1" t="s">
        <v>1504</v>
      </c>
      <c r="K200" s="1" t="s">
        <v>1505</v>
      </c>
      <c r="M200" s="1" t="s">
        <v>325</v>
      </c>
      <c r="N200" s="1" t="s">
        <v>1737</v>
      </c>
      <c r="O200" s="1">
        <v>879219</v>
      </c>
      <c r="P200" s="1">
        <v>1261246</v>
      </c>
      <c r="Q200" s="1" t="s">
        <v>1317</v>
      </c>
      <c r="R200" s="1" t="s">
        <v>1507</v>
      </c>
      <c r="S200" s="1" t="s">
        <v>1508</v>
      </c>
      <c r="T200" s="1" t="s">
        <v>191</v>
      </c>
      <c r="U200" s="122">
        <v>44574.526388888888</v>
      </c>
      <c r="V200" s="1" t="s">
        <v>558</v>
      </c>
      <c r="W200" s="1" t="s">
        <v>20</v>
      </c>
      <c r="X200" s="1" t="s">
        <v>559</v>
      </c>
      <c r="Z200" s="1" t="s">
        <v>538</v>
      </c>
      <c r="AA200" s="1">
        <v>23709</v>
      </c>
      <c r="AB200" s="1">
        <v>0</v>
      </c>
      <c r="AC200" s="1">
        <v>0</v>
      </c>
      <c r="AD200" s="122">
        <v>45958.674305555556</v>
      </c>
      <c r="AE200" s="122">
        <v>45958.674305555556</v>
      </c>
      <c r="AF200" s="122">
        <v>45957.724999999999</v>
      </c>
      <c r="AG200" s="1">
        <v>0</v>
      </c>
      <c r="AH200" s="1">
        <v>0</v>
      </c>
      <c r="AI200" s="1" t="s">
        <v>195</v>
      </c>
      <c r="AJ200" s="122">
        <v>45952.702777777777</v>
      </c>
      <c r="AL200" s="1" t="s">
        <v>196</v>
      </c>
      <c r="AO200" s="1" t="s">
        <v>113</v>
      </c>
      <c r="AP200" s="1" t="s">
        <v>1738</v>
      </c>
      <c r="AQ200" s="122">
        <v>45957.724999999999</v>
      </c>
      <c r="AR200" s="1">
        <v>0</v>
      </c>
      <c r="AS200" s="1">
        <v>0</v>
      </c>
      <c r="AT200" s="1" t="s">
        <v>198</v>
      </c>
      <c r="AW200" s="1">
        <v>0</v>
      </c>
      <c r="AX200" s="1" t="s">
        <v>1510</v>
      </c>
      <c r="AY200" s="1" t="s">
        <v>1511</v>
      </c>
      <c r="AZ200" s="1" t="s">
        <v>1512</v>
      </c>
      <c r="BA200" s="1" t="s">
        <v>180</v>
      </c>
      <c r="BB200" s="1">
        <v>535002</v>
      </c>
      <c r="BF200" s="122">
        <v>45952.67291666667</v>
      </c>
    </row>
    <row r="201" spans="1:58">
      <c r="A201" s="1">
        <v>194</v>
      </c>
      <c r="B201" s="1" t="s">
        <v>179</v>
      </c>
      <c r="C201" s="1" t="s">
        <v>180</v>
      </c>
      <c r="D201" s="1" t="s">
        <v>181</v>
      </c>
      <c r="E201" s="1" t="s">
        <v>1736</v>
      </c>
      <c r="F201" s="122">
        <v>45952.677777777775</v>
      </c>
      <c r="G201" s="1" t="s">
        <v>533</v>
      </c>
      <c r="I201" s="1" t="s">
        <v>1504</v>
      </c>
      <c r="K201" s="1" t="s">
        <v>1505</v>
      </c>
      <c r="M201" s="1" t="s">
        <v>325</v>
      </c>
      <c r="N201" s="1" t="s">
        <v>1737</v>
      </c>
      <c r="O201" s="1">
        <v>879219</v>
      </c>
      <c r="P201" s="1">
        <v>1261246</v>
      </c>
      <c r="Q201" s="1" t="s">
        <v>1317</v>
      </c>
      <c r="R201" s="1" t="s">
        <v>1507</v>
      </c>
      <c r="S201" s="1" t="s">
        <v>1508</v>
      </c>
      <c r="T201" s="1" t="s">
        <v>191</v>
      </c>
      <c r="U201" s="122">
        <v>44574.526388888888</v>
      </c>
      <c r="V201" s="1" t="s">
        <v>558</v>
      </c>
      <c r="W201" s="1" t="s">
        <v>20</v>
      </c>
      <c r="X201" s="1" t="s">
        <v>559</v>
      </c>
      <c r="Z201" s="1" t="s">
        <v>538</v>
      </c>
      <c r="AA201" s="1">
        <v>23709</v>
      </c>
      <c r="AB201" s="1">
        <v>0</v>
      </c>
      <c r="AC201" s="1">
        <v>0</v>
      </c>
      <c r="AD201" s="122">
        <v>45958.674305555556</v>
      </c>
      <c r="AE201" s="122">
        <v>45958.674305555556</v>
      </c>
      <c r="AF201" s="122">
        <v>45957.724999999999</v>
      </c>
      <c r="AG201" s="1">
        <v>0</v>
      </c>
      <c r="AH201" s="1">
        <v>0</v>
      </c>
      <c r="AI201" s="1" t="s">
        <v>195</v>
      </c>
      <c r="AJ201" s="122">
        <v>45952.702777777777</v>
      </c>
      <c r="AL201" s="1" t="s">
        <v>196</v>
      </c>
      <c r="AO201" s="1" t="s">
        <v>113</v>
      </c>
      <c r="AP201" s="1" t="s">
        <v>1739</v>
      </c>
      <c r="AQ201" s="122">
        <v>45957.724999999999</v>
      </c>
      <c r="AR201" s="1">
        <v>5831.56</v>
      </c>
      <c r="AS201" s="1">
        <v>1773.98</v>
      </c>
      <c r="AT201" s="1" t="s">
        <v>198</v>
      </c>
      <c r="AW201" s="1">
        <v>7606</v>
      </c>
      <c r="AX201" s="1" t="s">
        <v>1510</v>
      </c>
      <c r="AY201" s="1" t="s">
        <v>1511</v>
      </c>
      <c r="AZ201" s="1" t="s">
        <v>1512</v>
      </c>
      <c r="BA201" s="1" t="s">
        <v>180</v>
      </c>
      <c r="BB201" s="1">
        <v>535002</v>
      </c>
      <c r="BF201" s="122">
        <v>45952.67291666667</v>
      </c>
    </row>
    <row r="202" spans="1:58">
      <c r="A202" s="1">
        <v>195</v>
      </c>
      <c r="B202" s="1" t="s">
        <v>179</v>
      </c>
      <c r="C202" s="1" t="s">
        <v>180</v>
      </c>
      <c r="D202" s="1" t="s">
        <v>181</v>
      </c>
      <c r="E202" s="1" t="s">
        <v>1740</v>
      </c>
      <c r="F202" s="122">
        <v>45957.67291666667</v>
      </c>
      <c r="G202" s="1" t="s">
        <v>651</v>
      </c>
      <c r="I202" s="1" t="s">
        <v>1741</v>
      </c>
      <c r="K202" s="1" t="s">
        <v>1742</v>
      </c>
      <c r="N202" s="1" t="s">
        <v>1743</v>
      </c>
      <c r="O202" s="1" t="s">
        <v>1744</v>
      </c>
      <c r="P202" s="1">
        <v>4765794</v>
      </c>
      <c r="Q202" s="1" t="s">
        <v>283</v>
      </c>
      <c r="R202" s="1" t="s">
        <v>453</v>
      </c>
      <c r="S202" s="1" t="s">
        <v>368</v>
      </c>
      <c r="U202" s="122">
        <v>45929.719444444447</v>
      </c>
      <c r="V202" s="1" t="s">
        <v>192</v>
      </c>
      <c r="W202" s="1" t="s">
        <v>21</v>
      </c>
      <c r="X202" s="1" t="s">
        <v>226</v>
      </c>
      <c r="Z202" s="1" t="s">
        <v>658</v>
      </c>
      <c r="AA202" s="1">
        <v>1009</v>
      </c>
      <c r="AB202" s="1">
        <v>0</v>
      </c>
      <c r="AC202" s="1">
        <v>80</v>
      </c>
      <c r="AD202" s="122">
        <v>45957.729166666664</v>
      </c>
      <c r="AE202" s="122">
        <v>45957.729166666664</v>
      </c>
      <c r="AF202" s="122">
        <v>45957.679166666669</v>
      </c>
      <c r="AG202" s="1">
        <v>80</v>
      </c>
      <c r="AH202" s="1">
        <v>0</v>
      </c>
      <c r="AI202" s="1" t="s">
        <v>195</v>
      </c>
      <c r="AJ202" s="122">
        <v>45957.677777777775</v>
      </c>
      <c r="AK202" s="122">
        <v>45957.677777777775</v>
      </c>
      <c r="AL202" s="1" t="s">
        <v>212</v>
      </c>
      <c r="AO202" s="1" t="s">
        <v>113</v>
      </c>
      <c r="AP202" s="1" t="s">
        <v>1745</v>
      </c>
      <c r="AQ202" s="122">
        <v>45957.679166666669</v>
      </c>
      <c r="AR202" s="1">
        <v>0</v>
      </c>
      <c r="AS202" s="1">
        <v>67.959999999999994</v>
      </c>
      <c r="AT202" s="1" t="s">
        <v>198</v>
      </c>
      <c r="AW202" s="1">
        <v>68</v>
      </c>
      <c r="AX202" s="1" t="s">
        <v>1746</v>
      </c>
      <c r="AY202" s="1" t="s">
        <v>1747</v>
      </c>
      <c r="AZ202" s="1" t="s">
        <v>1748</v>
      </c>
      <c r="BA202" s="1" t="s">
        <v>180</v>
      </c>
      <c r="BB202" s="1">
        <v>535217</v>
      </c>
      <c r="BE202" s="1" t="s">
        <v>1285</v>
      </c>
      <c r="BF202" s="122">
        <v>45957.67083333333</v>
      </c>
    </row>
    <row r="203" spans="1:58">
      <c r="A203" s="1">
        <v>196</v>
      </c>
      <c r="B203" s="1" t="s">
        <v>179</v>
      </c>
      <c r="C203" s="1" t="s">
        <v>180</v>
      </c>
      <c r="D203" s="1" t="s">
        <v>181</v>
      </c>
      <c r="E203" s="1" t="s">
        <v>1749</v>
      </c>
      <c r="F203" s="122">
        <v>45957.431250000001</v>
      </c>
      <c r="G203" s="1" t="s">
        <v>183</v>
      </c>
      <c r="I203" s="1" t="s">
        <v>1750</v>
      </c>
      <c r="K203" s="1" t="s">
        <v>1751</v>
      </c>
      <c r="M203" s="1" t="s">
        <v>206</v>
      </c>
      <c r="N203" s="1" t="s">
        <v>1752</v>
      </c>
      <c r="O203" s="1" t="s">
        <v>1753</v>
      </c>
      <c r="P203" s="1">
        <v>9833452</v>
      </c>
      <c r="Q203" s="1" t="s">
        <v>235</v>
      </c>
      <c r="R203" s="1" t="s">
        <v>876</v>
      </c>
      <c r="S203" s="1" t="s">
        <v>237</v>
      </c>
      <c r="T203" s="1" t="s">
        <v>191</v>
      </c>
      <c r="U203" s="122">
        <v>45866.744444444441</v>
      </c>
      <c r="V203" s="1" t="s">
        <v>192</v>
      </c>
      <c r="W203" s="1" t="s">
        <v>21</v>
      </c>
      <c r="X203" s="1" t="s">
        <v>226</v>
      </c>
      <c r="Z203" s="1" t="s">
        <v>194</v>
      </c>
      <c r="AA203" s="1">
        <v>7845</v>
      </c>
      <c r="AB203" s="1">
        <v>0</v>
      </c>
      <c r="AC203" s="1">
        <v>3000</v>
      </c>
      <c r="AD203" s="122">
        <v>45957.520833333336</v>
      </c>
      <c r="AE203" s="122">
        <v>45957.520833333336</v>
      </c>
      <c r="AF203" s="122">
        <v>45957.520138888889</v>
      </c>
      <c r="AG203" s="1">
        <v>1828</v>
      </c>
      <c r="AH203" s="1">
        <v>0</v>
      </c>
      <c r="AI203" s="1" t="s">
        <v>195</v>
      </c>
      <c r="AJ203" s="122">
        <v>45957.515277777777</v>
      </c>
      <c r="AL203" s="1" t="s">
        <v>196</v>
      </c>
      <c r="AO203" s="1" t="s">
        <v>113</v>
      </c>
      <c r="AP203" s="1" t="s">
        <v>1754</v>
      </c>
      <c r="AQ203" s="122">
        <v>45957.520138888889</v>
      </c>
      <c r="AR203" s="1">
        <v>0</v>
      </c>
      <c r="AS203" s="1">
        <v>1827.93</v>
      </c>
      <c r="AT203" s="1" t="s">
        <v>198</v>
      </c>
      <c r="AW203" s="1">
        <v>1828</v>
      </c>
      <c r="AX203" s="1" t="s">
        <v>1755</v>
      </c>
      <c r="AY203" s="1" t="s">
        <v>1756</v>
      </c>
      <c r="AZ203" s="1" t="s">
        <v>1757</v>
      </c>
      <c r="BA203" s="1" t="s">
        <v>180</v>
      </c>
      <c r="BB203" s="1">
        <v>530045</v>
      </c>
      <c r="BE203" s="1" t="s">
        <v>1285</v>
      </c>
      <c r="BF203" s="122">
        <v>45957.429166666669</v>
      </c>
    </row>
    <row r="204" spans="1:58">
      <c r="A204" s="1">
        <v>197</v>
      </c>
      <c r="B204" s="1" t="s">
        <v>179</v>
      </c>
      <c r="C204" s="1" t="s">
        <v>180</v>
      </c>
      <c r="D204" s="1" t="s">
        <v>181</v>
      </c>
      <c r="E204" s="1" t="s">
        <v>1758</v>
      </c>
      <c r="F204" s="122">
        <v>45957.701388888891</v>
      </c>
      <c r="G204" s="1" t="s">
        <v>533</v>
      </c>
      <c r="I204" s="1" t="s">
        <v>1759</v>
      </c>
      <c r="K204" s="1" t="s">
        <v>1760</v>
      </c>
      <c r="M204" s="1" t="s">
        <v>186</v>
      </c>
      <c r="N204" s="1" t="s">
        <v>1761</v>
      </c>
      <c r="O204" s="1">
        <v>552126</v>
      </c>
      <c r="P204" s="1">
        <v>4094974</v>
      </c>
      <c r="Q204" s="1" t="s">
        <v>248</v>
      </c>
      <c r="R204" s="1" t="s">
        <v>1762</v>
      </c>
      <c r="S204" s="1" t="s">
        <v>250</v>
      </c>
      <c r="T204" s="1" t="s">
        <v>191</v>
      </c>
      <c r="U204" s="122">
        <v>44134.686805555553</v>
      </c>
      <c r="V204" s="1" t="s">
        <v>558</v>
      </c>
      <c r="W204" s="1" t="s">
        <v>20</v>
      </c>
      <c r="X204" s="1" t="s">
        <v>559</v>
      </c>
      <c r="Z204" s="1" t="s">
        <v>538</v>
      </c>
      <c r="AA204" s="1">
        <v>80743</v>
      </c>
      <c r="AB204" s="1">
        <v>0</v>
      </c>
      <c r="AC204" s="1">
        <v>0</v>
      </c>
      <c r="AD204" s="122">
        <v>45961.784722222219</v>
      </c>
      <c r="AE204" s="122">
        <v>45961.784722222219</v>
      </c>
      <c r="AF204" s="122">
        <v>45957.755555555559</v>
      </c>
      <c r="AG204" s="1">
        <v>0</v>
      </c>
      <c r="AH204" s="1">
        <v>0</v>
      </c>
      <c r="AI204" s="1" t="s">
        <v>195</v>
      </c>
      <c r="AJ204" s="122">
        <v>45957.754166666666</v>
      </c>
      <c r="AL204" s="1" t="s">
        <v>196</v>
      </c>
      <c r="AO204" s="1" t="s">
        <v>113</v>
      </c>
      <c r="AP204" s="1" t="s">
        <v>1763</v>
      </c>
      <c r="AQ204" s="122">
        <v>45957.755555555559</v>
      </c>
      <c r="AR204" s="1">
        <v>2714</v>
      </c>
      <c r="AS204" s="1">
        <v>0</v>
      </c>
      <c r="AT204" s="1" t="s">
        <v>198</v>
      </c>
      <c r="AW204" s="1">
        <v>2714</v>
      </c>
      <c r="AX204" s="1" t="s">
        <v>1764</v>
      </c>
      <c r="AY204" s="1" t="s">
        <v>1765</v>
      </c>
      <c r="AZ204" s="1" t="s">
        <v>755</v>
      </c>
      <c r="BA204" s="1" t="s">
        <v>180</v>
      </c>
      <c r="BB204" s="1">
        <v>530017</v>
      </c>
      <c r="BE204" s="1" t="s">
        <v>1766</v>
      </c>
      <c r="BF204" s="122">
        <v>45957.699305555558</v>
      </c>
    </row>
    <row r="205" spans="1:58">
      <c r="A205" s="1">
        <v>198</v>
      </c>
      <c r="B205" s="1" t="s">
        <v>179</v>
      </c>
      <c r="C205" s="1" t="s">
        <v>180</v>
      </c>
      <c r="D205" s="1" t="s">
        <v>181</v>
      </c>
      <c r="E205" s="1" t="s">
        <v>1767</v>
      </c>
      <c r="F205" s="122">
        <v>45954.436805555553</v>
      </c>
      <c r="G205" s="1" t="s">
        <v>244</v>
      </c>
      <c r="I205" s="1" t="s">
        <v>1768</v>
      </c>
      <c r="K205" s="1" t="s">
        <v>1769</v>
      </c>
      <c r="M205" s="1" t="s">
        <v>206</v>
      </c>
      <c r="N205" s="1" t="s">
        <v>1770</v>
      </c>
      <c r="O205" s="1">
        <v>978614</v>
      </c>
      <c r="P205" s="1">
        <v>5168898</v>
      </c>
      <c r="Q205" s="1" t="s">
        <v>271</v>
      </c>
      <c r="R205" s="1" t="s">
        <v>1771</v>
      </c>
      <c r="S205" s="1" t="s">
        <v>808</v>
      </c>
      <c r="T205" s="1" t="s">
        <v>454</v>
      </c>
      <c r="U205" s="122">
        <v>42398.665972222225</v>
      </c>
      <c r="V205" s="1" t="s">
        <v>192</v>
      </c>
      <c r="W205" s="1" t="s">
        <v>21</v>
      </c>
      <c r="X205" s="1" t="s">
        <v>193</v>
      </c>
      <c r="Z205" s="1" t="s">
        <v>4</v>
      </c>
      <c r="AA205" s="1">
        <v>258577</v>
      </c>
      <c r="AB205" s="1">
        <v>800</v>
      </c>
      <c r="AC205" s="1">
        <v>13000</v>
      </c>
      <c r="AD205" s="122">
        <v>45954.645833333336</v>
      </c>
      <c r="AE205" s="122">
        <v>45954.645833333336</v>
      </c>
      <c r="AF205" s="122">
        <v>45957.772222222222</v>
      </c>
      <c r="AG205" s="1">
        <v>13000</v>
      </c>
      <c r="AH205" s="1">
        <v>800</v>
      </c>
      <c r="AI205" s="1" t="s">
        <v>195</v>
      </c>
      <c r="AL205" s="1" t="s">
        <v>196</v>
      </c>
      <c r="AO205" s="1" t="s">
        <v>113</v>
      </c>
      <c r="AP205" s="1" t="s">
        <v>1772</v>
      </c>
      <c r="AQ205" s="122">
        <v>45957.772916666669</v>
      </c>
      <c r="AR205" s="1">
        <v>2131.3200000000002</v>
      </c>
      <c r="AS205" s="1">
        <v>9650.4699999999993</v>
      </c>
      <c r="AT205" s="1" t="s">
        <v>198</v>
      </c>
      <c r="AW205" s="1">
        <v>11782</v>
      </c>
      <c r="AX205" s="1" t="s">
        <v>1773</v>
      </c>
      <c r="AY205" s="1" t="s">
        <v>1774</v>
      </c>
      <c r="AZ205" s="1" t="s">
        <v>933</v>
      </c>
      <c r="BA205" s="1" t="s">
        <v>180</v>
      </c>
      <c r="BB205" s="1">
        <v>531163</v>
      </c>
      <c r="BF205" s="122">
        <v>45954.43472222222</v>
      </c>
    </row>
    <row r="206" spans="1:58">
      <c r="A206" s="1">
        <v>199</v>
      </c>
      <c r="B206" s="1" t="s">
        <v>179</v>
      </c>
      <c r="C206" s="1" t="s">
        <v>180</v>
      </c>
      <c r="D206" s="1" t="s">
        <v>181</v>
      </c>
      <c r="E206" s="1" t="s">
        <v>1775</v>
      </c>
      <c r="F206" s="122">
        <v>45958.381249999999</v>
      </c>
      <c r="G206" s="1" t="s">
        <v>218</v>
      </c>
      <c r="I206" s="1" t="s">
        <v>1776</v>
      </c>
      <c r="K206" s="1" t="s">
        <v>1777</v>
      </c>
      <c r="M206" s="1" t="s">
        <v>325</v>
      </c>
      <c r="N206" s="1" t="s">
        <v>1778</v>
      </c>
      <c r="O206" s="1" t="s">
        <v>1779</v>
      </c>
      <c r="P206" s="1">
        <v>5927804</v>
      </c>
      <c r="Q206" s="1" t="s">
        <v>271</v>
      </c>
      <c r="R206" s="1" t="s">
        <v>1780</v>
      </c>
      <c r="S206" s="1" t="s">
        <v>645</v>
      </c>
      <c r="T206" s="1" t="s">
        <v>454</v>
      </c>
      <c r="U206" s="122">
        <v>43080.822222222225</v>
      </c>
      <c r="V206" s="1" t="s">
        <v>192</v>
      </c>
      <c r="W206" s="1" t="s">
        <v>21</v>
      </c>
      <c r="X206" s="1" t="s">
        <v>226</v>
      </c>
      <c r="Z206" s="1" t="s">
        <v>3</v>
      </c>
      <c r="AA206" s="1">
        <v>85320</v>
      </c>
      <c r="AB206" s="1">
        <v>1915</v>
      </c>
      <c r="AC206" s="1">
        <v>4500</v>
      </c>
      <c r="AD206" s="122">
        <v>45958.645833333336</v>
      </c>
      <c r="AE206" s="122">
        <v>45958.645833333336</v>
      </c>
      <c r="AF206" s="122">
        <v>45958.463194444441</v>
      </c>
      <c r="AG206" s="1">
        <v>1206</v>
      </c>
      <c r="AH206" s="1">
        <v>1915</v>
      </c>
      <c r="AI206" s="1" t="s">
        <v>195</v>
      </c>
      <c r="AJ206" s="122">
        <v>45958.438888888886</v>
      </c>
      <c r="AK206" s="122">
        <v>45958.440972222219</v>
      </c>
      <c r="AL206" s="1" t="s">
        <v>212</v>
      </c>
      <c r="AO206" s="1" t="s">
        <v>113</v>
      </c>
      <c r="AP206" s="1" t="s">
        <v>1781</v>
      </c>
      <c r="AQ206" s="122">
        <v>45958.463888888888</v>
      </c>
      <c r="AR206" s="1">
        <v>1670.59</v>
      </c>
      <c r="AS206" s="1">
        <v>2346.37</v>
      </c>
      <c r="AT206" s="1" t="s">
        <v>198</v>
      </c>
      <c r="AW206" s="1">
        <v>4017</v>
      </c>
      <c r="AX206" s="1" t="s">
        <v>899</v>
      </c>
      <c r="AY206" s="1" t="s">
        <v>899</v>
      </c>
      <c r="BA206" s="1" t="s">
        <v>180</v>
      </c>
      <c r="BB206" s="1">
        <v>535002</v>
      </c>
      <c r="BE206" s="1" t="s">
        <v>1782</v>
      </c>
      <c r="BF206" s="122">
        <v>45958.378472222219</v>
      </c>
    </row>
    <row r="207" spans="1:58">
      <c r="A207" s="1">
        <v>200</v>
      </c>
      <c r="B207" s="1" t="s">
        <v>179</v>
      </c>
      <c r="C207" s="1" t="s">
        <v>180</v>
      </c>
      <c r="D207" s="1" t="s">
        <v>181</v>
      </c>
      <c r="E207" s="1" t="s">
        <v>1783</v>
      </c>
      <c r="F207" s="122">
        <v>45958.511805555558</v>
      </c>
      <c r="G207" s="1" t="s">
        <v>218</v>
      </c>
      <c r="I207" s="1" t="s">
        <v>1784</v>
      </c>
      <c r="K207" s="1" t="s">
        <v>502</v>
      </c>
      <c r="M207" s="1" t="s">
        <v>206</v>
      </c>
      <c r="N207" s="1" t="s">
        <v>1785</v>
      </c>
      <c r="O207" s="1">
        <v>467357</v>
      </c>
      <c r="P207" s="1">
        <v>7335063</v>
      </c>
      <c r="Q207" s="1" t="s">
        <v>293</v>
      </c>
      <c r="R207" s="1" t="s">
        <v>1612</v>
      </c>
      <c r="S207" s="1" t="s">
        <v>1376</v>
      </c>
      <c r="T207" s="1" t="s">
        <v>191</v>
      </c>
      <c r="U207" s="122">
        <v>45192.768750000003</v>
      </c>
      <c r="V207" s="1" t="s">
        <v>192</v>
      </c>
      <c r="W207" s="1" t="s">
        <v>21</v>
      </c>
      <c r="X207" s="1" t="s">
        <v>226</v>
      </c>
      <c r="Z207" s="1" t="s">
        <v>3</v>
      </c>
      <c r="AA207" s="1">
        <v>34569</v>
      </c>
      <c r="AB207" s="1">
        <v>2520</v>
      </c>
      <c r="AC207" s="1">
        <v>3000</v>
      </c>
      <c r="AD207" s="122">
        <v>45958.645833333336</v>
      </c>
      <c r="AE207" s="122">
        <v>45958.645833333336</v>
      </c>
      <c r="AF207" s="122">
        <v>45958.549305555556</v>
      </c>
      <c r="AG207" s="1">
        <v>2243</v>
      </c>
      <c r="AH207" s="1">
        <v>2520</v>
      </c>
      <c r="AI207" s="1" t="s">
        <v>195</v>
      </c>
      <c r="AJ207" s="122">
        <v>45958.513888888891</v>
      </c>
      <c r="AK207" s="122">
        <v>45958.519444444442</v>
      </c>
      <c r="AL207" s="1" t="s">
        <v>212</v>
      </c>
      <c r="AO207" s="1" t="s">
        <v>113</v>
      </c>
      <c r="AP207" s="1" t="s">
        <v>1786</v>
      </c>
      <c r="AQ207" s="122">
        <v>45958.55</v>
      </c>
      <c r="AR207" s="1">
        <v>1871.48</v>
      </c>
      <c r="AS207" s="1">
        <v>2507.38</v>
      </c>
      <c r="AT207" s="1" t="s">
        <v>413</v>
      </c>
      <c r="AU207" s="121">
        <v>45958</v>
      </c>
      <c r="AW207" s="1">
        <v>4379</v>
      </c>
      <c r="AX207" s="1" t="s">
        <v>1787</v>
      </c>
      <c r="AY207" s="1" t="s">
        <v>1788</v>
      </c>
      <c r="AZ207" s="1" t="s">
        <v>1563</v>
      </c>
      <c r="BA207" s="1" t="s">
        <v>180</v>
      </c>
      <c r="BB207" s="1">
        <v>530002</v>
      </c>
      <c r="BE207" s="1" t="s">
        <v>1285</v>
      </c>
      <c r="BF207" s="122">
        <v>45958.509027777778</v>
      </c>
    </row>
    <row r="208" spans="1:58">
      <c r="A208" s="1">
        <v>201</v>
      </c>
      <c r="B208" s="1" t="s">
        <v>179</v>
      </c>
      <c r="C208" s="1" t="s">
        <v>180</v>
      </c>
      <c r="D208" s="1" t="s">
        <v>181</v>
      </c>
      <c r="E208" s="1" t="s">
        <v>1789</v>
      </c>
      <c r="F208" s="122">
        <v>45958.607638888891</v>
      </c>
      <c r="G208" s="1" t="s">
        <v>651</v>
      </c>
      <c r="I208" s="1" t="s">
        <v>1686</v>
      </c>
      <c r="K208" s="1" t="s">
        <v>1687</v>
      </c>
      <c r="M208" s="1" t="s">
        <v>206</v>
      </c>
      <c r="N208" s="1" t="s">
        <v>1688</v>
      </c>
      <c r="O208" s="1">
        <v>393232</v>
      </c>
      <c r="P208" s="1">
        <v>1290338</v>
      </c>
      <c r="Q208" s="1" t="s">
        <v>655</v>
      </c>
      <c r="R208" s="1" t="s">
        <v>1689</v>
      </c>
      <c r="S208" s="1" t="s">
        <v>1690</v>
      </c>
      <c r="U208" s="122">
        <v>45926.487500000003</v>
      </c>
      <c r="V208" s="1" t="s">
        <v>192</v>
      </c>
      <c r="W208" s="1" t="s">
        <v>21</v>
      </c>
      <c r="X208" s="1" t="s">
        <v>226</v>
      </c>
      <c r="Z208" s="1" t="s">
        <v>658</v>
      </c>
      <c r="AA208" s="1">
        <v>1063</v>
      </c>
      <c r="AB208" s="1">
        <v>0</v>
      </c>
      <c r="AC208" s="1">
        <v>70</v>
      </c>
      <c r="AD208" s="122">
        <v>45958.729166666664</v>
      </c>
      <c r="AE208" s="122">
        <v>45958.729166666664</v>
      </c>
      <c r="AF208" s="122">
        <v>45958.625694444447</v>
      </c>
      <c r="AG208" s="1">
        <v>70</v>
      </c>
      <c r="AH208" s="1">
        <v>0</v>
      </c>
      <c r="AI208" s="1" t="s">
        <v>195</v>
      </c>
      <c r="AJ208" s="122">
        <v>45958.623611111114</v>
      </c>
      <c r="AK208" s="122">
        <v>45958.623611111114</v>
      </c>
      <c r="AL208" s="1" t="s">
        <v>212</v>
      </c>
      <c r="AO208" s="1" t="s">
        <v>113</v>
      </c>
      <c r="AP208" s="1" t="s">
        <v>1790</v>
      </c>
      <c r="AQ208" s="122">
        <v>45958.626388888886</v>
      </c>
      <c r="AR208" s="1">
        <v>0</v>
      </c>
      <c r="AS208" s="1">
        <v>67.959999999999994</v>
      </c>
      <c r="AT208" s="1" t="s">
        <v>198</v>
      </c>
      <c r="AW208" s="1">
        <v>68</v>
      </c>
      <c r="AX208" s="1" t="s">
        <v>1692</v>
      </c>
      <c r="AY208" s="1" t="s">
        <v>1693</v>
      </c>
      <c r="AZ208" s="1" t="s">
        <v>1694</v>
      </c>
      <c r="BA208" s="1" t="s">
        <v>180</v>
      </c>
      <c r="BB208" s="1">
        <v>530013</v>
      </c>
      <c r="BE208" s="1" t="s">
        <v>1264</v>
      </c>
      <c r="BF208" s="122">
        <v>45958.106944444444</v>
      </c>
    </row>
    <row r="209" spans="1:58">
      <c r="A209" s="1">
        <v>202</v>
      </c>
      <c r="B209" s="1" t="s">
        <v>179</v>
      </c>
      <c r="C209" s="1" t="s">
        <v>180</v>
      </c>
      <c r="D209" s="1" t="s">
        <v>181</v>
      </c>
      <c r="E209" s="1" t="s">
        <v>1791</v>
      </c>
      <c r="F209" s="122">
        <v>45958.670138888891</v>
      </c>
      <c r="G209" s="1" t="s">
        <v>872</v>
      </c>
      <c r="I209" s="1" t="s">
        <v>1266</v>
      </c>
      <c r="K209" s="1" t="s">
        <v>1267</v>
      </c>
      <c r="M209" s="1" t="s">
        <v>186</v>
      </c>
      <c r="N209" s="1" t="s">
        <v>1268</v>
      </c>
      <c r="O209" s="1">
        <v>405283</v>
      </c>
      <c r="P209" s="1">
        <v>9003786</v>
      </c>
      <c r="Q209" s="1" t="s">
        <v>1269</v>
      </c>
      <c r="R209" s="1" t="s">
        <v>1270</v>
      </c>
      <c r="S209" s="1" t="s">
        <v>423</v>
      </c>
      <c r="T209" s="1" t="s">
        <v>454</v>
      </c>
      <c r="U209" s="122">
        <v>43823.835416666669</v>
      </c>
      <c r="V209" s="1" t="s">
        <v>192</v>
      </c>
      <c r="W209" s="1" t="s">
        <v>21</v>
      </c>
      <c r="X209" s="1" t="s">
        <v>193</v>
      </c>
      <c r="Z209" s="1" t="s">
        <v>877</v>
      </c>
      <c r="AA209" s="1">
        <v>79993</v>
      </c>
      <c r="AB209" s="1">
        <v>1200</v>
      </c>
      <c r="AC209" s="1">
        <v>1500</v>
      </c>
      <c r="AD209" s="122">
        <v>45958.770833333336</v>
      </c>
      <c r="AE209" s="122">
        <v>45958.770833333336</v>
      </c>
      <c r="AF209" s="122">
        <v>45958.706944444442</v>
      </c>
      <c r="AG209" s="1">
        <v>1500</v>
      </c>
      <c r="AH209" s="1">
        <v>0</v>
      </c>
      <c r="AI209" s="1" t="s">
        <v>195</v>
      </c>
      <c r="AJ209" s="122">
        <v>45958.703472222223</v>
      </c>
      <c r="AK209" s="122">
        <v>45958.70416666667</v>
      </c>
      <c r="AL209" s="1" t="s">
        <v>212</v>
      </c>
      <c r="AO209" s="1" t="s">
        <v>113</v>
      </c>
      <c r="AP209" s="1" t="s">
        <v>1792</v>
      </c>
      <c r="AQ209" s="122">
        <v>45958.707638888889</v>
      </c>
      <c r="AR209" s="1">
        <v>873.04</v>
      </c>
      <c r="AS209" s="1">
        <v>903</v>
      </c>
      <c r="AT209" s="1" t="s">
        <v>413</v>
      </c>
      <c r="AU209" s="121">
        <v>45958</v>
      </c>
      <c r="AW209" s="1">
        <v>1776</v>
      </c>
      <c r="AX209" s="1" t="s">
        <v>1272</v>
      </c>
      <c r="AY209" s="1" t="s">
        <v>1273</v>
      </c>
      <c r="BA209" s="1" t="s">
        <v>180</v>
      </c>
      <c r="BB209" s="1">
        <v>530013</v>
      </c>
      <c r="BE209" s="1" t="s">
        <v>1264</v>
      </c>
      <c r="BF209" s="122">
        <v>45958.667361111111</v>
      </c>
    </row>
    <row r="210" spans="1:58">
      <c r="A210" s="1">
        <v>203</v>
      </c>
      <c r="B210" s="1" t="s">
        <v>179</v>
      </c>
      <c r="C210" s="1" t="s">
        <v>180</v>
      </c>
      <c r="D210" s="1" t="s">
        <v>181</v>
      </c>
      <c r="E210" s="1" t="s">
        <v>1793</v>
      </c>
      <c r="F210" s="122">
        <v>45958.638194444444</v>
      </c>
      <c r="G210" s="1" t="s">
        <v>595</v>
      </c>
      <c r="I210" s="1" t="s">
        <v>1257</v>
      </c>
      <c r="K210" s="1" t="s">
        <v>1258</v>
      </c>
      <c r="M210" s="1" t="s">
        <v>186</v>
      </c>
      <c r="N210" s="1" t="s">
        <v>1259</v>
      </c>
      <c r="O210" s="1">
        <v>922058</v>
      </c>
      <c r="P210" s="1">
        <v>4610678</v>
      </c>
      <c r="Q210" s="1" t="s">
        <v>283</v>
      </c>
      <c r="R210" s="1" t="s">
        <v>1260</v>
      </c>
      <c r="S210" s="1" t="s">
        <v>368</v>
      </c>
      <c r="T210" s="1" t="s">
        <v>191</v>
      </c>
      <c r="U210" s="122">
        <v>45726.675000000003</v>
      </c>
      <c r="V210" s="1" t="s">
        <v>192</v>
      </c>
      <c r="W210" s="1" t="s">
        <v>21</v>
      </c>
      <c r="X210" s="1" t="s">
        <v>226</v>
      </c>
      <c r="Z210" s="1" t="s">
        <v>602</v>
      </c>
      <c r="AA210" s="1">
        <v>6101</v>
      </c>
      <c r="AB210" s="1">
        <v>500</v>
      </c>
      <c r="AC210" s="1">
        <v>800</v>
      </c>
      <c r="AD210" s="122">
        <v>45958.6875</v>
      </c>
      <c r="AE210" s="122">
        <v>45958.6875</v>
      </c>
      <c r="AF210" s="122">
        <v>45958.70208333333</v>
      </c>
      <c r="AG210" s="1">
        <v>800</v>
      </c>
      <c r="AH210" s="1">
        <v>0</v>
      </c>
      <c r="AI210" s="1" t="s">
        <v>195</v>
      </c>
      <c r="AJ210" s="122">
        <v>45958.640277777777</v>
      </c>
      <c r="AK210" s="122">
        <v>45958.640277777777</v>
      </c>
      <c r="AL210" s="1" t="s">
        <v>212</v>
      </c>
      <c r="AO210" s="1" t="s">
        <v>113</v>
      </c>
      <c r="AP210" s="1" t="s">
        <v>1794</v>
      </c>
      <c r="AQ210" s="122">
        <v>45958.702777777777</v>
      </c>
      <c r="AR210" s="1">
        <v>885</v>
      </c>
      <c r="AS210" s="1">
        <v>303.99</v>
      </c>
      <c r="AT210" s="1" t="s">
        <v>198</v>
      </c>
      <c r="AW210" s="1">
        <v>1189</v>
      </c>
      <c r="AX210" s="1" t="s">
        <v>1262</v>
      </c>
      <c r="AY210" s="1" t="s">
        <v>1263</v>
      </c>
      <c r="BA210" s="1" t="s">
        <v>180</v>
      </c>
      <c r="BB210" s="1">
        <v>500038</v>
      </c>
      <c r="BE210" s="1" t="s">
        <v>1264</v>
      </c>
      <c r="BF210" s="122">
        <v>45958.636111111111</v>
      </c>
    </row>
    <row r="211" spans="1:58">
      <c r="A211" s="1">
        <v>204</v>
      </c>
      <c r="B211" s="1" t="s">
        <v>179</v>
      </c>
      <c r="C211" s="1" t="s">
        <v>180</v>
      </c>
      <c r="D211" s="1" t="s">
        <v>181</v>
      </c>
      <c r="E211" s="1" t="s">
        <v>1795</v>
      </c>
      <c r="F211" s="122">
        <v>45953.504861111112</v>
      </c>
      <c r="G211" s="1" t="s">
        <v>533</v>
      </c>
      <c r="I211" s="1" t="s">
        <v>1796</v>
      </c>
      <c r="K211" s="1" t="s">
        <v>1797</v>
      </c>
      <c r="N211" s="1" t="s">
        <v>1798</v>
      </c>
      <c r="O211" s="1">
        <v>374098</v>
      </c>
      <c r="P211" s="1">
        <v>3421783</v>
      </c>
      <c r="Q211" s="1" t="s">
        <v>303</v>
      </c>
      <c r="R211" s="1" t="s">
        <v>1799</v>
      </c>
      <c r="S211" s="1" t="s">
        <v>1720</v>
      </c>
      <c r="T211" s="1" t="s">
        <v>191</v>
      </c>
      <c r="U211" s="122">
        <v>43458.800694444442</v>
      </c>
      <c r="V211" s="1" t="s">
        <v>558</v>
      </c>
      <c r="W211" s="1" t="s">
        <v>20</v>
      </c>
      <c r="X211" s="1" t="s">
        <v>559</v>
      </c>
      <c r="Z211" s="1" t="s">
        <v>538</v>
      </c>
      <c r="AA211" s="1">
        <v>81048</v>
      </c>
      <c r="AB211" s="1">
        <v>0</v>
      </c>
      <c r="AC211" s="1">
        <v>0</v>
      </c>
      <c r="AD211" s="122">
        <v>45958.754861111112</v>
      </c>
      <c r="AE211" s="122">
        <v>45958.754861111112</v>
      </c>
      <c r="AF211" s="122">
        <v>45958.793749999997</v>
      </c>
      <c r="AG211" s="1">
        <v>0</v>
      </c>
      <c r="AH211" s="1">
        <v>0</v>
      </c>
      <c r="AI211" s="1" t="s">
        <v>195</v>
      </c>
      <c r="AJ211" s="122">
        <v>45953.506249999999</v>
      </c>
      <c r="AL211" s="1" t="s">
        <v>196</v>
      </c>
      <c r="AO211" s="1" t="s">
        <v>113</v>
      </c>
      <c r="AP211" s="1" t="s">
        <v>1800</v>
      </c>
      <c r="AQ211" s="122">
        <v>45958.795138888891</v>
      </c>
      <c r="AR211" s="1">
        <v>0</v>
      </c>
      <c r="AS211" s="1">
        <v>0</v>
      </c>
      <c r="AT211" s="1" t="s">
        <v>198</v>
      </c>
      <c r="AW211" s="1">
        <v>0</v>
      </c>
      <c r="AX211" s="1" t="s">
        <v>1801</v>
      </c>
      <c r="AY211" s="1" t="s">
        <v>1802</v>
      </c>
      <c r="AZ211" s="1" t="s">
        <v>1803</v>
      </c>
      <c r="BA211" s="1" t="s">
        <v>180</v>
      </c>
      <c r="BB211" s="1">
        <v>530046</v>
      </c>
      <c r="BE211" s="1" t="s">
        <v>1804</v>
      </c>
      <c r="BF211" s="122">
        <v>45953.50277777778</v>
      </c>
    </row>
    <row r="212" spans="1:58">
      <c r="A212" s="1">
        <v>205</v>
      </c>
      <c r="B212" s="1" t="s">
        <v>179</v>
      </c>
      <c r="C212" s="1" t="s">
        <v>180</v>
      </c>
      <c r="D212" s="1" t="s">
        <v>181</v>
      </c>
      <c r="E212" s="1" t="s">
        <v>1795</v>
      </c>
      <c r="F212" s="122">
        <v>45953.504861111112</v>
      </c>
      <c r="G212" s="1" t="s">
        <v>533</v>
      </c>
      <c r="I212" s="1" t="s">
        <v>1796</v>
      </c>
      <c r="K212" s="1" t="s">
        <v>1797</v>
      </c>
      <c r="N212" s="1" t="s">
        <v>1798</v>
      </c>
      <c r="O212" s="1">
        <v>374098</v>
      </c>
      <c r="P212" s="1">
        <v>3421783</v>
      </c>
      <c r="Q212" s="1" t="s">
        <v>303</v>
      </c>
      <c r="R212" s="1" t="s">
        <v>1799</v>
      </c>
      <c r="S212" s="1" t="s">
        <v>1720</v>
      </c>
      <c r="T212" s="1" t="s">
        <v>191</v>
      </c>
      <c r="U212" s="122">
        <v>43458.800694444442</v>
      </c>
      <c r="V212" s="1" t="s">
        <v>558</v>
      </c>
      <c r="W212" s="1" t="s">
        <v>20</v>
      </c>
      <c r="X212" s="1" t="s">
        <v>559</v>
      </c>
      <c r="Z212" s="1" t="s">
        <v>538</v>
      </c>
      <c r="AA212" s="1">
        <v>81048</v>
      </c>
      <c r="AB212" s="1">
        <v>0</v>
      </c>
      <c r="AC212" s="1">
        <v>0</v>
      </c>
      <c r="AD212" s="122">
        <v>45958.754861111112</v>
      </c>
      <c r="AE212" s="122">
        <v>45958.754861111112</v>
      </c>
      <c r="AF212" s="122">
        <v>45958.793749999997</v>
      </c>
      <c r="AG212" s="1">
        <v>0</v>
      </c>
      <c r="AH212" s="1">
        <v>0</v>
      </c>
      <c r="AI212" s="1" t="s">
        <v>195</v>
      </c>
      <c r="AJ212" s="122">
        <v>45953.506249999999</v>
      </c>
      <c r="AL212" s="1" t="s">
        <v>196</v>
      </c>
      <c r="AO212" s="1" t="s">
        <v>113</v>
      </c>
      <c r="AP212" s="1" t="s">
        <v>1805</v>
      </c>
      <c r="AQ212" s="122">
        <v>45958.795138888891</v>
      </c>
      <c r="AR212" s="1">
        <v>7789.18</v>
      </c>
      <c r="AS212" s="1">
        <v>12351.91</v>
      </c>
      <c r="AT212" s="1" t="s">
        <v>198</v>
      </c>
      <c r="AW212" s="1">
        <v>20141</v>
      </c>
      <c r="AX212" s="1" t="s">
        <v>1801</v>
      </c>
      <c r="AY212" s="1" t="s">
        <v>1802</v>
      </c>
      <c r="AZ212" s="1" t="s">
        <v>1803</v>
      </c>
      <c r="BA212" s="1" t="s">
        <v>180</v>
      </c>
      <c r="BB212" s="1">
        <v>530046</v>
      </c>
      <c r="BE212" s="1" t="s">
        <v>1804</v>
      </c>
      <c r="BF212" s="122">
        <v>45953.50277777778</v>
      </c>
    </row>
    <row r="213" spans="1:58">
      <c r="A213" s="1">
        <v>206</v>
      </c>
      <c r="B213" s="1" t="s">
        <v>179</v>
      </c>
      <c r="C213" s="1" t="s">
        <v>180</v>
      </c>
      <c r="D213" s="1" t="s">
        <v>181</v>
      </c>
      <c r="E213" s="1" t="s">
        <v>1806</v>
      </c>
      <c r="F213" s="122">
        <v>45952.716666666667</v>
      </c>
      <c r="G213" s="1" t="s">
        <v>533</v>
      </c>
      <c r="I213" s="1" t="s">
        <v>1807</v>
      </c>
      <c r="K213" s="1" t="s">
        <v>1808</v>
      </c>
      <c r="N213" s="1" t="s">
        <v>1809</v>
      </c>
      <c r="O213" s="1">
        <v>209355</v>
      </c>
      <c r="P213" s="1">
        <v>4177312</v>
      </c>
      <c r="Q213" s="1" t="s">
        <v>1600</v>
      </c>
      <c r="R213" s="1" t="s">
        <v>1810</v>
      </c>
      <c r="S213" s="1" t="s">
        <v>250</v>
      </c>
      <c r="T213" s="1" t="s">
        <v>191</v>
      </c>
      <c r="U213" s="122">
        <v>42581.8125</v>
      </c>
      <c r="V213" s="1" t="s">
        <v>558</v>
      </c>
      <c r="W213" s="1" t="s">
        <v>20</v>
      </c>
      <c r="X213" s="1" t="s">
        <v>559</v>
      </c>
      <c r="Z213" s="1" t="s">
        <v>538</v>
      </c>
      <c r="AA213" s="1">
        <v>83546</v>
      </c>
      <c r="AB213" s="1">
        <v>0</v>
      </c>
      <c r="AC213" s="1">
        <v>0</v>
      </c>
      <c r="AD213" s="122">
        <v>45958.716666666667</v>
      </c>
      <c r="AE213" s="122">
        <v>45958.716666666667</v>
      </c>
      <c r="AF213" s="122">
        <v>45958.675000000003</v>
      </c>
      <c r="AG213" s="1">
        <v>0</v>
      </c>
      <c r="AH213" s="1">
        <v>0</v>
      </c>
      <c r="AI213" s="1" t="s">
        <v>195</v>
      </c>
      <c r="AJ213" s="122">
        <v>45952.717361111114</v>
      </c>
      <c r="AL213" s="1" t="s">
        <v>196</v>
      </c>
      <c r="AO213" s="1" t="s">
        <v>113</v>
      </c>
      <c r="AP213" s="1" t="s">
        <v>1811</v>
      </c>
      <c r="AQ213" s="122">
        <v>45958.675000000003</v>
      </c>
      <c r="AR213" s="1">
        <v>16438.580000000002</v>
      </c>
      <c r="AS213" s="1">
        <v>0</v>
      </c>
      <c r="AT213" s="1" t="s">
        <v>198</v>
      </c>
      <c r="AW213" s="1">
        <v>16439</v>
      </c>
      <c r="AX213" s="1" t="s">
        <v>1812</v>
      </c>
      <c r="AY213" s="1" t="s">
        <v>1813</v>
      </c>
      <c r="AZ213" s="1" t="s">
        <v>1814</v>
      </c>
      <c r="BA213" s="1" t="s">
        <v>180</v>
      </c>
      <c r="BB213" s="1">
        <v>530009</v>
      </c>
      <c r="BF213" s="122">
        <v>45952.714583333334</v>
      </c>
    </row>
    <row r="214" spans="1:58">
      <c r="A214" s="1">
        <v>207</v>
      </c>
      <c r="B214" s="1" t="s">
        <v>179</v>
      </c>
      <c r="C214" s="1" t="s">
        <v>180</v>
      </c>
      <c r="D214" s="1" t="s">
        <v>181</v>
      </c>
      <c r="E214" s="1" t="s">
        <v>1815</v>
      </c>
      <c r="F214" s="122">
        <v>45958.532638888886</v>
      </c>
      <c r="G214" s="1" t="s">
        <v>872</v>
      </c>
      <c r="I214" s="1" t="s">
        <v>1816</v>
      </c>
      <c r="J214" s="1" t="s">
        <v>1817</v>
      </c>
      <c r="K214" s="1" t="s">
        <v>1818</v>
      </c>
      <c r="M214" s="1" t="s">
        <v>408</v>
      </c>
      <c r="N214" s="1" t="s">
        <v>1819</v>
      </c>
      <c r="O214" s="1">
        <v>672382</v>
      </c>
      <c r="P214" s="1">
        <v>4199284</v>
      </c>
      <c r="Q214" s="1" t="s">
        <v>248</v>
      </c>
      <c r="R214" s="1" t="s">
        <v>1762</v>
      </c>
      <c r="S214" s="1" t="s">
        <v>250</v>
      </c>
      <c r="T214" s="1" t="s">
        <v>191</v>
      </c>
      <c r="U214" s="122">
        <v>44366.510416666664</v>
      </c>
      <c r="V214" s="1" t="s">
        <v>192</v>
      </c>
      <c r="W214" s="1" t="s">
        <v>21</v>
      </c>
      <c r="X214" s="1" t="s">
        <v>193</v>
      </c>
      <c r="Z214" s="1" t="s">
        <v>877</v>
      </c>
      <c r="AA214" s="1">
        <v>31553</v>
      </c>
      <c r="AB214" s="1">
        <v>2000</v>
      </c>
      <c r="AC214" s="1">
        <v>688</v>
      </c>
      <c r="AD214" s="122">
        <v>45958.740972222222</v>
      </c>
      <c r="AE214" s="122">
        <v>45958.740972222222</v>
      </c>
      <c r="AF214" s="122">
        <v>45958.57708333333</v>
      </c>
      <c r="AG214" s="1">
        <v>688</v>
      </c>
      <c r="AH214" s="1">
        <v>2000</v>
      </c>
      <c r="AI214" s="1" t="s">
        <v>195</v>
      </c>
      <c r="AL214" s="1" t="s">
        <v>196</v>
      </c>
      <c r="AO214" s="1" t="s">
        <v>113</v>
      </c>
      <c r="AP214" s="1" t="s">
        <v>1820</v>
      </c>
      <c r="AQ214" s="122">
        <v>45958.57708333333</v>
      </c>
      <c r="AR214" s="1">
        <v>575.86</v>
      </c>
      <c r="AS214" s="1">
        <v>2424.2600000000002</v>
      </c>
      <c r="AT214" s="1" t="s">
        <v>198</v>
      </c>
      <c r="AW214" s="1">
        <v>3000</v>
      </c>
      <c r="AX214" s="1" t="s">
        <v>1821</v>
      </c>
      <c r="AY214" s="1" t="s">
        <v>1822</v>
      </c>
      <c r="AZ214" s="1" t="s">
        <v>1823</v>
      </c>
      <c r="BA214" s="1" t="s">
        <v>180</v>
      </c>
      <c r="BB214" s="1">
        <v>530003</v>
      </c>
      <c r="BF214" s="122">
        <v>45958.530555555553</v>
      </c>
    </row>
    <row r="215" spans="1:58">
      <c r="A215" s="1">
        <v>208</v>
      </c>
      <c r="B215" s="1" t="s">
        <v>179</v>
      </c>
      <c r="C215" s="1" t="s">
        <v>180</v>
      </c>
      <c r="D215" s="1" t="s">
        <v>181</v>
      </c>
      <c r="E215" s="1" t="s">
        <v>1824</v>
      </c>
      <c r="F215" s="122">
        <v>45958.39166666667</v>
      </c>
      <c r="G215" s="1" t="s">
        <v>218</v>
      </c>
      <c r="I215" s="1" t="s">
        <v>1278</v>
      </c>
      <c r="K215" s="1" t="s">
        <v>1279</v>
      </c>
      <c r="N215" s="1" t="s">
        <v>1280</v>
      </c>
      <c r="O215" s="1">
        <v>272030</v>
      </c>
      <c r="P215" s="1">
        <v>7146123</v>
      </c>
      <c r="Q215" s="1" t="s">
        <v>283</v>
      </c>
      <c r="R215" s="1" t="s">
        <v>1260</v>
      </c>
      <c r="S215" s="1" t="s">
        <v>368</v>
      </c>
      <c r="T215" s="1" t="s">
        <v>191</v>
      </c>
      <c r="U215" s="122">
        <v>44846.741666666669</v>
      </c>
      <c r="V215" s="1" t="s">
        <v>192</v>
      </c>
      <c r="W215" s="1" t="s">
        <v>21</v>
      </c>
      <c r="X215" s="1" t="s">
        <v>193</v>
      </c>
      <c r="Z215" s="1" t="s">
        <v>3</v>
      </c>
      <c r="AA215" s="1">
        <v>38450</v>
      </c>
      <c r="AB215" s="1">
        <v>2520</v>
      </c>
      <c r="AC215" s="1">
        <v>4500</v>
      </c>
      <c r="AD215" s="122">
        <v>45958.729166666664</v>
      </c>
      <c r="AE215" s="122">
        <v>45958.6875</v>
      </c>
      <c r="AF215" s="122">
        <v>45958.614583333336</v>
      </c>
      <c r="AG215" s="1">
        <v>2896.4</v>
      </c>
      <c r="AH215" s="1">
        <v>2520</v>
      </c>
      <c r="AI215" s="1" t="s">
        <v>195</v>
      </c>
      <c r="AJ215" s="122">
        <v>45958.609027777777</v>
      </c>
      <c r="AK215" s="122">
        <v>45958.609027777777</v>
      </c>
      <c r="AL215" s="1" t="s">
        <v>212</v>
      </c>
      <c r="AO215" s="1" t="s">
        <v>113</v>
      </c>
      <c r="AP215" s="1" t="s">
        <v>1825</v>
      </c>
      <c r="AQ215" s="122">
        <v>45958.615277777775</v>
      </c>
      <c r="AR215" s="1">
        <v>1576.48</v>
      </c>
      <c r="AS215" s="1">
        <v>4960.3</v>
      </c>
      <c r="AT215" s="1" t="s">
        <v>198</v>
      </c>
      <c r="AW215" s="1">
        <v>6537</v>
      </c>
      <c r="AX215" s="1" t="s">
        <v>1282</v>
      </c>
      <c r="AY215" s="1" t="s">
        <v>1283</v>
      </c>
      <c r="AZ215" s="1" t="s">
        <v>1284</v>
      </c>
      <c r="BA215" s="1" t="s">
        <v>180</v>
      </c>
      <c r="BB215" s="1">
        <v>500016</v>
      </c>
      <c r="BE215" s="1" t="s">
        <v>1285</v>
      </c>
      <c r="BF215" s="122">
        <v>45958.383333333331</v>
      </c>
    </row>
    <row r="216" spans="1:58">
      <c r="A216" s="1">
        <v>209</v>
      </c>
      <c r="B216" s="1" t="s">
        <v>179</v>
      </c>
      <c r="C216" s="1" t="s">
        <v>180</v>
      </c>
      <c r="D216" s="1" t="s">
        <v>181</v>
      </c>
      <c r="E216" s="1" t="s">
        <v>1826</v>
      </c>
      <c r="F216" s="122">
        <v>45959.65347222222</v>
      </c>
      <c r="G216" s="1" t="s">
        <v>244</v>
      </c>
      <c r="I216" s="1" t="s">
        <v>1188</v>
      </c>
      <c r="K216" s="1" t="s">
        <v>1827</v>
      </c>
      <c r="M216" s="1" t="s">
        <v>206</v>
      </c>
      <c r="N216" s="1" t="s">
        <v>1828</v>
      </c>
      <c r="O216" s="1">
        <v>613900</v>
      </c>
      <c r="P216" s="1">
        <v>1237820</v>
      </c>
      <c r="Q216" s="1" t="s">
        <v>599</v>
      </c>
      <c r="R216" s="1" t="s">
        <v>718</v>
      </c>
      <c r="S216" s="1" t="s">
        <v>225</v>
      </c>
      <c r="T216" s="1" t="s">
        <v>191</v>
      </c>
      <c r="U216" s="122">
        <v>44071.768055555556</v>
      </c>
      <c r="V216" s="1" t="s">
        <v>192</v>
      </c>
      <c r="W216" s="1" t="s">
        <v>21</v>
      </c>
      <c r="X216" s="1" t="s">
        <v>193</v>
      </c>
      <c r="Z216" s="1" t="s">
        <v>4</v>
      </c>
      <c r="AA216" s="1">
        <v>18355</v>
      </c>
      <c r="AB216" s="1">
        <v>0</v>
      </c>
      <c r="AC216" s="1">
        <v>300</v>
      </c>
      <c r="AD216" s="122">
        <v>45959.729166666664</v>
      </c>
      <c r="AE216" s="122">
        <v>45959.729166666664</v>
      </c>
      <c r="AF216" s="122">
        <v>45959.657638888886</v>
      </c>
      <c r="AG216" s="1">
        <v>300</v>
      </c>
      <c r="AH216" s="1">
        <v>0</v>
      </c>
      <c r="AI216" s="1" t="s">
        <v>195</v>
      </c>
      <c r="AJ216" s="122">
        <v>45959.654861111114</v>
      </c>
      <c r="AK216" s="122">
        <v>45959.655555555553</v>
      </c>
      <c r="AL216" s="1" t="s">
        <v>212</v>
      </c>
      <c r="AO216" s="1" t="s">
        <v>113</v>
      </c>
      <c r="AP216" s="1" t="s">
        <v>1829</v>
      </c>
      <c r="AQ216" s="122">
        <v>45959.663194444445</v>
      </c>
      <c r="AR216" s="1">
        <v>295</v>
      </c>
      <c r="AS216" s="1">
        <v>0</v>
      </c>
      <c r="AT216" s="1" t="s">
        <v>198</v>
      </c>
      <c r="AW216" s="1">
        <v>295</v>
      </c>
      <c r="AX216" s="1" t="s">
        <v>1830</v>
      </c>
      <c r="AY216" s="1" t="s">
        <v>1831</v>
      </c>
      <c r="AZ216" s="1" t="s">
        <v>1832</v>
      </c>
      <c r="BA216" s="1" t="s">
        <v>180</v>
      </c>
      <c r="BB216" s="1">
        <v>530027</v>
      </c>
      <c r="BE216" s="1" t="s">
        <v>1264</v>
      </c>
      <c r="BF216" s="122">
        <v>45959.65</v>
      </c>
    </row>
    <row r="217" spans="1:58">
      <c r="A217" s="1">
        <v>210</v>
      </c>
      <c r="B217" s="1" t="s">
        <v>179</v>
      </c>
      <c r="C217" s="1" t="s">
        <v>180</v>
      </c>
      <c r="D217" s="1" t="s">
        <v>181</v>
      </c>
      <c r="E217" s="1" t="s">
        <v>1833</v>
      </c>
      <c r="F217" s="122">
        <v>45959.509722222225</v>
      </c>
      <c r="G217" s="1" t="s">
        <v>244</v>
      </c>
      <c r="I217" s="1" t="s">
        <v>1834</v>
      </c>
      <c r="K217" s="1" t="s">
        <v>1835</v>
      </c>
      <c r="M217" s="1" t="s">
        <v>233</v>
      </c>
      <c r="N217" s="1" t="s">
        <v>1836</v>
      </c>
      <c r="O217" s="1" t="s">
        <v>1837</v>
      </c>
      <c r="P217" s="1">
        <v>2909790</v>
      </c>
      <c r="Q217" s="1" t="s">
        <v>235</v>
      </c>
      <c r="R217" s="1" t="s">
        <v>807</v>
      </c>
      <c r="S217" s="1" t="s">
        <v>808</v>
      </c>
      <c r="T217" s="1" t="s">
        <v>191</v>
      </c>
      <c r="U217" s="122">
        <v>42634.743055555555</v>
      </c>
      <c r="V217" s="1" t="s">
        <v>192</v>
      </c>
      <c r="W217" s="1" t="s">
        <v>21</v>
      </c>
      <c r="X217" s="1" t="s">
        <v>193</v>
      </c>
      <c r="Z217" s="1" t="s">
        <v>4</v>
      </c>
      <c r="AA217" s="1">
        <v>168055</v>
      </c>
      <c r="AB217" s="1">
        <v>50</v>
      </c>
      <c r="AC217" s="1">
        <v>100</v>
      </c>
      <c r="AD217" s="122">
        <v>45959.5625</v>
      </c>
      <c r="AE217" s="122">
        <v>45959.5625</v>
      </c>
      <c r="AF217" s="122">
        <v>45959.51666666667</v>
      </c>
      <c r="AG217" s="1">
        <v>100</v>
      </c>
      <c r="AH217" s="1">
        <v>0</v>
      </c>
      <c r="AI217" s="1" t="s">
        <v>195</v>
      </c>
      <c r="AJ217" s="122">
        <v>45959.515277777777</v>
      </c>
      <c r="AK217" s="122">
        <v>45959.515277777777</v>
      </c>
      <c r="AL217" s="1" t="s">
        <v>212</v>
      </c>
      <c r="AO217" s="1" t="s">
        <v>113</v>
      </c>
      <c r="AP217" s="1" t="s">
        <v>1838</v>
      </c>
      <c r="AQ217" s="122">
        <v>45959.517361111109</v>
      </c>
      <c r="AR217" s="1">
        <v>59</v>
      </c>
      <c r="AS217" s="1">
        <v>571.5</v>
      </c>
      <c r="AT217" s="1" t="s">
        <v>198</v>
      </c>
      <c r="AW217" s="1">
        <v>631</v>
      </c>
      <c r="AX217" s="1" t="s">
        <v>1839</v>
      </c>
      <c r="AY217" s="1" t="s">
        <v>1840</v>
      </c>
      <c r="AZ217" s="1" t="s">
        <v>1841</v>
      </c>
      <c r="BA217" s="1" t="s">
        <v>180</v>
      </c>
      <c r="BB217" s="1">
        <v>531163</v>
      </c>
      <c r="BE217" s="1" t="s">
        <v>1782</v>
      </c>
      <c r="BF217" s="122">
        <v>45959.50277777778</v>
      </c>
    </row>
    <row r="218" spans="1:58">
      <c r="A218" s="1">
        <v>211</v>
      </c>
      <c r="B218" s="1" t="s">
        <v>179</v>
      </c>
      <c r="C218" s="1" t="s">
        <v>180</v>
      </c>
      <c r="D218" s="1" t="s">
        <v>181</v>
      </c>
      <c r="E218" s="1" t="s">
        <v>1842</v>
      </c>
      <c r="F218" s="122">
        <v>45959.395138888889</v>
      </c>
      <c r="G218" s="1" t="s">
        <v>244</v>
      </c>
      <c r="I218" s="1" t="s">
        <v>1843</v>
      </c>
      <c r="K218" s="1" t="s">
        <v>1844</v>
      </c>
      <c r="M218" s="1" t="s">
        <v>186</v>
      </c>
      <c r="N218" s="1" t="s">
        <v>1845</v>
      </c>
      <c r="O218" s="1">
        <v>215451</v>
      </c>
      <c r="P218" s="1">
        <v>5727088</v>
      </c>
      <c r="Q218" s="1" t="s">
        <v>271</v>
      </c>
      <c r="R218" s="1" t="s">
        <v>1846</v>
      </c>
      <c r="S218" s="1" t="s">
        <v>687</v>
      </c>
      <c r="T218" s="1" t="s">
        <v>454</v>
      </c>
      <c r="U218" s="122">
        <v>43517.581250000003</v>
      </c>
      <c r="V218" s="1" t="s">
        <v>192</v>
      </c>
      <c r="W218" s="1" t="s">
        <v>21</v>
      </c>
      <c r="X218" s="1" t="s">
        <v>193</v>
      </c>
      <c r="Z218" s="1" t="s">
        <v>4</v>
      </c>
      <c r="AA218" s="1">
        <v>96425</v>
      </c>
      <c r="AB218" s="1">
        <v>0</v>
      </c>
      <c r="AC218" s="1">
        <v>1100</v>
      </c>
      <c r="AD218" s="122">
        <v>45959.479166666664</v>
      </c>
      <c r="AE218" s="122">
        <v>45959.479166666664</v>
      </c>
      <c r="AF218" s="122">
        <v>45959.40625</v>
      </c>
      <c r="AG218" s="1">
        <v>1100</v>
      </c>
      <c r="AH218" s="1">
        <v>0</v>
      </c>
      <c r="AI218" s="1" t="s">
        <v>195</v>
      </c>
      <c r="AJ218" s="122">
        <v>45959.404166666667</v>
      </c>
      <c r="AK218" s="122">
        <v>45959.404861111114</v>
      </c>
      <c r="AL218" s="1" t="s">
        <v>212</v>
      </c>
      <c r="AO218" s="1" t="s">
        <v>113</v>
      </c>
      <c r="AP218" s="1" t="s">
        <v>1847</v>
      </c>
      <c r="AQ218" s="122">
        <v>45959.40625</v>
      </c>
      <c r="AR218" s="1">
        <v>84.96</v>
      </c>
      <c r="AS218" s="1">
        <v>1014.97</v>
      </c>
      <c r="AT218" s="1" t="s">
        <v>198</v>
      </c>
      <c r="AW218" s="1">
        <v>1100</v>
      </c>
      <c r="AX218" s="1" t="s">
        <v>1848</v>
      </c>
      <c r="AY218" s="1" t="s">
        <v>1849</v>
      </c>
      <c r="AZ218" s="1" t="s">
        <v>1850</v>
      </c>
      <c r="BA218" s="1" t="s">
        <v>180</v>
      </c>
      <c r="BB218" s="1">
        <v>518003</v>
      </c>
      <c r="BE218" s="1" t="s">
        <v>1264</v>
      </c>
      <c r="BF218" s="122">
        <v>45959.390277777777</v>
      </c>
    </row>
    <row r="219" spans="1:58">
      <c r="A219" s="1">
        <v>212</v>
      </c>
      <c r="B219" s="1" t="s">
        <v>179</v>
      </c>
      <c r="C219" s="1" t="s">
        <v>180</v>
      </c>
      <c r="D219" s="1" t="s">
        <v>181</v>
      </c>
      <c r="E219" s="1" t="s">
        <v>1851</v>
      </c>
      <c r="F219" s="122">
        <v>45959.472222222219</v>
      </c>
      <c r="G219" s="1" t="s">
        <v>651</v>
      </c>
      <c r="I219" s="1" t="s">
        <v>1852</v>
      </c>
      <c r="K219" s="1" t="s">
        <v>1853</v>
      </c>
      <c r="N219" s="1" t="s">
        <v>1854</v>
      </c>
      <c r="O219" s="1">
        <v>649669</v>
      </c>
      <c r="P219" s="1">
        <v>4761555</v>
      </c>
      <c r="Q219" s="1" t="s">
        <v>283</v>
      </c>
      <c r="R219" s="1" t="s">
        <v>1855</v>
      </c>
      <c r="S219" s="1" t="s">
        <v>190</v>
      </c>
      <c r="U219" s="122">
        <v>45928.759027777778</v>
      </c>
      <c r="V219" s="1" t="s">
        <v>192</v>
      </c>
      <c r="W219" s="1" t="s">
        <v>21</v>
      </c>
      <c r="X219" s="1" t="s">
        <v>193</v>
      </c>
      <c r="Z219" s="1" t="s">
        <v>658</v>
      </c>
      <c r="AA219" s="1">
        <v>1054</v>
      </c>
      <c r="AB219" s="1">
        <v>0</v>
      </c>
      <c r="AC219" s="1">
        <v>80</v>
      </c>
      <c r="AD219" s="122">
        <v>45959.5625</v>
      </c>
      <c r="AE219" s="122">
        <v>45959.5625</v>
      </c>
      <c r="AF219" s="122">
        <v>45959.481944444444</v>
      </c>
      <c r="AG219" s="1">
        <v>80</v>
      </c>
      <c r="AH219" s="1">
        <v>0</v>
      </c>
      <c r="AI219" s="1" t="s">
        <v>195</v>
      </c>
      <c r="AJ219" s="122">
        <v>45959.478472222225</v>
      </c>
      <c r="AK219" s="122">
        <v>45959.478472222225</v>
      </c>
      <c r="AL219" s="1" t="s">
        <v>212</v>
      </c>
      <c r="AO219" s="1" t="s">
        <v>113</v>
      </c>
      <c r="AP219" s="1" t="s">
        <v>1856</v>
      </c>
      <c r="AQ219" s="122">
        <v>45959.481944444444</v>
      </c>
      <c r="AR219" s="1">
        <v>0</v>
      </c>
      <c r="AS219" s="1">
        <v>67.959999999999994</v>
      </c>
      <c r="AT219" s="1" t="s">
        <v>198</v>
      </c>
      <c r="AW219" s="1">
        <v>68</v>
      </c>
      <c r="AX219" s="1" t="s">
        <v>1857</v>
      </c>
      <c r="AY219" s="1" t="s">
        <v>1858</v>
      </c>
      <c r="AZ219" s="1" t="s">
        <v>1859</v>
      </c>
      <c r="BA219" s="1" t="s">
        <v>180</v>
      </c>
      <c r="BB219" s="1">
        <v>531001</v>
      </c>
      <c r="BE219" s="1" t="s">
        <v>1782</v>
      </c>
      <c r="BF219" s="122">
        <v>45959.469444444447</v>
      </c>
    </row>
    <row r="220" spans="1:58">
      <c r="A220" s="1">
        <v>213</v>
      </c>
      <c r="B220" s="1" t="s">
        <v>179</v>
      </c>
      <c r="C220" s="1" t="s">
        <v>180</v>
      </c>
      <c r="D220" s="1" t="s">
        <v>181</v>
      </c>
      <c r="E220" s="1" t="s">
        <v>1860</v>
      </c>
      <c r="F220" s="122">
        <v>45959.626388888886</v>
      </c>
      <c r="G220" s="1" t="s">
        <v>218</v>
      </c>
      <c r="I220" s="1" t="s">
        <v>1861</v>
      </c>
      <c r="K220" s="1" t="s">
        <v>1862</v>
      </c>
      <c r="M220" s="1" t="s">
        <v>206</v>
      </c>
      <c r="N220" s="1" t="s">
        <v>1863</v>
      </c>
      <c r="O220" s="1">
        <v>878971</v>
      </c>
      <c r="P220" s="1">
        <v>1071999</v>
      </c>
      <c r="Q220" s="1" t="s">
        <v>235</v>
      </c>
      <c r="R220" s="1" t="s">
        <v>895</v>
      </c>
      <c r="S220" s="1" t="s">
        <v>484</v>
      </c>
      <c r="T220" s="1" t="s">
        <v>191</v>
      </c>
      <c r="U220" s="122">
        <v>45523.615277777775</v>
      </c>
      <c r="V220" s="1" t="s">
        <v>192</v>
      </c>
      <c r="W220" s="1" t="s">
        <v>21</v>
      </c>
      <c r="X220" s="1" t="s">
        <v>193</v>
      </c>
      <c r="Z220" s="1" t="s">
        <v>3</v>
      </c>
      <c r="AA220" s="1">
        <v>60470</v>
      </c>
      <c r="AB220" s="1">
        <v>2500</v>
      </c>
      <c r="AC220" s="1">
        <v>4500</v>
      </c>
      <c r="AD220" s="122">
        <v>45959.770833333336</v>
      </c>
      <c r="AE220" s="122">
        <v>45959.770833333336</v>
      </c>
      <c r="AF220" s="122">
        <v>45959.768055555556</v>
      </c>
      <c r="AG220" s="1">
        <v>4500</v>
      </c>
      <c r="AH220" s="1">
        <v>2500</v>
      </c>
      <c r="AI220" s="1" t="s">
        <v>195</v>
      </c>
      <c r="AL220" s="1" t="s">
        <v>196</v>
      </c>
      <c r="AO220" s="1" t="s">
        <v>113</v>
      </c>
      <c r="AP220" s="1" t="s">
        <v>1864</v>
      </c>
      <c r="AQ220" s="122">
        <v>45959.768750000003</v>
      </c>
      <c r="AR220" s="1">
        <v>1576.48</v>
      </c>
      <c r="AS220" s="1">
        <v>3498.65</v>
      </c>
      <c r="AT220" s="1" t="s">
        <v>198</v>
      </c>
      <c r="AW220" s="1">
        <v>5075</v>
      </c>
      <c r="AX220" s="1" t="s">
        <v>1865</v>
      </c>
      <c r="AY220" s="1" t="s">
        <v>1866</v>
      </c>
      <c r="AZ220" s="1" t="s">
        <v>1867</v>
      </c>
      <c r="BA220" s="1" t="s">
        <v>180</v>
      </c>
      <c r="BB220" s="1">
        <v>531183</v>
      </c>
      <c r="BF220" s="122">
        <v>45959.624305555553</v>
      </c>
    </row>
    <row r="221" spans="1:58">
      <c r="A221" s="1">
        <v>214</v>
      </c>
      <c r="B221" s="1" t="s">
        <v>179</v>
      </c>
      <c r="C221" s="1" t="s">
        <v>180</v>
      </c>
      <c r="D221" s="1" t="s">
        <v>181</v>
      </c>
      <c r="E221" s="1" t="s">
        <v>1868</v>
      </c>
      <c r="F221" s="122">
        <v>45959.678472222222</v>
      </c>
      <c r="G221" s="1" t="s">
        <v>218</v>
      </c>
      <c r="I221" s="1" t="s">
        <v>1869</v>
      </c>
      <c r="K221" s="1" t="s">
        <v>1870</v>
      </c>
      <c r="M221" s="1" t="s">
        <v>408</v>
      </c>
      <c r="N221" s="1" t="s">
        <v>1871</v>
      </c>
      <c r="O221" s="1" t="s">
        <v>1872</v>
      </c>
      <c r="P221" s="1">
        <v>4682165</v>
      </c>
      <c r="Q221" s="1" t="s">
        <v>235</v>
      </c>
      <c r="R221" s="1" t="s">
        <v>367</v>
      </c>
      <c r="S221" s="1" t="s">
        <v>368</v>
      </c>
      <c r="T221" s="1" t="s">
        <v>191</v>
      </c>
      <c r="U221" s="122">
        <v>45792.525694444441</v>
      </c>
      <c r="V221" s="1" t="s">
        <v>192</v>
      </c>
      <c r="W221" s="1" t="s">
        <v>19</v>
      </c>
      <c r="X221" s="1" t="s">
        <v>193</v>
      </c>
      <c r="Z221" s="1" t="s">
        <v>3</v>
      </c>
      <c r="AA221" s="1">
        <v>20010</v>
      </c>
      <c r="AB221" s="1">
        <v>2500</v>
      </c>
      <c r="AC221" s="1">
        <v>2500</v>
      </c>
      <c r="AD221" s="122">
        <v>45959.8125</v>
      </c>
      <c r="AE221" s="122">
        <v>45959.8125</v>
      </c>
      <c r="AF221" s="122">
        <v>45959.750694444447</v>
      </c>
      <c r="AG221" s="1">
        <v>1886</v>
      </c>
      <c r="AH221" s="1">
        <v>1670</v>
      </c>
      <c r="AI221" s="1" t="s">
        <v>195</v>
      </c>
      <c r="AJ221" s="122">
        <v>45959.709722222222</v>
      </c>
      <c r="AK221" s="122">
        <v>45959.710416666669</v>
      </c>
      <c r="AL221" s="1" t="s">
        <v>212</v>
      </c>
      <c r="AO221" s="1" t="s">
        <v>113</v>
      </c>
      <c r="AP221" s="1" t="s">
        <v>1873</v>
      </c>
      <c r="AQ221" s="122">
        <v>45959.751388888886</v>
      </c>
      <c r="AR221" s="1">
        <v>1970.02</v>
      </c>
      <c r="AS221" s="1">
        <v>2438.4499999999998</v>
      </c>
      <c r="AT221" s="1" t="s">
        <v>198</v>
      </c>
      <c r="AU221" s="121">
        <v>45959</v>
      </c>
      <c r="AW221" s="1">
        <v>4408</v>
      </c>
      <c r="AX221" s="1" t="s">
        <v>1874</v>
      </c>
      <c r="AY221" s="1" t="s">
        <v>1875</v>
      </c>
      <c r="AZ221" s="1" t="s">
        <v>1876</v>
      </c>
      <c r="BA221" s="1" t="s">
        <v>180</v>
      </c>
      <c r="BB221" s="1">
        <v>530045</v>
      </c>
      <c r="BF221" s="122">
        <v>45959.676388888889</v>
      </c>
    </row>
    <row r="222" spans="1:58">
      <c r="A222" s="1">
        <v>215</v>
      </c>
      <c r="B222" s="1" t="s">
        <v>179</v>
      </c>
      <c r="C222" s="1" t="s">
        <v>180</v>
      </c>
      <c r="D222" s="1" t="s">
        <v>181</v>
      </c>
      <c r="E222" s="1" t="s">
        <v>1877</v>
      </c>
      <c r="F222" s="122">
        <v>45959.529861111114</v>
      </c>
      <c r="G222" s="1" t="s">
        <v>651</v>
      </c>
      <c r="I222" s="1" t="s">
        <v>1878</v>
      </c>
      <c r="K222" s="1" t="s">
        <v>1879</v>
      </c>
      <c r="N222" s="1" t="s">
        <v>1880</v>
      </c>
      <c r="O222" s="1">
        <v>669759</v>
      </c>
      <c r="P222" s="1" t="s">
        <v>1881</v>
      </c>
      <c r="Q222" s="1" t="s">
        <v>293</v>
      </c>
      <c r="R222" s="1" t="s">
        <v>1882</v>
      </c>
      <c r="S222" s="1" t="s">
        <v>1883</v>
      </c>
      <c r="U222" s="122">
        <v>45924.800694444442</v>
      </c>
      <c r="V222" s="1" t="s">
        <v>192</v>
      </c>
      <c r="W222" s="1" t="s">
        <v>21</v>
      </c>
      <c r="X222" s="1" t="s">
        <v>193</v>
      </c>
      <c r="Z222" s="1" t="s">
        <v>658</v>
      </c>
      <c r="AA222" s="1">
        <v>450</v>
      </c>
      <c r="AB222" s="1">
        <v>0</v>
      </c>
      <c r="AC222" s="1">
        <v>80</v>
      </c>
      <c r="AD222" s="122">
        <v>45959.645833333336</v>
      </c>
      <c r="AE222" s="122">
        <v>45959.6875</v>
      </c>
      <c r="AF222" s="122">
        <v>45959.604166666664</v>
      </c>
      <c r="AG222" s="1">
        <v>80</v>
      </c>
      <c r="AH222" s="1">
        <v>0</v>
      </c>
      <c r="AI222" s="1" t="s">
        <v>195</v>
      </c>
      <c r="AJ222" s="122">
        <v>45959.599305555559</v>
      </c>
      <c r="AK222" s="122">
        <v>45959.6</v>
      </c>
      <c r="AL222" s="1" t="s">
        <v>212</v>
      </c>
      <c r="AO222" s="1" t="s">
        <v>113</v>
      </c>
      <c r="AP222" s="1" t="s">
        <v>1884</v>
      </c>
      <c r="AQ222" s="122">
        <v>45959.604166666664</v>
      </c>
      <c r="AR222" s="1">
        <v>0</v>
      </c>
      <c r="AS222" s="1">
        <v>67.959999999999994</v>
      </c>
      <c r="AT222" s="1" t="s">
        <v>198</v>
      </c>
      <c r="AW222" s="1">
        <v>68</v>
      </c>
      <c r="AX222" s="1" t="s">
        <v>1885</v>
      </c>
      <c r="AY222" s="1" t="s">
        <v>1886</v>
      </c>
      <c r="AZ222" s="1" t="s">
        <v>288</v>
      </c>
      <c r="BA222" s="1" t="s">
        <v>180</v>
      </c>
      <c r="BB222" s="1">
        <v>530045</v>
      </c>
      <c r="BE222" s="1" t="s">
        <v>1264</v>
      </c>
      <c r="BF222" s="122">
        <v>45959.527777777781</v>
      </c>
    </row>
    <row r="223" spans="1:58">
      <c r="A223" s="1">
        <v>216</v>
      </c>
      <c r="B223" s="1" t="s">
        <v>179</v>
      </c>
      <c r="C223" s="1" t="s">
        <v>180</v>
      </c>
      <c r="D223" s="1" t="s">
        <v>181</v>
      </c>
      <c r="E223" s="1" t="s">
        <v>1887</v>
      </c>
      <c r="F223" s="122">
        <v>45959.415972222225</v>
      </c>
      <c r="G223" s="1" t="s">
        <v>872</v>
      </c>
      <c r="I223" s="1" t="s">
        <v>1888</v>
      </c>
      <c r="K223" s="1" t="s">
        <v>1889</v>
      </c>
      <c r="M223" s="1" t="s">
        <v>233</v>
      </c>
      <c r="N223" s="1" t="s">
        <v>1890</v>
      </c>
      <c r="O223" s="1">
        <v>223998</v>
      </c>
      <c r="P223" s="1">
        <v>2000235</v>
      </c>
      <c r="Q223" s="1" t="s">
        <v>315</v>
      </c>
      <c r="R223" s="1" t="s">
        <v>1891</v>
      </c>
      <c r="S223" s="1" t="s">
        <v>808</v>
      </c>
      <c r="T223" s="1" t="s">
        <v>191</v>
      </c>
      <c r="U223" s="122">
        <v>41231.529861111114</v>
      </c>
      <c r="V223" s="1" t="s">
        <v>192</v>
      </c>
      <c r="W223" s="1" t="s">
        <v>21</v>
      </c>
      <c r="X223" s="1" t="s">
        <v>193</v>
      </c>
      <c r="Z223" s="1" t="s">
        <v>877</v>
      </c>
      <c r="AA223" s="1">
        <v>149850</v>
      </c>
      <c r="AB223" s="1">
        <v>0</v>
      </c>
      <c r="AC223" s="1">
        <v>0</v>
      </c>
      <c r="AD223" s="122">
        <v>45959.770833333336</v>
      </c>
      <c r="AE223" s="122">
        <v>45959.770833333336</v>
      </c>
      <c r="AF223" s="122">
        <v>45959.53402777778</v>
      </c>
      <c r="AG223" s="1">
        <v>0</v>
      </c>
      <c r="AH223" s="1">
        <v>0</v>
      </c>
      <c r="AO223" s="1" t="s">
        <v>113</v>
      </c>
      <c r="AP223" s="1" t="s">
        <v>1892</v>
      </c>
      <c r="AQ223" s="122">
        <v>45959.53402777778</v>
      </c>
      <c r="AR223" s="1">
        <v>77.88</v>
      </c>
      <c r="AS223" s="1">
        <v>322.5</v>
      </c>
      <c r="AT223" s="1" t="s">
        <v>198</v>
      </c>
      <c r="AW223" s="1">
        <v>400</v>
      </c>
      <c r="AX223" s="1" t="s">
        <v>1893</v>
      </c>
      <c r="AY223" s="1" t="s">
        <v>1894</v>
      </c>
      <c r="AZ223" s="1" t="s">
        <v>1895</v>
      </c>
      <c r="BA223" s="1" t="s">
        <v>180</v>
      </c>
      <c r="BB223" s="1">
        <v>530015</v>
      </c>
      <c r="BF223" s="122">
        <v>45959.413888888892</v>
      </c>
    </row>
    <row r="224" spans="1:58">
      <c r="A224" s="1">
        <v>217</v>
      </c>
      <c r="B224" s="1" t="s">
        <v>179</v>
      </c>
      <c r="C224" s="1" t="s">
        <v>180</v>
      </c>
      <c r="D224" s="1" t="s">
        <v>181</v>
      </c>
      <c r="E224" s="1" t="s">
        <v>1896</v>
      </c>
      <c r="F224" s="122">
        <v>45959.499305555553</v>
      </c>
      <c r="G224" s="1" t="s">
        <v>218</v>
      </c>
      <c r="I224" s="1" t="s">
        <v>1897</v>
      </c>
      <c r="K224" s="1" t="s">
        <v>1898</v>
      </c>
      <c r="M224" s="1" t="s">
        <v>233</v>
      </c>
      <c r="N224" s="1" t="s">
        <v>1899</v>
      </c>
      <c r="O224" s="1">
        <v>154657</v>
      </c>
      <c r="P224" s="1">
        <v>1054667</v>
      </c>
      <c r="Q224" s="1" t="s">
        <v>235</v>
      </c>
      <c r="R224" s="1" t="s">
        <v>588</v>
      </c>
      <c r="S224" s="1" t="s">
        <v>657</v>
      </c>
      <c r="T224" s="1" t="s">
        <v>191</v>
      </c>
      <c r="U224" s="122">
        <v>45565.697916666664</v>
      </c>
      <c r="V224" s="1" t="s">
        <v>192</v>
      </c>
      <c r="W224" s="1" t="s">
        <v>21</v>
      </c>
      <c r="X224" s="1" t="s">
        <v>193</v>
      </c>
      <c r="Z224" s="1" t="s">
        <v>3</v>
      </c>
      <c r="AA224" s="1">
        <v>20628</v>
      </c>
      <c r="AB224" s="1">
        <v>3500</v>
      </c>
      <c r="AC224" s="1">
        <v>3500</v>
      </c>
      <c r="AD224" s="122">
        <v>45959.645833333336</v>
      </c>
      <c r="AE224" s="122">
        <v>45959.645833333336</v>
      </c>
      <c r="AF224" s="122">
        <v>45959.678472222222</v>
      </c>
      <c r="AG224" s="1">
        <v>3500</v>
      </c>
      <c r="AH224" s="1">
        <v>3500</v>
      </c>
      <c r="AI224" s="1" t="s">
        <v>195</v>
      </c>
      <c r="AL224" s="1" t="s">
        <v>196</v>
      </c>
      <c r="AO224" s="1" t="s">
        <v>113</v>
      </c>
      <c r="AP224" s="1" t="s">
        <v>1900</v>
      </c>
      <c r="AQ224" s="122">
        <v>45959.678472222222</v>
      </c>
      <c r="AR224" s="1">
        <v>2356.46</v>
      </c>
      <c r="AS224" s="1">
        <v>3412.36</v>
      </c>
      <c r="AT224" s="1" t="s">
        <v>198</v>
      </c>
      <c r="AW224" s="1">
        <v>5769</v>
      </c>
      <c r="AX224" s="1" t="s">
        <v>1901</v>
      </c>
      <c r="AY224" s="1" t="s">
        <v>1902</v>
      </c>
      <c r="AZ224" s="1" t="s">
        <v>1903</v>
      </c>
      <c r="BA224" s="1" t="s">
        <v>180</v>
      </c>
      <c r="BB224" s="1">
        <v>530041</v>
      </c>
      <c r="BF224" s="122">
        <v>45959.496527777781</v>
      </c>
    </row>
    <row r="225" spans="1:58">
      <c r="A225" s="1">
        <v>218</v>
      </c>
      <c r="B225" s="1" t="s">
        <v>179</v>
      </c>
      <c r="C225" s="1" t="s">
        <v>180</v>
      </c>
      <c r="D225" s="1" t="s">
        <v>181</v>
      </c>
      <c r="E225" s="1" t="s">
        <v>1904</v>
      </c>
      <c r="F225" s="122">
        <v>45958.457638888889</v>
      </c>
      <c r="G225" s="1" t="s">
        <v>533</v>
      </c>
      <c r="I225" s="1" t="s">
        <v>1905</v>
      </c>
      <c r="K225" s="1" t="s">
        <v>1906</v>
      </c>
      <c r="M225" s="1" t="s">
        <v>186</v>
      </c>
      <c r="N225" s="1" t="s">
        <v>1907</v>
      </c>
      <c r="O225" s="1">
        <v>174926</v>
      </c>
      <c r="P225" s="1">
        <v>5562386</v>
      </c>
      <c r="Q225" s="1" t="s">
        <v>303</v>
      </c>
      <c r="R225" s="1" t="s">
        <v>1846</v>
      </c>
      <c r="S225" s="1" t="s">
        <v>687</v>
      </c>
      <c r="T225" s="1" t="s">
        <v>454</v>
      </c>
      <c r="U225" s="122">
        <v>43096.661111111112</v>
      </c>
      <c r="V225" s="1" t="s">
        <v>558</v>
      </c>
      <c r="W225" s="1" t="s">
        <v>20</v>
      </c>
      <c r="X225" s="1" t="s">
        <v>559</v>
      </c>
      <c r="Z225" s="1" t="s">
        <v>538</v>
      </c>
      <c r="AA225" s="1">
        <v>137643</v>
      </c>
      <c r="AB225" s="1">
        <v>0</v>
      </c>
      <c r="AC225" s="1">
        <v>0</v>
      </c>
      <c r="AD225" s="122">
        <v>45961.790972222225</v>
      </c>
      <c r="AE225" s="122">
        <v>45961.790972222225</v>
      </c>
      <c r="AF225" s="122">
        <v>45959.636805555558</v>
      </c>
      <c r="AG225" s="1">
        <v>0</v>
      </c>
      <c r="AH225" s="1">
        <v>0</v>
      </c>
      <c r="AI225" s="1" t="s">
        <v>195</v>
      </c>
      <c r="AJ225" s="122">
        <v>45958.458333333336</v>
      </c>
      <c r="AL225" s="1" t="s">
        <v>196</v>
      </c>
      <c r="AO225" s="1" t="s">
        <v>113</v>
      </c>
      <c r="AP225" s="1" t="s">
        <v>1908</v>
      </c>
      <c r="AQ225" s="122">
        <v>45959.637499999997</v>
      </c>
      <c r="AR225" s="1">
        <v>2861.5</v>
      </c>
      <c r="AS225" s="1">
        <v>8635.44</v>
      </c>
      <c r="AT225" s="1" t="s">
        <v>198</v>
      </c>
      <c r="AW225" s="1">
        <v>11497</v>
      </c>
      <c r="AX225" s="1" t="s">
        <v>1909</v>
      </c>
      <c r="AY225" s="1" t="s">
        <v>1910</v>
      </c>
      <c r="AZ225" s="1" t="s">
        <v>1911</v>
      </c>
      <c r="BA225" s="1" t="s">
        <v>180</v>
      </c>
      <c r="BB225" s="1">
        <v>530016</v>
      </c>
      <c r="BE225" s="1" t="s">
        <v>1912</v>
      </c>
      <c r="BF225" s="122">
        <v>45958.454861111109</v>
      </c>
    </row>
    <row r="226" spans="1:58">
      <c r="A226" s="1">
        <v>219</v>
      </c>
      <c r="B226" s="1" t="s">
        <v>179</v>
      </c>
      <c r="C226" s="1" t="s">
        <v>180</v>
      </c>
      <c r="D226" s="1" t="s">
        <v>181</v>
      </c>
      <c r="E226" s="1" t="s">
        <v>1904</v>
      </c>
      <c r="F226" s="122">
        <v>45958.457638888889</v>
      </c>
      <c r="G226" s="1" t="s">
        <v>533</v>
      </c>
      <c r="I226" s="1" t="s">
        <v>1905</v>
      </c>
      <c r="K226" s="1" t="s">
        <v>1906</v>
      </c>
      <c r="M226" s="1" t="s">
        <v>186</v>
      </c>
      <c r="N226" s="1" t="s">
        <v>1907</v>
      </c>
      <c r="O226" s="1">
        <v>174926</v>
      </c>
      <c r="P226" s="1">
        <v>5562386</v>
      </c>
      <c r="Q226" s="1" t="s">
        <v>303</v>
      </c>
      <c r="R226" s="1" t="s">
        <v>1846</v>
      </c>
      <c r="S226" s="1" t="s">
        <v>687</v>
      </c>
      <c r="T226" s="1" t="s">
        <v>454</v>
      </c>
      <c r="U226" s="122">
        <v>43096.661111111112</v>
      </c>
      <c r="V226" s="1" t="s">
        <v>558</v>
      </c>
      <c r="W226" s="1" t="s">
        <v>20</v>
      </c>
      <c r="X226" s="1" t="s">
        <v>559</v>
      </c>
      <c r="Z226" s="1" t="s">
        <v>538</v>
      </c>
      <c r="AA226" s="1">
        <v>137643</v>
      </c>
      <c r="AB226" s="1">
        <v>0</v>
      </c>
      <c r="AC226" s="1">
        <v>0</v>
      </c>
      <c r="AD226" s="122">
        <v>45961.790972222225</v>
      </c>
      <c r="AE226" s="122">
        <v>45961.790972222225</v>
      </c>
      <c r="AF226" s="122">
        <v>45959.636805555558</v>
      </c>
      <c r="AG226" s="1">
        <v>0</v>
      </c>
      <c r="AH226" s="1">
        <v>0</v>
      </c>
      <c r="AI226" s="1" t="s">
        <v>195</v>
      </c>
      <c r="AJ226" s="122">
        <v>45958.458333333336</v>
      </c>
      <c r="AL226" s="1" t="s">
        <v>196</v>
      </c>
      <c r="AO226" s="1" t="s">
        <v>113</v>
      </c>
      <c r="AP226" s="1" t="s">
        <v>1913</v>
      </c>
      <c r="AQ226" s="122">
        <v>45959.637499999997</v>
      </c>
      <c r="AR226" s="1">
        <v>0</v>
      </c>
      <c r="AS226" s="1">
        <v>0</v>
      </c>
      <c r="AT226" s="1" t="s">
        <v>198</v>
      </c>
      <c r="AW226" s="1">
        <v>0</v>
      </c>
      <c r="AX226" s="1" t="s">
        <v>1909</v>
      </c>
      <c r="AY226" s="1" t="s">
        <v>1910</v>
      </c>
      <c r="AZ226" s="1" t="s">
        <v>1911</v>
      </c>
      <c r="BA226" s="1" t="s">
        <v>180</v>
      </c>
      <c r="BB226" s="1">
        <v>530016</v>
      </c>
      <c r="BE226" s="1" t="s">
        <v>1912</v>
      </c>
      <c r="BF226" s="122">
        <v>45958.454861111109</v>
      </c>
    </row>
    <row r="227" spans="1:58">
      <c r="A227" s="1">
        <v>220</v>
      </c>
      <c r="B227" s="1" t="s">
        <v>179</v>
      </c>
      <c r="C227" s="1" t="s">
        <v>180</v>
      </c>
      <c r="D227" s="1" t="s">
        <v>181</v>
      </c>
      <c r="E227" s="1" t="s">
        <v>1914</v>
      </c>
      <c r="F227" s="122">
        <v>45959.648611111108</v>
      </c>
      <c r="G227" s="1" t="s">
        <v>218</v>
      </c>
      <c r="I227" s="1" t="s">
        <v>1915</v>
      </c>
      <c r="K227" s="1" t="s">
        <v>1916</v>
      </c>
      <c r="M227" s="1" t="s">
        <v>325</v>
      </c>
      <c r="N227" s="1" t="s">
        <v>1917</v>
      </c>
      <c r="O227" s="1">
        <v>254593</v>
      </c>
      <c r="P227" s="1">
        <v>2415974</v>
      </c>
      <c r="Q227" s="1" t="s">
        <v>208</v>
      </c>
      <c r="R227" s="1" t="s">
        <v>1487</v>
      </c>
      <c r="S227" s="1" t="s">
        <v>632</v>
      </c>
      <c r="T227" s="1" t="s">
        <v>191</v>
      </c>
      <c r="U227" s="122">
        <v>44285.8</v>
      </c>
      <c r="V227" s="1" t="s">
        <v>192</v>
      </c>
      <c r="W227" s="1" t="s">
        <v>19</v>
      </c>
      <c r="X227" s="1" t="s">
        <v>193</v>
      </c>
      <c r="Z227" s="1" t="s">
        <v>3</v>
      </c>
      <c r="AA227" s="1">
        <v>110533</v>
      </c>
      <c r="AB227" s="1">
        <v>2500</v>
      </c>
      <c r="AC227" s="1">
        <v>3000</v>
      </c>
      <c r="AD227" s="122">
        <v>45959.8125</v>
      </c>
      <c r="AE227" s="122">
        <v>45959.8125</v>
      </c>
      <c r="AF227" s="122">
        <v>45959.762499999997</v>
      </c>
      <c r="AG227" s="1">
        <v>1454</v>
      </c>
      <c r="AH227" s="1">
        <v>2115</v>
      </c>
      <c r="AI227" s="1" t="s">
        <v>195</v>
      </c>
      <c r="AJ227" s="122">
        <v>45959.734027777777</v>
      </c>
      <c r="AK227" s="122">
        <v>45959.734722222223</v>
      </c>
      <c r="AL227" s="1" t="s">
        <v>212</v>
      </c>
      <c r="AO227" s="1" t="s">
        <v>113</v>
      </c>
      <c r="AP227" s="1" t="s">
        <v>1918</v>
      </c>
      <c r="AQ227" s="122">
        <v>45959.76458333333</v>
      </c>
      <c r="AR227" s="1">
        <v>1832.9</v>
      </c>
      <c r="AS227" s="1">
        <v>1932.11</v>
      </c>
      <c r="AT227" s="1" t="s">
        <v>198</v>
      </c>
      <c r="AU227" s="121">
        <v>45959</v>
      </c>
      <c r="AW227" s="1">
        <v>3765</v>
      </c>
      <c r="AX227" s="1" t="s">
        <v>1919</v>
      </c>
      <c r="AY227" s="1" t="s">
        <v>1920</v>
      </c>
      <c r="AZ227" s="1" t="s">
        <v>1921</v>
      </c>
      <c r="BA227" s="1" t="s">
        <v>180</v>
      </c>
      <c r="BB227" s="1">
        <v>530041</v>
      </c>
      <c r="BF227" s="122">
        <v>45959.631944444445</v>
      </c>
    </row>
    <row r="228" spans="1:58">
      <c r="A228" s="1">
        <v>221</v>
      </c>
      <c r="B228" s="1" t="s">
        <v>179</v>
      </c>
      <c r="C228" s="1" t="s">
        <v>180</v>
      </c>
      <c r="D228" s="1" t="s">
        <v>181</v>
      </c>
      <c r="E228" s="1" t="s">
        <v>1922</v>
      </c>
      <c r="F228" s="122">
        <v>45953.525000000001</v>
      </c>
      <c r="G228" s="1" t="s">
        <v>533</v>
      </c>
      <c r="I228" s="1" t="s">
        <v>1923</v>
      </c>
      <c r="K228" s="1" t="s">
        <v>1924</v>
      </c>
      <c r="M228" s="1" t="s">
        <v>325</v>
      </c>
      <c r="N228" s="1" t="s">
        <v>1925</v>
      </c>
      <c r="O228" s="1" t="s">
        <v>1926</v>
      </c>
      <c r="P228" s="1">
        <v>5045531</v>
      </c>
      <c r="Q228" s="1" t="s">
        <v>208</v>
      </c>
      <c r="R228" s="1" t="s">
        <v>975</v>
      </c>
      <c r="S228" s="1" t="s">
        <v>262</v>
      </c>
      <c r="T228" s="1" t="s">
        <v>191</v>
      </c>
      <c r="U228" s="122">
        <v>43383.831250000003</v>
      </c>
      <c r="V228" s="1" t="s">
        <v>558</v>
      </c>
      <c r="W228" s="1" t="s">
        <v>20</v>
      </c>
      <c r="X228" s="1" t="s">
        <v>559</v>
      </c>
      <c r="Z228" s="1" t="s">
        <v>538</v>
      </c>
      <c r="AA228" s="1">
        <v>61847</v>
      </c>
      <c r="AB228" s="1">
        <v>0</v>
      </c>
      <c r="AC228" s="1">
        <v>0</v>
      </c>
      <c r="AD228" s="122">
        <v>45957.761111111111</v>
      </c>
      <c r="AE228" s="122">
        <v>45957.761111111111</v>
      </c>
      <c r="AF228" s="122">
        <v>45959.728472222225</v>
      </c>
      <c r="AG228" s="1">
        <v>0</v>
      </c>
      <c r="AH228" s="1">
        <v>0</v>
      </c>
      <c r="AI228" s="1" t="s">
        <v>195</v>
      </c>
      <c r="AJ228" s="122">
        <v>45958.440972222219</v>
      </c>
      <c r="AL228" s="1" t="s">
        <v>196</v>
      </c>
      <c r="AO228" s="1" t="s">
        <v>113</v>
      </c>
      <c r="AP228" s="1" t="s">
        <v>1927</v>
      </c>
      <c r="AQ228" s="122">
        <v>45959.728472222225</v>
      </c>
      <c r="AR228" s="1">
        <v>0</v>
      </c>
      <c r="AS228" s="1">
        <v>0</v>
      </c>
      <c r="AT228" s="1" t="s">
        <v>198</v>
      </c>
      <c r="AW228" s="1">
        <v>0</v>
      </c>
      <c r="AX228" s="1" t="s">
        <v>1928</v>
      </c>
      <c r="AY228" s="1" t="s">
        <v>1929</v>
      </c>
      <c r="AZ228" s="1" t="s">
        <v>1930</v>
      </c>
      <c r="BA228" s="1" t="s">
        <v>180</v>
      </c>
      <c r="BB228" s="1">
        <v>530017</v>
      </c>
      <c r="BE228" s="1" t="s">
        <v>1931</v>
      </c>
      <c r="BF228" s="122">
        <v>45953.509722222225</v>
      </c>
    </row>
    <row r="229" spans="1:58">
      <c r="A229" s="1">
        <v>222</v>
      </c>
      <c r="B229" s="1" t="s">
        <v>179</v>
      </c>
      <c r="C229" s="1" t="s">
        <v>180</v>
      </c>
      <c r="D229" s="1" t="s">
        <v>181</v>
      </c>
      <c r="E229" s="1" t="s">
        <v>1922</v>
      </c>
      <c r="F229" s="122">
        <v>45953.525000000001</v>
      </c>
      <c r="G229" s="1" t="s">
        <v>533</v>
      </c>
      <c r="I229" s="1" t="s">
        <v>1923</v>
      </c>
      <c r="K229" s="1" t="s">
        <v>1924</v>
      </c>
      <c r="M229" s="1" t="s">
        <v>325</v>
      </c>
      <c r="N229" s="1" t="s">
        <v>1925</v>
      </c>
      <c r="O229" s="1" t="s">
        <v>1926</v>
      </c>
      <c r="P229" s="1">
        <v>5045531</v>
      </c>
      <c r="Q229" s="1" t="s">
        <v>208</v>
      </c>
      <c r="R229" s="1" t="s">
        <v>975</v>
      </c>
      <c r="S229" s="1" t="s">
        <v>262</v>
      </c>
      <c r="T229" s="1" t="s">
        <v>191</v>
      </c>
      <c r="U229" s="122">
        <v>43383.831250000003</v>
      </c>
      <c r="V229" s="1" t="s">
        <v>558</v>
      </c>
      <c r="W229" s="1" t="s">
        <v>20</v>
      </c>
      <c r="X229" s="1" t="s">
        <v>559</v>
      </c>
      <c r="Z229" s="1" t="s">
        <v>538</v>
      </c>
      <c r="AA229" s="1">
        <v>61847</v>
      </c>
      <c r="AB229" s="1">
        <v>0</v>
      </c>
      <c r="AC229" s="1">
        <v>0</v>
      </c>
      <c r="AD229" s="122">
        <v>45957.761111111111</v>
      </c>
      <c r="AE229" s="122">
        <v>45957.761111111111</v>
      </c>
      <c r="AF229" s="122">
        <v>45959.728472222225</v>
      </c>
      <c r="AG229" s="1">
        <v>0</v>
      </c>
      <c r="AH229" s="1">
        <v>0</v>
      </c>
      <c r="AI229" s="1" t="s">
        <v>195</v>
      </c>
      <c r="AJ229" s="122">
        <v>45958.440972222219</v>
      </c>
      <c r="AL229" s="1" t="s">
        <v>196</v>
      </c>
      <c r="AO229" s="1" t="s">
        <v>113</v>
      </c>
      <c r="AP229" s="1" t="s">
        <v>1932</v>
      </c>
      <c r="AQ229" s="122">
        <v>45959.728472222225</v>
      </c>
      <c r="AR229" s="1">
        <v>7174.4</v>
      </c>
      <c r="AS229" s="1">
        <v>3065.53</v>
      </c>
      <c r="AT229" s="1" t="s">
        <v>198</v>
      </c>
      <c r="AW229" s="1">
        <v>10240</v>
      </c>
      <c r="AX229" s="1" t="s">
        <v>1928</v>
      </c>
      <c r="AY229" s="1" t="s">
        <v>1929</v>
      </c>
      <c r="AZ229" s="1" t="s">
        <v>1930</v>
      </c>
      <c r="BA229" s="1" t="s">
        <v>180</v>
      </c>
      <c r="BB229" s="1">
        <v>530017</v>
      </c>
      <c r="BE229" s="1" t="s">
        <v>1931</v>
      </c>
      <c r="BF229" s="122">
        <v>45953.509722222225</v>
      </c>
    </row>
    <row r="230" spans="1:58">
      <c r="A230" s="1">
        <v>223</v>
      </c>
      <c r="B230" s="1" t="s">
        <v>179</v>
      </c>
      <c r="C230" s="1" t="s">
        <v>180</v>
      </c>
      <c r="D230" s="1" t="s">
        <v>181</v>
      </c>
      <c r="E230" s="1" t="s">
        <v>1933</v>
      </c>
      <c r="F230" s="122">
        <v>45959.543749999997</v>
      </c>
      <c r="G230" s="1" t="s">
        <v>244</v>
      </c>
      <c r="I230" s="1" t="s">
        <v>1934</v>
      </c>
      <c r="K230" s="1" t="s">
        <v>1935</v>
      </c>
      <c r="M230" s="1" t="s">
        <v>206</v>
      </c>
      <c r="N230" s="1" t="s">
        <v>1936</v>
      </c>
      <c r="O230" s="1">
        <v>353283</v>
      </c>
      <c r="P230" s="1">
        <v>9139410</v>
      </c>
      <c r="Q230" s="1" t="s">
        <v>248</v>
      </c>
      <c r="R230" s="1" t="s">
        <v>1937</v>
      </c>
      <c r="S230" s="1" t="s">
        <v>237</v>
      </c>
      <c r="T230" s="1" t="s">
        <v>191</v>
      </c>
      <c r="U230" s="122">
        <v>44397.769444444442</v>
      </c>
      <c r="V230" s="1" t="s">
        <v>192</v>
      </c>
      <c r="W230" s="1" t="s">
        <v>21</v>
      </c>
      <c r="X230" s="1" t="s">
        <v>193</v>
      </c>
      <c r="Z230" s="1" t="s">
        <v>4</v>
      </c>
      <c r="AA230" s="1">
        <v>41115</v>
      </c>
      <c r="AB230" s="1">
        <v>0</v>
      </c>
      <c r="AC230" s="1">
        <v>800</v>
      </c>
      <c r="AD230" s="122">
        <v>45959.645833333336</v>
      </c>
      <c r="AE230" s="122">
        <v>45959.645833333336</v>
      </c>
      <c r="AF230" s="122">
        <v>45959.550694444442</v>
      </c>
      <c r="AG230" s="1">
        <v>800</v>
      </c>
      <c r="AH230" s="1">
        <v>0</v>
      </c>
      <c r="AI230" s="1" t="s">
        <v>195</v>
      </c>
      <c r="AJ230" s="122">
        <v>45959.547222222223</v>
      </c>
      <c r="AK230" s="122">
        <v>45959.54791666667</v>
      </c>
      <c r="AL230" s="1" t="s">
        <v>212</v>
      </c>
      <c r="AO230" s="1" t="s">
        <v>113</v>
      </c>
      <c r="AP230" s="1" t="s">
        <v>1938</v>
      </c>
      <c r="AQ230" s="122">
        <v>45959.550694444442</v>
      </c>
      <c r="AR230" s="1">
        <v>456.08</v>
      </c>
      <c r="AS230" s="1">
        <v>343.95</v>
      </c>
      <c r="AT230" s="1" t="s">
        <v>198</v>
      </c>
      <c r="AW230" s="1">
        <v>800</v>
      </c>
      <c r="AX230" s="1" t="s">
        <v>1939</v>
      </c>
      <c r="AY230" s="1" t="s">
        <v>1940</v>
      </c>
      <c r="AZ230" s="1" t="s">
        <v>1941</v>
      </c>
      <c r="BA230" s="1" t="s">
        <v>180</v>
      </c>
      <c r="BB230" s="1">
        <v>535002</v>
      </c>
      <c r="BE230" s="1" t="s">
        <v>1264</v>
      </c>
      <c r="BF230" s="122">
        <v>45959.540972222225</v>
      </c>
    </row>
    <row r="231" spans="1:58">
      <c r="A231" s="1">
        <v>224</v>
      </c>
      <c r="B231" s="1" t="s">
        <v>179</v>
      </c>
      <c r="C231" s="1" t="s">
        <v>180</v>
      </c>
      <c r="D231" s="1" t="s">
        <v>181</v>
      </c>
      <c r="E231" s="1" t="s">
        <v>1942</v>
      </c>
      <c r="F231" s="122">
        <v>45960.493750000001</v>
      </c>
      <c r="G231" s="1" t="s">
        <v>218</v>
      </c>
      <c r="I231" s="1" t="s">
        <v>1943</v>
      </c>
      <c r="K231" s="1" t="s">
        <v>1944</v>
      </c>
      <c r="M231" s="1" t="s">
        <v>325</v>
      </c>
      <c r="N231" s="1" t="s">
        <v>1945</v>
      </c>
      <c r="O231" s="1">
        <v>258866</v>
      </c>
      <c r="P231" s="1">
        <v>9140144</v>
      </c>
      <c r="Q231" s="1" t="s">
        <v>248</v>
      </c>
      <c r="R231" s="1" t="s">
        <v>1946</v>
      </c>
      <c r="S231" s="1" t="s">
        <v>1947</v>
      </c>
      <c r="T231" s="1" t="s">
        <v>191</v>
      </c>
      <c r="U231" s="122">
        <v>44397.809027777781</v>
      </c>
      <c r="V231" s="1" t="s">
        <v>192</v>
      </c>
      <c r="W231" s="1" t="s">
        <v>19</v>
      </c>
      <c r="X231" s="1" t="s">
        <v>226</v>
      </c>
      <c r="Z231" s="1" t="s">
        <v>3</v>
      </c>
      <c r="AA231" s="1">
        <v>40265</v>
      </c>
      <c r="AB231" s="1">
        <v>2000</v>
      </c>
      <c r="AC231" s="1">
        <v>3000</v>
      </c>
      <c r="AD231" s="122">
        <v>45960.8125</v>
      </c>
      <c r="AE231" s="122">
        <v>45960.8125</v>
      </c>
      <c r="AF231" s="122">
        <v>45960.570833333331</v>
      </c>
      <c r="AG231" s="1">
        <v>3000</v>
      </c>
      <c r="AH231" s="1">
        <v>2000</v>
      </c>
      <c r="AI231" s="1" t="s">
        <v>195</v>
      </c>
      <c r="AL231" s="1" t="s">
        <v>196</v>
      </c>
      <c r="AO231" s="1" t="s">
        <v>113</v>
      </c>
      <c r="AP231" s="1" t="s">
        <v>1948</v>
      </c>
      <c r="AQ231" s="122">
        <v>45960.57708333333</v>
      </c>
      <c r="AR231" s="1">
        <v>1860.57</v>
      </c>
      <c r="AS231" s="1">
        <v>1788.89</v>
      </c>
      <c r="AT231" s="1" t="s">
        <v>198</v>
      </c>
      <c r="AU231" s="121">
        <v>45960</v>
      </c>
      <c r="AW231" s="1">
        <v>3649</v>
      </c>
      <c r="AX231" s="1" t="s">
        <v>1949</v>
      </c>
      <c r="AY231" s="1" t="s">
        <v>1950</v>
      </c>
      <c r="AZ231" s="1" t="s">
        <v>1951</v>
      </c>
      <c r="BA231" s="1" t="s">
        <v>180</v>
      </c>
      <c r="BB231" s="1">
        <v>530032</v>
      </c>
      <c r="BE231" s="1" t="s">
        <v>1952</v>
      </c>
      <c r="BF231" s="122">
        <v>45960.481249999997</v>
      </c>
    </row>
    <row r="232" spans="1:58">
      <c r="A232" s="1">
        <v>225</v>
      </c>
      <c r="B232" s="1" t="s">
        <v>179</v>
      </c>
      <c r="C232" s="1" t="s">
        <v>180</v>
      </c>
      <c r="D232" s="1" t="s">
        <v>181</v>
      </c>
      <c r="E232" s="1" t="s">
        <v>1953</v>
      </c>
      <c r="F232" s="122">
        <v>45960.428472222222</v>
      </c>
      <c r="G232" s="1" t="s">
        <v>533</v>
      </c>
      <c r="I232" s="1" t="s">
        <v>1954</v>
      </c>
      <c r="K232" s="1" t="s">
        <v>1955</v>
      </c>
      <c r="M232" s="1" t="s">
        <v>186</v>
      </c>
      <c r="N232" s="1" t="s">
        <v>1956</v>
      </c>
      <c r="O232" s="1" t="s">
        <v>1957</v>
      </c>
      <c r="P232" s="1">
        <v>4706779</v>
      </c>
      <c r="Q232" s="1" t="s">
        <v>235</v>
      </c>
      <c r="R232" s="1" t="s">
        <v>367</v>
      </c>
      <c r="S232" s="1" t="s">
        <v>368</v>
      </c>
      <c r="T232" s="1" t="s">
        <v>191</v>
      </c>
      <c r="U232" s="122">
        <v>45864.824999999997</v>
      </c>
      <c r="V232" s="1" t="s">
        <v>558</v>
      </c>
      <c r="W232" s="1" t="s">
        <v>20</v>
      </c>
      <c r="X232" s="1" t="s">
        <v>559</v>
      </c>
      <c r="Z232" s="1" t="s">
        <v>538</v>
      </c>
      <c r="AA232" s="1">
        <v>6149</v>
      </c>
      <c r="AB232" s="1">
        <v>0</v>
      </c>
      <c r="AC232" s="1">
        <v>0</v>
      </c>
      <c r="AD232" s="122">
        <v>45961.761805555558</v>
      </c>
      <c r="AE232" s="122">
        <v>45961.761805555558</v>
      </c>
      <c r="AF232" s="122">
        <v>45960.588888888888</v>
      </c>
      <c r="AG232" s="1">
        <v>0</v>
      </c>
      <c r="AH232" s="1">
        <v>0</v>
      </c>
      <c r="AI232" s="1" t="s">
        <v>195</v>
      </c>
      <c r="AJ232" s="122">
        <v>45960.438888888886</v>
      </c>
      <c r="AL232" s="1" t="s">
        <v>196</v>
      </c>
      <c r="AO232" s="1" t="s">
        <v>113</v>
      </c>
      <c r="AP232" s="1" t="s">
        <v>1958</v>
      </c>
      <c r="AQ232" s="122">
        <v>45960.588888888888</v>
      </c>
      <c r="AR232" s="1">
        <v>2714</v>
      </c>
      <c r="AS232" s="1">
        <v>0</v>
      </c>
      <c r="AT232" s="1" t="s">
        <v>198</v>
      </c>
      <c r="AW232" s="1">
        <v>2714</v>
      </c>
      <c r="AX232" s="1" t="s">
        <v>1959</v>
      </c>
      <c r="AY232" s="1" t="s">
        <v>1960</v>
      </c>
      <c r="BA232" s="1" t="s">
        <v>180</v>
      </c>
      <c r="BB232" s="1">
        <v>530045</v>
      </c>
      <c r="BF232" s="122">
        <v>45960.427083333336</v>
      </c>
    </row>
    <row r="233" spans="1:58">
      <c r="A233" s="1">
        <v>226</v>
      </c>
      <c r="B233" s="1" t="s">
        <v>179</v>
      </c>
      <c r="C233" s="1" t="s">
        <v>180</v>
      </c>
      <c r="D233" s="1" t="s">
        <v>181</v>
      </c>
      <c r="E233" s="1" t="s">
        <v>1961</v>
      </c>
      <c r="F233" s="122">
        <v>45960.510416666664</v>
      </c>
      <c r="G233" s="1" t="s">
        <v>533</v>
      </c>
      <c r="I233" s="1" t="s">
        <v>1962</v>
      </c>
      <c r="K233" s="1" t="s">
        <v>1963</v>
      </c>
      <c r="N233" s="1" t="s">
        <v>1964</v>
      </c>
      <c r="O233" s="1" t="s">
        <v>1965</v>
      </c>
      <c r="P233" s="1">
        <v>4777061</v>
      </c>
      <c r="Q233" s="1" t="s">
        <v>235</v>
      </c>
      <c r="R233" s="1" t="s">
        <v>367</v>
      </c>
      <c r="S233" s="1" t="s">
        <v>368</v>
      </c>
      <c r="U233" s="122">
        <v>45930.511111111111</v>
      </c>
      <c r="V233" s="1" t="s">
        <v>558</v>
      </c>
      <c r="W233" s="1" t="s">
        <v>20</v>
      </c>
      <c r="X233" s="1" t="s">
        <v>559</v>
      </c>
      <c r="Z233" s="1" t="s">
        <v>538</v>
      </c>
      <c r="AA233" s="1">
        <v>1622</v>
      </c>
      <c r="AB233" s="1">
        <v>0</v>
      </c>
      <c r="AC233" s="1">
        <v>0</v>
      </c>
      <c r="AD233" s="122">
        <v>45961.510416666664</v>
      </c>
      <c r="AE233" s="122">
        <v>45961.510416666664</v>
      </c>
      <c r="AF233" s="122">
        <v>45960.59097222222</v>
      </c>
      <c r="AG233" s="1">
        <v>0</v>
      </c>
      <c r="AH233" s="1">
        <v>0</v>
      </c>
      <c r="AI233" s="1" t="s">
        <v>195</v>
      </c>
      <c r="AJ233" s="122">
        <v>45960.586111111108</v>
      </c>
      <c r="AL233" s="1" t="s">
        <v>196</v>
      </c>
      <c r="AO233" s="1" t="s">
        <v>113</v>
      </c>
      <c r="AP233" s="1" t="s">
        <v>1966</v>
      </c>
      <c r="AQ233" s="122">
        <v>45960.59097222222</v>
      </c>
      <c r="AR233" s="1">
        <v>2714</v>
      </c>
      <c r="AS233" s="1">
        <v>0</v>
      </c>
      <c r="AT233" s="1" t="s">
        <v>198</v>
      </c>
      <c r="AW233" s="1">
        <v>2714</v>
      </c>
      <c r="AX233" s="1" t="s">
        <v>1967</v>
      </c>
      <c r="AY233" s="1" t="s">
        <v>1968</v>
      </c>
      <c r="AZ233" s="1" t="s">
        <v>180</v>
      </c>
      <c r="BA233" s="1" t="s">
        <v>180</v>
      </c>
      <c r="BB233" s="1">
        <v>530045</v>
      </c>
      <c r="BF233" s="122">
        <v>45960.509027777778</v>
      </c>
    </row>
    <row r="234" spans="1:58">
      <c r="A234" s="1">
        <v>227</v>
      </c>
      <c r="B234" s="1" t="s">
        <v>179</v>
      </c>
      <c r="C234" s="1" t="s">
        <v>180</v>
      </c>
      <c r="D234" s="1" t="s">
        <v>181</v>
      </c>
      <c r="E234" s="1" t="s">
        <v>1969</v>
      </c>
      <c r="F234" s="122">
        <v>45960.371527777781</v>
      </c>
      <c r="G234" s="1" t="s">
        <v>218</v>
      </c>
      <c r="I234" s="1" t="s">
        <v>1970</v>
      </c>
      <c r="K234" s="1" t="s">
        <v>492</v>
      </c>
      <c r="M234" s="1" t="s">
        <v>233</v>
      </c>
      <c r="N234" s="1" t="s">
        <v>1971</v>
      </c>
      <c r="O234" s="1">
        <v>774899</v>
      </c>
      <c r="P234" s="1">
        <v>1624718</v>
      </c>
      <c r="Q234" s="1" t="s">
        <v>235</v>
      </c>
      <c r="R234" s="1" t="s">
        <v>504</v>
      </c>
      <c r="S234" s="1" t="s">
        <v>505</v>
      </c>
      <c r="U234" s="122">
        <v>42192</v>
      </c>
      <c r="V234" s="1" t="s">
        <v>192</v>
      </c>
      <c r="W234" s="1" t="s">
        <v>21</v>
      </c>
      <c r="X234" s="1" t="s">
        <v>226</v>
      </c>
      <c r="Z234" s="1" t="s">
        <v>3</v>
      </c>
      <c r="AA234" s="1">
        <v>190310</v>
      </c>
      <c r="AB234" s="1">
        <v>2190</v>
      </c>
      <c r="AC234" s="1">
        <v>5000</v>
      </c>
      <c r="AD234" s="122">
        <v>45960.645833333336</v>
      </c>
      <c r="AE234" s="122">
        <v>45960.645833333336</v>
      </c>
      <c r="AF234" s="122">
        <v>45960.647916666669</v>
      </c>
      <c r="AG234" s="1">
        <v>5000</v>
      </c>
      <c r="AH234" s="1">
        <v>2190</v>
      </c>
      <c r="AI234" s="1" t="s">
        <v>195</v>
      </c>
      <c r="AL234" s="1" t="s">
        <v>196</v>
      </c>
      <c r="AO234" s="1" t="s">
        <v>113</v>
      </c>
      <c r="AP234" s="1" t="s">
        <v>1972</v>
      </c>
      <c r="AQ234" s="122">
        <v>45960.742361111108</v>
      </c>
      <c r="AR234" s="1">
        <v>3518.76</v>
      </c>
      <c r="AS234" s="1">
        <v>6424.38</v>
      </c>
      <c r="AT234" s="1" t="s">
        <v>198</v>
      </c>
      <c r="AW234" s="1">
        <v>9943</v>
      </c>
      <c r="AX234" s="1" t="s">
        <v>1973</v>
      </c>
      <c r="AY234" s="1" t="s">
        <v>1974</v>
      </c>
      <c r="AZ234" s="1" t="s">
        <v>1380</v>
      </c>
      <c r="BA234" s="1" t="s">
        <v>180</v>
      </c>
      <c r="BB234" s="1">
        <v>532001</v>
      </c>
      <c r="BF234" s="122">
        <v>45960.369444444441</v>
      </c>
    </row>
    <row r="235" spans="1:58">
      <c r="A235" s="1">
        <v>228</v>
      </c>
      <c r="B235" s="1" t="s">
        <v>179</v>
      </c>
      <c r="C235" s="1" t="s">
        <v>180</v>
      </c>
      <c r="D235" s="1" t="s">
        <v>181</v>
      </c>
      <c r="E235" s="1" t="s">
        <v>1975</v>
      </c>
      <c r="F235" s="122">
        <v>45960.678472222222</v>
      </c>
      <c r="G235" s="1" t="s">
        <v>651</v>
      </c>
      <c r="I235" s="1" t="s">
        <v>1976</v>
      </c>
      <c r="K235" s="1" t="s">
        <v>1977</v>
      </c>
      <c r="N235" s="1" t="s">
        <v>1978</v>
      </c>
      <c r="O235" s="1">
        <v>240045</v>
      </c>
      <c r="P235" s="1">
        <v>7435173</v>
      </c>
      <c r="Q235" s="1" t="s">
        <v>235</v>
      </c>
      <c r="R235" s="1" t="s">
        <v>389</v>
      </c>
      <c r="S235" s="1" t="s">
        <v>390</v>
      </c>
      <c r="T235" s="1" t="s">
        <v>191</v>
      </c>
      <c r="U235" s="122">
        <v>45929.808333333334</v>
      </c>
      <c r="V235" s="1" t="s">
        <v>192</v>
      </c>
      <c r="W235" s="1" t="s">
        <v>19</v>
      </c>
      <c r="X235" s="1" t="s">
        <v>226</v>
      </c>
      <c r="Z235" s="1" t="s">
        <v>658</v>
      </c>
      <c r="AA235" s="1">
        <v>921</v>
      </c>
      <c r="AB235" s="1">
        <v>2000</v>
      </c>
      <c r="AC235" s="1">
        <v>60</v>
      </c>
      <c r="AD235" s="122">
        <v>45960.770833333336</v>
      </c>
      <c r="AE235" s="122">
        <v>45960.770833333336</v>
      </c>
      <c r="AF235" s="122">
        <v>45960.740277777775</v>
      </c>
      <c r="AG235" s="1">
        <v>60</v>
      </c>
      <c r="AH235" s="1">
        <v>2000</v>
      </c>
      <c r="AI235" s="1" t="s">
        <v>195</v>
      </c>
      <c r="AL235" s="1" t="s">
        <v>196</v>
      </c>
      <c r="AO235" s="1" t="s">
        <v>113</v>
      </c>
      <c r="AP235" s="1" t="s">
        <v>1979</v>
      </c>
      <c r="AQ235" s="122">
        <v>45960.743055555555</v>
      </c>
      <c r="AR235" s="1">
        <v>1534</v>
      </c>
      <c r="AS235" s="1">
        <v>0</v>
      </c>
      <c r="AT235" s="1" t="s">
        <v>198</v>
      </c>
      <c r="AU235" s="121">
        <v>45960</v>
      </c>
      <c r="AW235" s="1">
        <v>1534</v>
      </c>
      <c r="AX235" s="1" t="s">
        <v>1980</v>
      </c>
      <c r="AY235" s="1" t="s">
        <v>1981</v>
      </c>
      <c r="AZ235" s="1" t="s">
        <v>1982</v>
      </c>
      <c r="BA235" s="1" t="s">
        <v>180</v>
      </c>
      <c r="BB235" s="1">
        <v>534449</v>
      </c>
      <c r="BF235" s="122">
        <v>45960.676388888889</v>
      </c>
    </row>
    <row r="236" spans="1:58">
      <c r="A236" s="1">
        <v>229</v>
      </c>
      <c r="B236" s="1" t="s">
        <v>179</v>
      </c>
      <c r="C236" s="1" t="s">
        <v>180</v>
      </c>
      <c r="D236" s="1" t="s">
        <v>181</v>
      </c>
      <c r="E236" s="1" t="s">
        <v>1983</v>
      </c>
      <c r="F236" s="122">
        <v>45960.477777777778</v>
      </c>
      <c r="G236" s="1" t="s">
        <v>218</v>
      </c>
      <c r="I236" s="1" t="s">
        <v>1984</v>
      </c>
      <c r="K236" s="1" t="s">
        <v>1985</v>
      </c>
      <c r="M236" s="1" t="s">
        <v>206</v>
      </c>
      <c r="N236" s="1" t="s">
        <v>1986</v>
      </c>
      <c r="O236" s="1">
        <v>912076</v>
      </c>
      <c r="P236" s="1">
        <v>9219534</v>
      </c>
      <c r="Q236" s="1" t="s">
        <v>780</v>
      </c>
      <c r="R236" s="1" t="s">
        <v>483</v>
      </c>
      <c r="S236" s="1" t="s">
        <v>484</v>
      </c>
      <c r="T236" s="1" t="s">
        <v>191</v>
      </c>
      <c r="U236" s="122">
        <v>45516.767361111109</v>
      </c>
      <c r="V236" s="1" t="s">
        <v>192</v>
      </c>
      <c r="W236" s="1" t="s">
        <v>19</v>
      </c>
      <c r="X236" s="1" t="s">
        <v>226</v>
      </c>
      <c r="Z236" s="1" t="s">
        <v>3</v>
      </c>
      <c r="AA236" s="1">
        <v>61012</v>
      </c>
      <c r="AB236" s="1">
        <v>2500</v>
      </c>
      <c r="AC236" s="1">
        <v>2500</v>
      </c>
      <c r="AD236" s="122">
        <v>45960.770833333336</v>
      </c>
      <c r="AE236" s="122">
        <v>45960.770833333336</v>
      </c>
      <c r="AF236" s="122">
        <v>45960.745833333334</v>
      </c>
      <c r="AG236" s="1">
        <v>2500</v>
      </c>
      <c r="AH236" s="1">
        <v>2500</v>
      </c>
      <c r="AI236" s="1" t="s">
        <v>195</v>
      </c>
      <c r="AL236" s="1" t="s">
        <v>196</v>
      </c>
      <c r="AO236" s="1" t="s">
        <v>113</v>
      </c>
      <c r="AP236" s="1" t="s">
        <v>1987</v>
      </c>
      <c r="AQ236" s="122">
        <v>45960.746527777781</v>
      </c>
      <c r="AR236" s="1">
        <v>1773.54</v>
      </c>
      <c r="AS236" s="1">
        <v>2126.16</v>
      </c>
      <c r="AT236" s="1" t="s">
        <v>198</v>
      </c>
      <c r="AU236" s="121">
        <v>45960</v>
      </c>
      <c r="AW236" s="1">
        <v>3900</v>
      </c>
      <c r="AX236" s="1" t="s">
        <v>1988</v>
      </c>
      <c r="AY236" s="1" t="s">
        <v>1989</v>
      </c>
      <c r="AZ236" s="1" t="s">
        <v>899</v>
      </c>
      <c r="BA236" s="1" t="s">
        <v>180</v>
      </c>
      <c r="BB236" s="1">
        <v>535002</v>
      </c>
      <c r="BE236" s="1" t="s">
        <v>1990</v>
      </c>
      <c r="BF236" s="122">
        <v>45960.473611111112</v>
      </c>
    </row>
    <row r="237" spans="1:58">
      <c r="A237" s="1">
        <v>230</v>
      </c>
      <c r="B237" s="1" t="s">
        <v>179</v>
      </c>
      <c r="C237" s="1" t="s">
        <v>180</v>
      </c>
      <c r="D237" s="1" t="s">
        <v>181</v>
      </c>
      <c r="E237" s="1" t="s">
        <v>1991</v>
      </c>
      <c r="F237" s="122">
        <v>45960.431250000001</v>
      </c>
      <c r="G237" s="1" t="s">
        <v>183</v>
      </c>
      <c r="I237" s="1" t="s">
        <v>1954</v>
      </c>
      <c r="K237" s="1" t="s">
        <v>1955</v>
      </c>
      <c r="M237" s="1" t="s">
        <v>408</v>
      </c>
      <c r="N237" s="1" t="s">
        <v>1956</v>
      </c>
      <c r="O237" s="1" t="s">
        <v>1957</v>
      </c>
      <c r="P237" s="1">
        <v>4706779</v>
      </c>
      <c r="Q237" s="1" t="s">
        <v>235</v>
      </c>
      <c r="R237" s="1" t="s">
        <v>367</v>
      </c>
      <c r="S237" s="1" t="s">
        <v>368</v>
      </c>
      <c r="T237" s="1" t="s">
        <v>191</v>
      </c>
      <c r="U237" s="122">
        <v>45864.824999999997</v>
      </c>
      <c r="V237" s="1" t="s">
        <v>192</v>
      </c>
      <c r="W237" s="1" t="s">
        <v>19</v>
      </c>
      <c r="X237" s="1" t="s">
        <v>226</v>
      </c>
      <c r="Z237" s="1" t="s">
        <v>194</v>
      </c>
      <c r="AA237" s="1">
        <v>6145</v>
      </c>
      <c r="AB237" s="1">
        <v>0</v>
      </c>
      <c r="AC237" s="1">
        <v>60</v>
      </c>
      <c r="AD237" s="122">
        <v>45960.604166666664</v>
      </c>
      <c r="AE237" s="122">
        <v>45960.604166666664</v>
      </c>
      <c r="AF237" s="122">
        <v>45960.695833333331</v>
      </c>
      <c r="AG237" s="1">
        <v>60</v>
      </c>
      <c r="AH237" s="1">
        <v>0</v>
      </c>
      <c r="AI237" s="1" t="s">
        <v>195</v>
      </c>
      <c r="AL237" s="1" t="s">
        <v>196</v>
      </c>
      <c r="AO237" s="1" t="s">
        <v>113</v>
      </c>
      <c r="AP237" s="1" t="s">
        <v>1992</v>
      </c>
      <c r="AQ237" s="122">
        <v>45960.696527777778</v>
      </c>
      <c r="AR237" s="1">
        <v>0</v>
      </c>
      <c r="AS237" s="1">
        <v>53.96</v>
      </c>
      <c r="AT237" s="1" t="s">
        <v>198</v>
      </c>
      <c r="AU237" s="121">
        <v>45960</v>
      </c>
      <c r="AW237" s="1">
        <v>54</v>
      </c>
      <c r="AX237" s="1" t="s">
        <v>1959</v>
      </c>
      <c r="AY237" s="1" t="s">
        <v>1960</v>
      </c>
      <c r="BA237" s="1" t="s">
        <v>180</v>
      </c>
      <c r="BB237" s="1">
        <v>530045</v>
      </c>
      <c r="BF237" s="122">
        <v>45960.427777777775</v>
      </c>
    </row>
    <row r="238" spans="1:58">
      <c r="A238" s="1">
        <v>231</v>
      </c>
      <c r="B238" s="1" t="s">
        <v>179</v>
      </c>
      <c r="C238" s="1" t="s">
        <v>180</v>
      </c>
      <c r="D238" s="1" t="s">
        <v>181</v>
      </c>
      <c r="E238" s="1" t="s">
        <v>1993</v>
      </c>
      <c r="F238" s="122">
        <v>45960.521527777775</v>
      </c>
      <c r="G238" s="1" t="s">
        <v>651</v>
      </c>
      <c r="I238" s="1" t="s">
        <v>1994</v>
      </c>
      <c r="K238" s="1" t="s">
        <v>1995</v>
      </c>
      <c r="N238" s="1" t="s">
        <v>1996</v>
      </c>
      <c r="O238" s="1">
        <v>546606</v>
      </c>
      <c r="P238" s="1" t="s">
        <v>1997</v>
      </c>
      <c r="Q238" s="1" t="s">
        <v>599</v>
      </c>
      <c r="R238" s="1" t="s">
        <v>1998</v>
      </c>
      <c r="S238" s="1" t="s">
        <v>632</v>
      </c>
      <c r="U238" s="122">
        <v>45930.567361111112</v>
      </c>
      <c r="V238" s="1" t="s">
        <v>192</v>
      </c>
      <c r="W238" s="1" t="s">
        <v>21</v>
      </c>
      <c r="X238" s="1" t="s">
        <v>226</v>
      </c>
      <c r="Z238" s="1" t="s">
        <v>658</v>
      </c>
      <c r="AA238" s="1">
        <v>650</v>
      </c>
      <c r="AB238" s="1">
        <v>0</v>
      </c>
      <c r="AC238" s="1">
        <v>70</v>
      </c>
      <c r="AD238" s="122">
        <v>45960.645833333336</v>
      </c>
      <c r="AE238" s="122">
        <v>45960.729166666664</v>
      </c>
      <c r="AF238" s="122">
        <v>45960.590277777781</v>
      </c>
      <c r="AG238" s="1">
        <v>70</v>
      </c>
      <c r="AH238" s="1">
        <v>0</v>
      </c>
      <c r="AI238" s="1" t="s">
        <v>195</v>
      </c>
      <c r="AJ238" s="122">
        <v>45960.586805555555</v>
      </c>
      <c r="AK238" s="122">
        <v>45960.587500000001</v>
      </c>
      <c r="AL238" s="1" t="s">
        <v>212</v>
      </c>
      <c r="AO238" s="1" t="s">
        <v>113</v>
      </c>
      <c r="AP238" s="1" t="s">
        <v>1999</v>
      </c>
      <c r="AQ238" s="122">
        <v>45960.590277777781</v>
      </c>
      <c r="AR238" s="1">
        <v>0</v>
      </c>
      <c r="AS238" s="1">
        <v>53.96</v>
      </c>
      <c r="AT238" s="1" t="s">
        <v>198</v>
      </c>
      <c r="AW238" s="1">
        <v>54</v>
      </c>
      <c r="AX238" s="1" t="s">
        <v>2000</v>
      </c>
      <c r="AY238" s="1" t="s">
        <v>2001</v>
      </c>
      <c r="AZ238" s="1" t="s">
        <v>2002</v>
      </c>
      <c r="BA238" s="1" t="s">
        <v>180</v>
      </c>
      <c r="BB238" s="1">
        <v>530041</v>
      </c>
      <c r="BE238" s="1" t="s">
        <v>1734</v>
      </c>
      <c r="BF238" s="122">
        <v>45960.519444444442</v>
      </c>
    </row>
    <row r="239" spans="1:58">
      <c r="A239" s="1">
        <v>232</v>
      </c>
      <c r="B239" s="1" t="s">
        <v>179</v>
      </c>
      <c r="C239" s="1" t="s">
        <v>180</v>
      </c>
      <c r="D239" s="1" t="s">
        <v>181</v>
      </c>
      <c r="E239" s="1" t="s">
        <v>2003</v>
      </c>
      <c r="F239" s="122">
        <v>45958.421527777777</v>
      </c>
      <c r="G239" s="1" t="s">
        <v>244</v>
      </c>
      <c r="I239" s="1" t="s">
        <v>2004</v>
      </c>
      <c r="K239" s="1" t="s">
        <v>2005</v>
      </c>
      <c r="N239" s="1" t="s">
        <v>2006</v>
      </c>
      <c r="O239" s="1">
        <v>329491</v>
      </c>
      <c r="P239" s="1">
        <v>3300607</v>
      </c>
      <c r="Q239" s="1" t="s">
        <v>780</v>
      </c>
      <c r="R239" s="1" t="s">
        <v>1249</v>
      </c>
      <c r="S239" s="1" t="s">
        <v>1250</v>
      </c>
      <c r="T239" s="1" t="s">
        <v>454</v>
      </c>
      <c r="U239" s="122">
        <v>43249.732638888891</v>
      </c>
      <c r="V239" s="1" t="s">
        <v>192</v>
      </c>
      <c r="W239" s="1" t="s">
        <v>21</v>
      </c>
      <c r="X239" s="1" t="s">
        <v>193</v>
      </c>
      <c r="Z239" s="1" t="s">
        <v>4</v>
      </c>
      <c r="AA239" s="1">
        <v>147651</v>
      </c>
      <c r="AB239" s="1">
        <v>0</v>
      </c>
      <c r="AC239" s="1">
        <v>0</v>
      </c>
      <c r="AD239" s="122">
        <v>45961.770833333336</v>
      </c>
      <c r="AE239" s="122">
        <v>45961.770833333336</v>
      </c>
      <c r="AF239" s="122">
        <v>45960.72152777778</v>
      </c>
      <c r="AG239" s="1">
        <v>0</v>
      </c>
      <c r="AH239" s="1">
        <v>0</v>
      </c>
      <c r="AI239" s="1" t="s">
        <v>195</v>
      </c>
      <c r="AL239" s="1" t="s">
        <v>196</v>
      </c>
      <c r="AO239" s="1" t="s">
        <v>113</v>
      </c>
      <c r="AP239" s="1" t="s">
        <v>2007</v>
      </c>
      <c r="AQ239" s="122">
        <v>45960.72152777778</v>
      </c>
      <c r="AR239" s="1">
        <v>0</v>
      </c>
      <c r="AS239" s="1">
        <v>0</v>
      </c>
      <c r="AT239" s="1" t="s">
        <v>198</v>
      </c>
      <c r="AW239" s="1">
        <v>0</v>
      </c>
      <c r="AX239" s="1" t="s">
        <v>2008</v>
      </c>
      <c r="AY239" s="1" t="s">
        <v>2009</v>
      </c>
      <c r="AZ239" s="1" t="s">
        <v>899</v>
      </c>
      <c r="BA239" s="1" t="s">
        <v>180</v>
      </c>
      <c r="BB239" s="1">
        <v>530045</v>
      </c>
      <c r="BE239" s="1" t="s">
        <v>1734</v>
      </c>
      <c r="BF239" s="122">
        <v>45958.419444444444</v>
      </c>
    </row>
    <row r="240" spans="1:58">
      <c r="A240" s="1">
        <v>233</v>
      </c>
      <c r="B240" s="1" t="s">
        <v>179</v>
      </c>
      <c r="C240" s="1" t="s">
        <v>180</v>
      </c>
      <c r="D240" s="1" t="s">
        <v>181</v>
      </c>
      <c r="E240" s="1" t="s">
        <v>2010</v>
      </c>
      <c r="F240" s="122">
        <v>45957.665972222225</v>
      </c>
      <c r="G240" s="1" t="s">
        <v>533</v>
      </c>
      <c r="I240" s="1" t="s">
        <v>1861</v>
      </c>
      <c r="K240" s="1" t="s">
        <v>1862</v>
      </c>
      <c r="M240" s="1" t="s">
        <v>206</v>
      </c>
      <c r="N240" s="1" t="s">
        <v>1863</v>
      </c>
      <c r="O240" s="1">
        <v>878971</v>
      </c>
      <c r="P240" s="1">
        <v>1071999</v>
      </c>
      <c r="Q240" s="1" t="s">
        <v>235</v>
      </c>
      <c r="R240" s="1" t="s">
        <v>895</v>
      </c>
      <c r="S240" s="1" t="s">
        <v>484</v>
      </c>
      <c r="T240" s="1" t="s">
        <v>191</v>
      </c>
      <c r="U240" s="122">
        <v>45523.615277777775</v>
      </c>
      <c r="V240" s="1" t="s">
        <v>558</v>
      </c>
      <c r="W240" s="1" t="s">
        <v>20</v>
      </c>
      <c r="X240" s="1" t="s">
        <v>559</v>
      </c>
      <c r="Z240" s="1" t="s">
        <v>538</v>
      </c>
      <c r="AA240" s="1">
        <v>60470</v>
      </c>
      <c r="AB240" s="1">
        <v>0</v>
      </c>
      <c r="AC240" s="1">
        <v>0</v>
      </c>
      <c r="AD240" s="122">
        <v>45961.665972222225</v>
      </c>
      <c r="AE240" s="122">
        <v>45961.665972222225</v>
      </c>
      <c r="AF240" s="122">
        <v>45960.65347222222</v>
      </c>
      <c r="AG240" s="1">
        <v>0</v>
      </c>
      <c r="AH240" s="1">
        <v>0</v>
      </c>
      <c r="AI240" s="1" t="s">
        <v>195</v>
      </c>
      <c r="AJ240" s="122">
        <v>45958.443055555559</v>
      </c>
      <c r="AL240" s="1" t="s">
        <v>196</v>
      </c>
      <c r="AO240" s="1" t="s">
        <v>113</v>
      </c>
      <c r="AP240" s="1" t="s">
        <v>2011</v>
      </c>
      <c r="AQ240" s="122">
        <v>45960.665277777778</v>
      </c>
      <c r="AR240" s="1">
        <v>0</v>
      </c>
      <c r="AS240" s="1">
        <v>0</v>
      </c>
      <c r="AT240" s="1" t="s">
        <v>198</v>
      </c>
      <c r="AW240" s="1">
        <v>0</v>
      </c>
      <c r="AX240" s="1" t="s">
        <v>1865</v>
      </c>
      <c r="AY240" s="1" t="s">
        <v>1866</v>
      </c>
      <c r="AZ240" s="1" t="s">
        <v>1867</v>
      </c>
      <c r="BA240" s="1" t="s">
        <v>180</v>
      </c>
      <c r="BB240" s="1">
        <v>531183</v>
      </c>
      <c r="BF240" s="122">
        <v>45957.663888888892</v>
      </c>
    </row>
    <row r="241" spans="1:58">
      <c r="A241" s="1">
        <v>234</v>
      </c>
      <c r="B241" s="1" t="s">
        <v>179</v>
      </c>
      <c r="C241" s="1" t="s">
        <v>180</v>
      </c>
      <c r="D241" s="1" t="s">
        <v>181</v>
      </c>
      <c r="E241" s="1" t="s">
        <v>2010</v>
      </c>
      <c r="F241" s="122">
        <v>45957.665972222225</v>
      </c>
      <c r="G241" s="1" t="s">
        <v>533</v>
      </c>
      <c r="I241" s="1" t="s">
        <v>1861</v>
      </c>
      <c r="K241" s="1" t="s">
        <v>1862</v>
      </c>
      <c r="M241" s="1" t="s">
        <v>206</v>
      </c>
      <c r="N241" s="1" t="s">
        <v>1863</v>
      </c>
      <c r="O241" s="1">
        <v>878971</v>
      </c>
      <c r="P241" s="1">
        <v>1071999</v>
      </c>
      <c r="Q241" s="1" t="s">
        <v>235</v>
      </c>
      <c r="R241" s="1" t="s">
        <v>895</v>
      </c>
      <c r="S241" s="1" t="s">
        <v>484</v>
      </c>
      <c r="T241" s="1" t="s">
        <v>191</v>
      </c>
      <c r="U241" s="122">
        <v>45523.615277777775</v>
      </c>
      <c r="V241" s="1" t="s">
        <v>558</v>
      </c>
      <c r="W241" s="1" t="s">
        <v>20</v>
      </c>
      <c r="X241" s="1" t="s">
        <v>559</v>
      </c>
      <c r="Z241" s="1" t="s">
        <v>538</v>
      </c>
      <c r="AA241" s="1">
        <v>60470</v>
      </c>
      <c r="AB241" s="1">
        <v>0</v>
      </c>
      <c r="AC241" s="1">
        <v>0</v>
      </c>
      <c r="AD241" s="122">
        <v>45961.665972222225</v>
      </c>
      <c r="AE241" s="122">
        <v>45961.665972222225</v>
      </c>
      <c r="AF241" s="122">
        <v>45960.65347222222</v>
      </c>
      <c r="AG241" s="1">
        <v>0</v>
      </c>
      <c r="AH241" s="1">
        <v>0</v>
      </c>
      <c r="AI241" s="1" t="s">
        <v>195</v>
      </c>
      <c r="AJ241" s="122">
        <v>45958.443055555559</v>
      </c>
      <c r="AL241" s="1" t="s">
        <v>196</v>
      </c>
      <c r="AO241" s="1" t="s">
        <v>113</v>
      </c>
      <c r="AP241" s="1" t="s">
        <v>2012</v>
      </c>
      <c r="AQ241" s="122">
        <v>45960.665277777778</v>
      </c>
      <c r="AR241" s="1">
        <v>20552.060000000001</v>
      </c>
      <c r="AS241" s="1">
        <v>19343.84</v>
      </c>
      <c r="AT241" s="1" t="s">
        <v>198</v>
      </c>
      <c r="AW241" s="1">
        <v>39896</v>
      </c>
      <c r="AX241" s="1" t="s">
        <v>1865</v>
      </c>
      <c r="AY241" s="1" t="s">
        <v>1866</v>
      </c>
      <c r="AZ241" s="1" t="s">
        <v>1867</v>
      </c>
      <c r="BA241" s="1" t="s">
        <v>180</v>
      </c>
      <c r="BB241" s="1">
        <v>531183</v>
      </c>
      <c r="BF241" s="122">
        <v>45957.663888888892</v>
      </c>
    </row>
    <row r="242" spans="1:58">
      <c r="A242" s="1">
        <v>235</v>
      </c>
      <c r="B242" s="1" t="s">
        <v>179</v>
      </c>
      <c r="C242" s="1" t="s">
        <v>180</v>
      </c>
      <c r="D242" s="1" t="s">
        <v>181</v>
      </c>
      <c r="E242" s="1" t="s">
        <v>2013</v>
      </c>
      <c r="F242" s="122">
        <v>45961.507638888892</v>
      </c>
      <c r="G242" s="1" t="s">
        <v>651</v>
      </c>
      <c r="I242" s="1" t="s">
        <v>1962</v>
      </c>
      <c r="K242" s="1" t="s">
        <v>1963</v>
      </c>
      <c r="M242" s="1" t="s">
        <v>408</v>
      </c>
      <c r="N242" s="1" t="s">
        <v>1964</v>
      </c>
      <c r="O242" s="1" t="s">
        <v>1965</v>
      </c>
      <c r="P242" s="1">
        <v>4777061</v>
      </c>
      <c r="Q242" s="1" t="s">
        <v>235</v>
      </c>
      <c r="R242" s="1" t="s">
        <v>367</v>
      </c>
      <c r="S242" s="1" t="s">
        <v>368</v>
      </c>
      <c r="U242" s="122">
        <v>45930.511111111111</v>
      </c>
      <c r="V242" s="1" t="s">
        <v>192</v>
      </c>
      <c r="W242" s="1" t="s">
        <v>19</v>
      </c>
      <c r="X242" s="1" t="s">
        <v>226</v>
      </c>
      <c r="Z242" s="1" t="s">
        <v>658</v>
      </c>
      <c r="AA242" s="1">
        <v>1622</v>
      </c>
      <c r="AB242" s="1">
        <v>0</v>
      </c>
      <c r="AC242" s="1">
        <v>0</v>
      </c>
      <c r="AD242" s="122">
        <v>45961.604861111111</v>
      </c>
      <c r="AE242" s="122">
        <v>45961.604861111111</v>
      </c>
      <c r="AF242" s="122">
        <v>45961.595138888886</v>
      </c>
      <c r="AG242" s="1">
        <v>0</v>
      </c>
      <c r="AH242" s="1">
        <v>0</v>
      </c>
      <c r="AI242" s="1" t="s">
        <v>195</v>
      </c>
      <c r="AL242" s="1" t="s">
        <v>196</v>
      </c>
      <c r="AO242" s="1" t="s">
        <v>113</v>
      </c>
      <c r="AP242" s="1" t="s">
        <v>2014</v>
      </c>
      <c r="AQ242" s="122">
        <v>45961.595138888886</v>
      </c>
      <c r="AR242" s="1">
        <v>0</v>
      </c>
      <c r="AS242" s="1">
        <v>53.96</v>
      </c>
      <c r="AT242" s="1" t="s">
        <v>198</v>
      </c>
      <c r="AU242" s="121">
        <v>45961</v>
      </c>
      <c r="AW242" s="1">
        <v>54</v>
      </c>
      <c r="AX242" s="1" t="s">
        <v>1967</v>
      </c>
      <c r="AY242" s="1" t="s">
        <v>1968</v>
      </c>
      <c r="AZ242" s="1" t="s">
        <v>180</v>
      </c>
      <c r="BA242" s="1" t="s">
        <v>180</v>
      </c>
      <c r="BB242" s="1">
        <v>530045</v>
      </c>
      <c r="BF242" s="122">
        <v>45961.505555555559</v>
      </c>
    </row>
    <row r="243" spans="1:58">
      <c r="A243" s="1">
        <v>236</v>
      </c>
      <c r="B243" s="1" t="s">
        <v>179</v>
      </c>
      <c r="C243" s="1" t="s">
        <v>180</v>
      </c>
      <c r="D243" s="1" t="s">
        <v>181</v>
      </c>
      <c r="E243" s="1" t="s">
        <v>2015</v>
      </c>
      <c r="F243" s="122">
        <v>45960.730555555558</v>
      </c>
      <c r="G243" s="1" t="s">
        <v>533</v>
      </c>
      <c r="I243" s="1" t="s">
        <v>703</v>
      </c>
      <c r="K243" s="1" t="s">
        <v>2016</v>
      </c>
      <c r="M243" s="1" t="s">
        <v>325</v>
      </c>
      <c r="N243" s="1" t="s">
        <v>2017</v>
      </c>
      <c r="O243" s="1">
        <v>704954</v>
      </c>
      <c r="P243" s="1">
        <v>1436997</v>
      </c>
      <c r="Q243" s="1" t="s">
        <v>315</v>
      </c>
      <c r="R243" s="1" t="s">
        <v>2018</v>
      </c>
      <c r="S243" s="1" t="s">
        <v>505</v>
      </c>
      <c r="T243" s="1" t="s">
        <v>191</v>
      </c>
      <c r="U243" s="122">
        <v>41850.688194444447</v>
      </c>
      <c r="V243" s="1" t="s">
        <v>558</v>
      </c>
      <c r="W243" s="1" t="s">
        <v>20</v>
      </c>
      <c r="X243" s="1" t="s">
        <v>559</v>
      </c>
      <c r="Z243" s="1" t="s">
        <v>538</v>
      </c>
      <c r="AA243" s="1">
        <v>85557</v>
      </c>
      <c r="AB243" s="1">
        <v>0</v>
      </c>
      <c r="AC243" s="1">
        <v>0</v>
      </c>
      <c r="AD243" s="122">
        <v>45961.730555555558</v>
      </c>
      <c r="AE243" s="122">
        <v>45961.730555555558</v>
      </c>
      <c r="AF243" s="122">
        <v>45961.682638888888</v>
      </c>
      <c r="AG243" s="1">
        <v>0</v>
      </c>
      <c r="AH243" s="1">
        <v>0</v>
      </c>
      <c r="AI243" s="1" t="s">
        <v>195</v>
      </c>
      <c r="AJ243" s="122">
        <v>45960.736805555556</v>
      </c>
      <c r="AL243" s="1" t="s">
        <v>196</v>
      </c>
      <c r="AO243" s="1" t="s">
        <v>113</v>
      </c>
      <c r="AP243" s="1" t="s">
        <v>2019</v>
      </c>
      <c r="AQ243" s="122">
        <v>45961.682638888888</v>
      </c>
      <c r="AR243" s="1">
        <v>0</v>
      </c>
      <c r="AS243" s="1">
        <v>0</v>
      </c>
      <c r="AT243" s="1" t="s">
        <v>198</v>
      </c>
      <c r="AW243" s="1">
        <v>0</v>
      </c>
      <c r="AX243" s="1" t="s">
        <v>2020</v>
      </c>
      <c r="AY243" s="1" t="s">
        <v>2021</v>
      </c>
      <c r="AZ243" s="1" t="s">
        <v>2022</v>
      </c>
      <c r="BA243" s="1" t="s">
        <v>180</v>
      </c>
      <c r="BB243" s="1">
        <v>530003</v>
      </c>
      <c r="BE243" s="1" t="s">
        <v>2023</v>
      </c>
      <c r="BF243" s="122">
        <v>45960.729166666664</v>
      </c>
    </row>
    <row r="244" spans="1:58">
      <c r="A244" s="1">
        <v>237</v>
      </c>
      <c r="B244" s="1" t="s">
        <v>179</v>
      </c>
      <c r="C244" s="1" t="s">
        <v>180</v>
      </c>
      <c r="D244" s="1" t="s">
        <v>181</v>
      </c>
      <c r="E244" s="1" t="s">
        <v>2015</v>
      </c>
      <c r="F244" s="122">
        <v>45960.730555555558</v>
      </c>
      <c r="G244" s="1" t="s">
        <v>533</v>
      </c>
      <c r="I244" s="1" t="s">
        <v>703</v>
      </c>
      <c r="K244" s="1" t="s">
        <v>2016</v>
      </c>
      <c r="M244" s="1" t="s">
        <v>325</v>
      </c>
      <c r="N244" s="1" t="s">
        <v>2017</v>
      </c>
      <c r="O244" s="1">
        <v>704954</v>
      </c>
      <c r="P244" s="1">
        <v>1436997</v>
      </c>
      <c r="Q244" s="1" t="s">
        <v>315</v>
      </c>
      <c r="R244" s="1" t="s">
        <v>2018</v>
      </c>
      <c r="S244" s="1" t="s">
        <v>505</v>
      </c>
      <c r="T244" s="1" t="s">
        <v>191</v>
      </c>
      <c r="U244" s="122">
        <v>41850.688194444447</v>
      </c>
      <c r="V244" s="1" t="s">
        <v>558</v>
      </c>
      <c r="W244" s="1" t="s">
        <v>20</v>
      </c>
      <c r="X244" s="1" t="s">
        <v>559</v>
      </c>
      <c r="Z244" s="1" t="s">
        <v>538</v>
      </c>
      <c r="AA244" s="1">
        <v>85557</v>
      </c>
      <c r="AB244" s="1">
        <v>0</v>
      </c>
      <c r="AC244" s="1">
        <v>0</v>
      </c>
      <c r="AD244" s="122">
        <v>45961.730555555558</v>
      </c>
      <c r="AE244" s="122">
        <v>45961.730555555558</v>
      </c>
      <c r="AF244" s="122">
        <v>45961.682638888888</v>
      </c>
      <c r="AG244" s="1">
        <v>0</v>
      </c>
      <c r="AH244" s="1">
        <v>0</v>
      </c>
      <c r="AI244" s="1" t="s">
        <v>195</v>
      </c>
      <c r="AJ244" s="122">
        <v>45960.736805555556</v>
      </c>
      <c r="AL244" s="1" t="s">
        <v>196</v>
      </c>
      <c r="AO244" s="1" t="s">
        <v>113</v>
      </c>
      <c r="AP244" s="1" t="s">
        <v>2024</v>
      </c>
      <c r="AQ244" s="122">
        <v>45961.682638888888</v>
      </c>
      <c r="AR244" s="1">
        <v>1593</v>
      </c>
      <c r="AS244" s="1">
        <v>6248.69</v>
      </c>
      <c r="AT244" s="1" t="s">
        <v>198</v>
      </c>
      <c r="AW244" s="1">
        <v>7842</v>
      </c>
      <c r="AX244" s="1" t="s">
        <v>2020</v>
      </c>
      <c r="AY244" s="1" t="s">
        <v>2021</v>
      </c>
      <c r="AZ244" s="1" t="s">
        <v>2022</v>
      </c>
      <c r="BA244" s="1" t="s">
        <v>180</v>
      </c>
      <c r="BB244" s="1">
        <v>530003</v>
      </c>
      <c r="BE244" s="1" t="s">
        <v>2023</v>
      </c>
      <c r="BF244" s="122">
        <v>45960.729166666664</v>
      </c>
    </row>
    <row r="245" spans="1:58">
      <c r="A245" s="1">
        <v>238</v>
      </c>
      <c r="B245" s="1" t="s">
        <v>179</v>
      </c>
      <c r="C245" s="1" t="s">
        <v>180</v>
      </c>
      <c r="D245" s="1" t="s">
        <v>181</v>
      </c>
      <c r="E245" s="1" t="s">
        <v>2025</v>
      </c>
      <c r="F245" s="122">
        <v>45961.430555555555</v>
      </c>
      <c r="G245" s="1" t="s">
        <v>218</v>
      </c>
      <c r="I245" s="1" t="s">
        <v>2026</v>
      </c>
      <c r="K245" s="1" t="s">
        <v>2027</v>
      </c>
      <c r="M245" s="1" t="s">
        <v>325</v>
      </c>
      <c r="N245" s="1" t="s">
        <v>2028</v>
      </c>
      <c r="O245" s="1">
        <v>230403</v>
      </c>
      <c r="P245" s="1">
        <v>7132202</v>
      </c>
      <c r="Q245" s="1" t="s">
        <v>464</v>
      </c>
      <c r="R245" s="1" t="s">
        <v>2029</v>
      </c>
      <c r="S245" s="1" t="s">
        <v>357</v>
      </c>
      <c r="T245" s="1" t="s">
        <v>191</v>
      </c>
      <c r="U245" s="122">
        <v>45045.678472222222</v>
      </c>
      <c r="V245" s="1" t="s">
        <v>192</v>
      </c>
      <c r="W245" s="1" t="s">
        <v>21</v>
      </c>
      <c r="X245" s="1" t="s">
        <v>226</v>
      </c>
      <c r="Z245" s="1" t="s">
        <v>3</v>
      </c>
      <c r="AA245" s="1">
        <v>28852</v>
      </c>
      <c r="AB245" s="1">
        <v>2710</v>
      </c>
      <c r="AC245" s="1">
        <v>4500</v>
      </c>
      <c r="AD245" s="122">
        <v>45961.770833333336</v>
      </c>
      <c r="AE245" s="122">
        <v>45961.770833333336</v>
      </c>
      <c r="AF245" s="122">
        <v>45961.507638888892</v>
      </c>
      <c r="AG245" s="1">
        <v>2609</v>
      </c>
      <c r="AH245" s="1">
        <v>2710</v>
      </c>
      <c r="AI245" s="1" t="s">
        <v>195</v>
      </c>
      <c r="AJ245" s="122">
        <v>45961.45416666667</v>
      </c>
      <c r="AK245" s="122">
        <v>45961.454861111109</v>
      </c>
      <c r="AL245" s="1" t="s">
        <v>212</v>
      </c>
      <c r="AO245" s="1" t="s">
        <v>113</v>
      </c>
      <c r="AP245" s="1" t="s">
        <v>2030</v>
      </c>
      <c r="AQ245" s="122">
        <v>45961.507638888892</v>
      </c>
      <c r="AR245" s="1">
        <v>2517.3200000000002</v>
      </c>
      <c r="AS245" s="1">
        <v>3342.49</v>
      </c>
      <c r="AT245" s="1" t="s">
        <v>198</v>
      </c>
      <c r="AW245" s="1">
        <v>5860</v>
      </c>
      <c r="AX245" s="1" t="s">
        <v>2031</v>
      </c>
      <c r="AY245" s="1" t="s">
        <v>2032</v>
      </c>
      <c r="AZ245" s="1" t="s">
        <v>2033</v>
      </c>
      <c r="BA245" s="1" t="s">
        <v>180</v>
      </c>
      <c r="BB245" s="1">
        <v>532292</v>
      </c>
      <c r="BE245" s="1" t="s">
        <v>2034</v>
      </c>
      <c r="BF245" s="122">
        <v>45961.427083333336</v>
      </c>
    </row>
    <row r="246" spans="1:58">
      <c r="A246" s="1">
        <v>239</v>
      </c>
      <c r="B246" s="1" t="s">
        <v>179</v>
      </c>
      <c r="C246" s="1" t="s">
        <v>180</v>
      </c>
      <c r="D246" s="1" t="s">
        <v>181</v>
      </c>
      <c r="E246" s="1" t="s">
        <v>2035</v>
      </c>
      <c r="F246" s="122">
        <v>45961.634027777778</v>
      </c>
      <c r="G246" s="1" t="s">
        <v>244</v>
      </c>
      <c r="I246" s="1" t="s">
        <v>1888</v>
      </c>
      <c r="K246" s="1" t="s">
        <v>1889</v>
      </c>
      <c r="M246" s="1" t="s">
        <v>206</v>
      </c>
      <c r="N246" s="1" t="s">
        <v>1890</v>
      </c>
      <c r="O246" s="1">
        <v>223998</v>
      </c>
      <c r="P246" s="1">
        <v>2000235</v>
      </c>
      <c r="Q246" s="1" t="s">
        <v>315</v>
      </c>
      <c r="R246" s="1" t="s">
        <v>1891</v>
      </c>
      <c r="S246" s="1" t="s">
        <v>808</v>
      </c>
      <c r="T246" s="1" t="s">
        <v>191</v>
      </c>
      <c r="U246" s="122">
        <v>41231.529861111114</v>
      </c>
      <c r="V246" s="1" t="s">
        <v>192</v>
      </c>
      <c r="W246" s="1" t="s">
        <v>21</v>
      </c>
      <c r="X246" s="1" t="s">
        <v>193</v>
      </c>
      <c r="Z246" s="1" t="s">
        <v>4</v>
      </c>
      <c r="AA246" s="1">
        <v>149890</v>
      </c>
      <c r="AB246" s="1">
        <v>900</v>
      </c>
      <c r="AC246" s="1">
        <v>6000</v>
      </c>
      <c r="AD246" s="122">
        <v>45961.8125</v>
      </c>
      <c r="AE246" s="122">
        <v>45961.8125</v>
      </c>
      <c r="AF246" s="122">
        <v>45961.72152777778</v>
      </c>
      <c r="AG246" s="1">
        <v>6000</v>
      </c>
      <c r="AH246" s="1">
        <v>900</v>
      </c>
      <c r="AI246" s="1" t="s">
        <v>195</v>
      </c>
      <c r="AL246" s="1" t="s">
        <v>196</v>
      </c>
      <c r="AO246" s="1" t="s">
        <v>113</v>
      </c>
      <c r="AP246" s="1" t="s">
        <v>2036</v>
      </c>
      <c r="AQ246" s="122">
        <v>45961.75277777778</v>
      </c>
      <c r="AR246" s="1">
        <v>439.66</v>
      </c>
      <c r="AS246" s="1">
        <v>5198.99</v>
      </c>
      <c r="AT246" s="1" t="s">
        <v>198</v>
      </c>
      <c r="AW246" s="1">
        <v>5639</v>
      </c>
      <c r="AX246" s="1" t="s">
        <v>1893</v>
      </c>
      <c r="AY246" s="1" t="s">
        <v>1894</v>
      </c>
      <c r="AZ246" s="1" t="s">
        <v>1895</v>
      </c>
      <c r="BA246" s="1" t="s">
        <v>180</v>
      </c>
      <c r="BB246" s="1">
        <v>530015</v>
      </c>
      <c r="BF246" s="122">
        <v>45961.630555555559</v>
      </c>
    </row>
    <row r="247" spans="1:58">
      <c r="A247" s="1">
        <v>240</v>
      </c>
      <c r="B247" s="1" t="s">
        <v>179</v>
      </c>
      <c r="C247" s="1" t="s">
        <v>180</v>
      </c>
      <c r="D247" s="1" t="s">
        <v>181</v>
      </c>
      <c r="E247" s="1" t="s">
        <v>2037</v>
      </c>
      <c r="F247" s="122">
        <v>45961.484722222223</v>
      </c>
      <c r="G247" s="1" t="s">
        <v>244</v>
      </c>
      <c r="I247" s="1" t="s">
        <v>2038</v>
      </c>
      <c r="K247" s="1" t="s">
        <v>2039</v>
      </c>
      <c r="M247" s="1" t="s">
        <v>233</v>
      </c>
      <c r="N247" s="1" t="s">
        <v>2040</v>
      </c>
      <c r="O247" s="1">
        <v>105513</v>
      </c>
      <c r="P247" s="1">
        <v>1005185</v>
      </c>
      <c r="Q247" s="1" t="s">
        <v>235</v>
      </c>
      <c r="R247" s="1" t="s">
        <v>829</v>
      </c>
      <c r="S247" s="1" t="s">
        <v>657</v>
      </c>
      <c r="T247" s="1" t="s">
        <v>191</v>
      </c>
      <c r="U247" s="122">
        <v>45432.783333333333</v>
      </c>
      <c r="V247" s="1" t="s">
        <v>192</v>
      </c>
      <c r="W247" s="1" t="s">
        <v>19</v>
      </c>
      <c r="X247" s="1" t="s">
        <v>193</v>
      </c>
      <c r="Z247" s="1" t="s">
        <v>4</v>
      </c>
      <c r="AA247" s="1">
        <v>6235</v>
      </c>
      <c r="AB247" s="1">
        <v>0</v>
      </c>
      <c r="AC247" s="1">
        <v>0</v>
      </c>
      <c r="AD247" s="122">
        <v>45961.775000000001</v>
      </c>
      <c r="AE247" s="122">
        <v>45961.775000000001</v>
      </c>
      <c r="AF247" s="122">
        <v>45961.491666666669</v>
      </c>
      <c r="AG247" s="1">
        <v>0</v>
      </c>
      <c r="AH247" s="1">
        <v>0</v>
      </c>
      <c r="AI247" s="1" t="s">
        <v>195</v>
      </c>
      <c r="AL247" s="1" t="s">
        <v>196</v>
      </c>
      <c r="AO247" s="1" t="s">
        <v>113</v>
      </c>
      <c r="AP247" s="1" t="s">
        <v>2041</v>
      </c>
      <c r="AQ247" s="122">
        <v>45961.500694444447</v>
      </c>
      <c r="AR247" s="1">
        <v>239.54</v>
      </c>
      <c r="AS247" s="1">
        <v>0</v>
      </c>
      <c r="AT247" s="1" t="s">
        <v>198</v>
      </c>
      <c r="AW247" s="1">
        <v>240</v>
      </c>
      <c r="AX247" s="1" t="s">
        <v>2042</v>
      </c>
      <c r="AY247" s="1" t="s">
        <v>2043</v>
      </c>
      <c r="AZ247" s="1" t="s">
        <v>288</v>
      </c>
      <c r="BA247" s="1" t="s">
        <v>180</v>
      </c>
      <c r="BB247" s="1">
        <v>530045</v>
      </c>
      <c r="BC247" s="121">
        <v>19798</v>
      </c>
      <c r="BF247" s="122">
        <v>45961.481249999997</v>
      </c>
    </row>
    <row r="248" spans="1:58">
      <c r="A248" s="1">
        <v>241</v>
      </c>
      <c r="B248" s="1" t="s">
        <v>179</v>
      </c>
      <c r="C248" s="1" t="s">
        <v>180</v>
      </c>
      <c r="D248" s="1" t="s">
        <v>181</v>
      </c>
      <c r="E248" s="1" t="s">
        <v>2037</v>
      </c>
      <c r="F248" s="122">
        <v>45961.484722222223</v>
      </c>
      <c r="G248" s="1" t="s">
        <v>244</v>
      </c>
      <c r="I248" s="1" t="s">
        <v>2038</v>
      </c>
      <c r="K248" s="1" t="s">
        <v>2039</v>
      </c>
      <c r="M248" s="1" t="s">
        <v>233</v>
      </c>
      <c r="N248" s="1" t="s">
        <v>2040</v>
      </c>
      <c r="O248" s="1">
        <v>105513</v>
      </c>
      <c r="P248" s="1">
        <v>1005185</v>
      </c>
      <c r="Q248" s="1" t="s">
        <v>235</v>
      </c>
      <c r="R248" s="1" t="s">
        <v>829</v>
      </c>
      <c r="S248" s="1" t="s">
        <v>657</v>
      </c>
      <c r="T248" s="1" t="s">
        <v>191</v>
      </c>
      <c r="U248" s="122">
        <v>45432.783333333333</v>
      </c>
      <c r="V248" s="1" t="s">
        <v>192</v>
      </c>
      <c r="W248" s="1" t="s">
        <v>19</v>
      </c>
      <c r="X248" s="1" t="s">
        <v>193</v>
      </c>
      <c r="Z248" s="1" t="s">
        <v>4</v>
      </c>
      <c r="AA248" s="1">
        <v>6235</v>
      </c>
      <c r="AB248" s="1">
        <v>0</v>
      </c>
      <c r="AC248" s="1">
        <v>0</v>
      </c>
      <c r="AD248" s="122">
        <v>45961.775000000001</v>
      </c>
      <c r="AE248" s="122">
        <v>45961.775000000001</v>
      </c>
      <c r="AF248" s="122">
        <v>45961.491666666669</v>
      </c>
      <c r="AG248" s="1">
        <v>0</v>
      </c>
      <c r="AH248" s="1">
        <v>0</v>
      </c>
      <c r="AI248" s="1" t="s">
        <v>195</v>
      </c>
      <c r="AL248" s="1" t="s">
        <v>196</v>
      </c>
      <c r="AO248" s="1" t="s">
        <v>113</v>
      </c>
      <c r="AP248" s="1" t="s">
        <v>2044</v>
      </c>
      <c r="AQ248" s="122">
        <v>45961.500694444447</v>
      </c>
      <c r="AR248" s="1">
        <v>0</v>
      </c>
      <c r="AS248" s="1">
        <v>0</v>
      </c>
      <c r="AT248" s="1" t="s">
        <v>198</v>
      </c>
      <c r="AW248" s="1">
        <v>0</v>
      </c>
      <c r="AX248" s="1" t="s">
        <v>2042</v>
      </c>
      <c r="AY248" s="1" t="s">
        <v>2043</v>
      </c>
      <c r="AZ248" s="1" t="s">
        <v>288</v>
      </c>
      <c r="BA248" s="1" t="s">
        <v>180</v>
      </c>
      <c r="BB248" s="1">
        <v>530045</v>
      </c>
      <c r="BC248" s="121">
        <v>19798</v>
      </c>
      <c r="BF248" s="122">
        <v>45961.481249999997</v>
      </c>
    </row>
    <row r="249" spans="1:58">
      <c r="A249" s="1">
        <v>242</v>
      </c>
      <c r="B249" s="1" t="s">
        <v>179</v>
      </c>
      <c r="C249" s="1" t="s">
        <v>180</v>
      </c>
      <c r="D249" s="1" t="s">
        <v>181</v>
      </c>
      <c r="E249" s="1" t="s">
        <v>2045</v>
      </c>
      <c r="F249" s="122">
        <v>45961.772222222222</v>
      </c>
      <c r="G249" s="1" t="s">
        <v>244</v>
      </c>
      <c r="I249" s="1" t="s">
        <v>2046</v>
      </c>
      <c r="K249" s="1" t="s">
        <v>2047</v>
      </c>
      <c r="M249" s="1" t="s">
        <v>186</v>
      </c>
      <c r="N249" s="1" t="s">
        <v>2048</v>
      </c>
      <c r="O249" s="1">
        <v>232123</v>
      </c>
      <c r="P249" s="1">
        <v>5822203</v>
      </c>
      <c r="Q249" s="1" t="s">
        <v>271</v>
      </c>
      <c r="R249" s="1" t="s">
        <v>1846</v>
      </c>
      <c r="S249" s="1" t="s">
        <v>687</v>
      </c>
      <c r="T249" s="1" t="s">
        <v>454</v>
      </c>
      <c r="U249" s="122">
        <v>43630.734722222223</v>
      </c>
      <c r="V249" s="1" t="s">
        <v>192</v>
      </c>
      <c r="W249" s="1" t="s">
        <v>19</v>
      </c>
      <c r="X249" s="1" t="s">
        <v>193</v>
      </c>
      <c r="Z249" s="1" t="s">
        <v>4</v>
      </c>
      <c r="AA249" s="1">
        <v>82419</v>
      </c>
      <c r="AB249" s="1">
        <v>450</v>
      </c>
      <c r="AC249" s="1">
        <v>0</v>
      </c>
      <c r="AD249" s="122">
        <v>45961.8125</v>
      </c>
      <c r="AE249" s="122">
        <v>45961.8125</v>
      </c>
      <c r="AF249" s="122">
        <v>45961.774305555555</v>
      </c>
      <c r="AG249" s="1">
        <v>0</v>
      </c>
      <c r="AH249" s="1">
        <v>450</v>
      </c>
      <c r="AI249" s="1" t="s">
        <v>195</v>
      </c>
      <c r="AL249" s="1" t="s">
        <v>196</v>
      </c>
      <c r="AO249" s="1" t="s">
        <v>113</v>
      </c>
      <c r="AP249" s="1" t="s">
        <v>2049</v>
      </c>
      <c r="AQ249" s="122">
        <v>45961.774305555555</v>
      </c>
      <c r="AR249" s="1">
        <v>713.9</v>
      </c>
      <c r="AS249" s="1">
        <v>0</v>
      </c>
      <c r="AT249" s="1" t="s">
        <v>198</v>
      </c>
      <c r="AU249" s="121">
        <v>45961</v>
      </c>
      <c r="AW249" s="1">
        <v>714</v>
      </c>
      <c r="AX249" s="1" t="s">
        <v>2050</v>
      </c>
      <c r="AY249" s="1" t="s">
        <v>1491</v>
      </c>
      <c r="AZ249" s="1" t="s">
        <v>2051</v>
      </c>
      <c r="BA249" s="1" t="s">
        <v>180</v>
      </c>
      <c r="BB249" s="1">
        <v>533102</v>
      </c>
      <c r="BE249" s="1" t="s">
        <v>2052</v>
      </c>
      <c r="BF249" s="122">
        <v>45961.770833333336</v>
      </c>
    </row>
    <row r="250" spans="1:58">
      <c r="A250" s="1">
        <v>243</v>
      </c>
      <c r="B250" s="1" t="s">
        <v>179</v>
      </c>
      <c r="C250" s="1" t="s">
        <v>180</v>
      </c>
      <c r="D250" s="1" t="s">
        <v>181</v>
      </c>
      <c r="E250" s="1" t="s">
        <v>2053</v>
      </c>
      <c r="F250" s="122">
        <v>45957.679166666669</v>
      </c>
      <c r="G250" s="1" t="s">
        <v>533</v>
      </c>
      <c r="I250" s="1" t="s">
        <v>2054</v>
      </c>
      <c r="K250" s="1" t="s">
        <v>2055</v>
      </c>
      <c r="M250" s="1" t="s">
        <v>206</v>
      </c>
      <c r="N250" s="1" t="s">
        <v>2056</v>
      </c>
      <c r="O250" s="1">
        <v>290494</v>
      </c>
      <c r="P250" s="1">
        <v>2499861</v>
      </c>
      <c r="Q250" s="1" t="s">
        <v>2057</v>
      </c>
      <c r="R250" s="1" t="s">
        <v>1328</v>
      </c>
      <c r="S250" s="1" t="s">
        <v>273</v>
      </c>
      <c r="T250" s="1" t="s">
        <v>454</v>
      </c>
      <c r="U250" s="122">
        <v>42093.824999999997</v>
      </c>
      <c r="V250" s="1" t="s">
        <v>558</v>
      </c>
      <c r="W250" s="1" t="s">
        <v>20</v>
      </c>
      <c r="X250" s="1" t="s">
        <v>559</v>
      </c>
      <c r="Z250" s="1" t="s">
        <v>538</v>
      </c>
      <c r="AA250" s="1">
        <v>126230</v>
      </c>
      <c r="AB250" s="1">
        <v>0</v>
      </c>
      <c r="AC250" s="1">
        <v>0</v>
      </c>
      <c r="AD250" s="122">
        <v>45961.67291666667</v>
      </c>
      <c r="AE250" s="122">
        <v>45961.67291666667</v>
      </c>
      <c r="AF250" s="122">
        <v>45961.715277777781</v>
      </c>
      <c r="AG250" s="1">
        <v>0</v>
      </c>
      <c r="AH250" s="1">
        <v>0</v>
      </c>
      <c r="AI250" s="1" t="s">
        <v>195</v>
      </c>
      <c r="AJ250" s="122">
        <v>45958.445138888892</v>
      </c>
      <c r="AL250" s="1" t="s">
        <v>196</v>
      </c>
      <c r="AO250" s="1" t="s">
        <v>113</v>
      </c>
      <c r="AP250" s="1" t="s">
        <v>2058</v>
      </c>
      <c r="AQ250" s="122">
        <v>45961.715277777781</v>
      </c>
      <c r="AR250" s="1">
        <v>21358</v>
      </c>
      <c r="AS250" s="1">
        <v>2608.48</v>
      </c>
      <c r="AT250" s="1" t="s">
        <v>198</v>
      </c>
      <c r="AW250" s="1">
        <v>23966</v>
      </c>
      <c r="AX250" s="1" t="s">
        <v>2059</v>
      </c>
      <c r="AY250" s="1" t="s">
        <v>2060</v>
      </c>
      <c r="AZ250" s="1" t="s">
        <v>1380</v>
      </c>
      <c r="BA250" s="1" t="s">
        <v>180</v>
      </c>
      <c r="BB250" s="1">
        <v>532484</v>
      </c>
      <c r="BF250" s="122">
        <v>45957.671527777777</v>
      </c>
    </row>
    <row r="251" spans="1:58">
      <c r="A251" s="1">
        <v>244</v>
      </c>
      <c r="B251" s="1" t="s">
        <v>179</v>
      </c>
      <c r="C251" s="1" t="s">
        <v>180</v>
      </c>
      <c r="D251" s="1" t="s">
        <v>181</v>
      </c>
      <c r="E251" s="1" t="s">
        <v>2061</v>
      </c>
      <c r="F251" s="122">
        <v>45961.767361111109</v>
      </c>
      <c r="G251" s="1" t="s">
        <v>1012</v>
      </c>
      <c r="I251" s="1" t="s">
        <v>1888</v>
      </c>
      <c r="K251" s="1" t="s">
        <v>1889</v>
      </c>
      <c r="M251" s="1" t="s">
        <v>206</v>
      </c>
      <c r="N251" s="1" t="s">
        <v>1890</v>
      </c>
      <c r="O251" s="1">
        <v>223998</v>
      </c>
      <c r="P251" s="1">
        <v>2000235</v>
      </c>
      <c r="Q251" s="1" t="s">
        <v>315</v>
      </c>
      <c r="R251" s="1" t="s">
        <v>1891</v>
      </c>
      <c r="S251" s="1" t="s">
        <v>808</v>
      </c>
      <c r="T251" s="1" t="s">
        <v>191</v>
      </c>
      <c r="U251" s="122">
        <v>41231.529861111114</v>
      </c>
      <c r="V251" s="1" t="s">
        <v>192</v>
      </c>
      <c r="W251" s="1" t="s">
        <v>21</v>
      </c>
      <c r="X251" s="1" t="s">
        <v>193</v>
      </c>
      <c r="Z251" s="1" t="s">
        <v>23</v>
      </c>
      <c r="AA251" s="1">
        <v>151967</v>
      </c>
      <c r="AB251" s="1">
        <v>0</v>
      </c>
      <c r="AC251" s="1">
        <v>0</v>
      </c>
      <c r="AD251" s="122">
        <v>45961.772222222222</v>
      </c>
      <c r="AE251" s="122">
        <v>45961.772222222222</v>
      </c>
      <c r="AF251" s="122">
        <v>45961.787499999999</v>
      </c>
      <c r="AG251" s="1">
        <v>0</v>
      </c>
      <c r="AH251" s="1">
        <v>0</v>
      </c>
      <c r="AI251" s="1" t="s">
        <v>195</v>
      </c>
      <c r="AL251" s="1" t="s">
        <v>196</v>
      </c>
      <c r="AO251" s="1" t="s">
        <v>113</v>
      </c>
      <c r="AP251" s="1" t="s">
        <v>2062</v>
      </c>
      <c r="AQ251" s="122">
        <v>45961.787499999999</v>
      </c>
      <c r="AR251" s="1">
        <v>0</v>
      </c>
      <c r="AS251" s="1">
        <v>0</v>
      </c>
      <c r="AT251" s="1" t="s">
        <v>198</v>
      </c>
      <c r="AW251" s="1">
        <v>0</v>
      </c>
      <c r="AX251" s="1" t="s">
        <v>1893</v>
      </c>
      <c r="AY251" s="1" t="s">
        <v>1894</v>
      </c>
      <c r="AZ251" s="1" t="s">
        <v>1895</v>
      </c>
      <c r="BA251" s="1" t="s">
        <v>180</v>
      </c>
      <c r="BB251" s="1">
        <v>530015</v>
      </c>
      <c r="BF251" s="122">
        <v>45961.761111111111</v>
      </c>
    </row>
    <row r="252" spans="1:58">
      <c r="A252" s="1">
        <v>245</v>
      </c>
      <c r="B252" s="1" t="s">
        <v>179</v>
      </c>
      <c r="C252" s="1" t="s">
        <v>180</v>
      </c>
      <c r="D252" s="1" t="s">
        <v>181</v>
      </c>
      <c r="E252" s="1" t="s">
        <v>2063</v>
      </c>
      <c r="F252" s="122">
        <v>45961.442361111112</v>
      </c>
      <c r="G252" s="1" t="s">
        <v>244</v>
      </c>
      <c r="I252" s="1" t="s">
        <v>1726</v>
      </c>
      <c r="K252" s="1" t="s">
        <v>1727</v>
      </c>
      <c r="M252" s="1" t="s">
        <v>206</v>
      </c>
      <c r="N252" s="1" t="s">
        <v>1728</v>
      </c>
      <c r="O252" s="1">
        <v>656783</v>
      </c>
      <c r="P252" s="1">
        <v>1280836</v>
      </c>
      <c r="Q252" s="1" t="s">
        <v>1729</v>
      </c>
      <c r="R252" s="1" t="s">
        <v>1730</v>
      </c>
      <c r="S252" s="1" t="s">
        <v>225</v>
      </c>
      <c r="T252" s="1" t="s">
        <v>191</v>
      </c>
      <c r="U252" s="122">
        <v>44124.720833333333</v>
      </c>
      <c r="V252" s="1" t="s">
        <v>192</v>
      </c>
      <c r="W252" s="1" t="s">
        <v>21</v>
      </c>
      <c r="X252" s="1" t="s">
        <v>193</v>
      </c>
      <c r="Z252" s="1" t="s">
        <v>4</v>
      </c>
      <c r="AA252" s="1">
        <v>39163</v>
      </c>
      <c r="AB252" s="1">
        <v>500</v>
      </c>
      <c r="AC252" s="1">
        <v>2300</v>
      </c>
      <c r="AD252" s="122">
        <v>45961.520833333336</v>
      </c>
      <c r="AE252" s="122">
        <v>45961.520833333336</v>
      </c>
      <c r="AF252" s="122">
        <v>45961.466666666667</v>
      </c>
      <c r="AG252" s="1">
        <v>2300</v>
      </c>
      <c r="AH252" s="1">
        <v>0</v>
      </c>
      <c r="AI252" s="1" t="s">
        <v>195</v>
      </c>
      <c r="AJ252" s="122">
        <v>45961.445833333331</v>
      </c>
      <c r="AK252" s="122">
        <v>45961.445833333331</v>
      </c>
      <c r="AL252" s="1" t="s">
        <v>212</v>
      </c>
      <c r="AO252" s="1" t="s">
        <v>113</v>
      </c>
      <c r="AP252" s="1" t="s">
        <v>2064</v>
      </c>
      <c r="AQ252" s="122">
        <v>45961.467361111114</v>
      </c>
      <c r="AR252" s="1">
        <v>439.66</v>
      </c>
      <c r="AS252" s="1">
        <v>2112.9899999999998</v>
      </c>
      <c r="AT252" s="1" t="s">
        <v>198</v>
      </c>
      <c r="AW252" s="1">
        <v>2553</v>
      </c>
      <c r="AX252" s="1" t="s">
        <v>1732</v>
      </c>
      <c r="AY252" s="1" t="s">
        <v>1733</v>
      </c>
      <c r="AZ252" s="1" t="s">
        <v>918</v>
      </c>
      <c r="BA252" s="1" t="s">
        <v>180</v>
      </c>
      <c r="BB252" s="1">
        <v>530051</v>
      </c>
      <c r="BE252" s="1" t="s">
        <v>1734</v>
      </c>
      <c r="BF252" s="122">
        <v>45961.433333333334</v>
      </c>
    </row>
    <row r="253" spans="1:58">
      <c r="A253" s="1">
        <v>246</v>
      </c>
      <c r="B253" s="1" t="s">
        <v>179</v>
      </c>
      <c r="C253" s="1" t="s">
        <v>180</v>
      </c>
      <c r="D253" s="1" t="s">
        <v>181</v>
      </c>
      <c r="E253" s="1" t="s">
        <v>2065</v>
      </c>
      <c r="F253" s="122">
        <v>45961.439583333333</v>
      </c>
      <c r="G253" s="1" t="s">
        <v>244</v>
      </c>
      <c r="I253" s="1" t="s">
        <v>2046</v>
      </c>
      <c r="K253" s="1" t="s">
        <v>2047</v>
      </c>
      <c r="N253" s="1" t="s">
        <v>2048</v>
      </c>
      <c r="O253" s="1">
        <v>232123</v>
      </c>
      <c r="P253" s="1">
        <v>5822203</v>
      </c>
      <c r="Q253" s="1" t="s">
        <v>271</v>
      </c>
      <c r="R253" s="1" t="s">
        <v>1846</v>
      </c>
      <c r="S253" s="1" t="s">
        <v>687</v>
      </c>
      <c r="T253" s="1" t="s">
        <v>454</v>
      </c>
      <c r="U253" s="122">
        <v>43630.734722222223</v>
      </c>
      <c r="V253" s="1" t="s">
        <v>192</v>
      </c>
      <c r="W253" s="1" t="s">
        <v>19</v>
      </c>
      <c r="X253" s="1" t="s">
        <v>193</v>
      </c>
      <c r="Z253" s="1" t="s">
        <v>4</v>
      </c>
      <c r="AA253" s="1">
        <v>82419</v>
      </c>
      <c r="AB253" s="1">
        <v>4500</v>
      </c>
      <c r="AC253" s="1">
        <v>1000</v>
      </c>
      <c r="AD253" s="122">
        <v>45961.8125</v>
      </c>
      <c r="AE253" s="122">
        <v>45961.8125</v>
      </c>
      <c r="AF253" s="122">
        <v>45961.76666666667</v>
      </c>
      <c r="AG253" s="1">
        <v>1000</v>
      </c>
      <c r="AH253" s="1">
        <v>4500</v>
      </c>
      <c r="AI253" s="1" t="s">
        <v>195</v>
      </c>
      <c r="AL253" s="1" t="s">
        <v>196</v>
      </c>
      <c r="AO253" s="1" t="s">
        <v>113</v>
      </c>
      <c r="AP253" s="1" t="s">
        <v>2066</v>
      </c>
      <c r="AQ253" s="122">
        <v>45961.76666666667</v>
      </c>
      <c r="AR253" s="1">
        <v>4744.78</v>
      </c>
      <c r="AS253" s="1">
        <v>0</v>
      </c>
      <c r="AT253" s="1" t="s">
        <v>198</v>
      </c>
      <c r="AU253" s="121">
        <v>45961</v>
      </c>
      <c r="AW253" s="1">
        <v>4745</v>
      </c>
      <c r="AX253" s="1" t="s">
        <v>2050</v>
      </c>
      <c r="AY253" s="1" t="s">
        <v>1491</v>
      </c>
      <c r="AZ253" s="1" t="s">
        <v>2051</v>
      </c>
      <c r="BA253" s="1" t="s">
        <v>180</v>
      </c>
      <c r="BB253" s="1">
        <v>533102</v>
      </c>
      <c r="BE253" s="1" t="s">
        <v>2052</v>
      </c>
      <c r="BF253" s="122">
        <v>45961.42291666667</v>
      </c>
    </row>
    <row r="254" spans="1:58">
      <c r="A254" s="1">
        <v>247</v>
      </c>
      <c r="B254" s="1" t="s">
        <v>179</v>
      </c>
      <c r="C254" s="1" t="s">
        <v>180</v>
      </c>
      <c r="D254" s="1" t="s">
        <v>181</v>
      </c>
      <c r="E254" s="1" t="s">
        <v>2067</v>
      </c>
      <c r="F254" s="122">
        <v>45961.449305555558</v>
      </c>
      <c r="G254" s="1" t="s">
        <v>218</v>
      </c>
      <c r="I254" s="1" t="s">
        <v>2068</v>
      </c>
      <c r="K254" s="1" t="s">
        <v>2069</v>
      </c>
      <c r="M254" s="1" t="s">
        <v>408</v>
      </c>
      <c r="N254" s="1" t="s">
        <v>2070</v>
      </c>
      <c r="O254" s="1">
        <v>777811</v>
      </c>
      <c r="P254" s="1">
        <v>7654371</v>
      </c>
      <c r="Q254" s="1" t="s">
        <v>303</v>
      </c>
      <c r="R254" s="1" t="s">
        <v>1762</v>
      </c>
      <c r="S254" s="1" t="s">
        <v>250</v>
      </c>
      <c r="T254" s="1" t="s">
        <v>191</v>
      </c>
      <c r="U254" s="122">
        <v>44487.776388888888</v>
      </c>
      <c r="V254" s="1" t="s">
        <v>192</v>
      </c>
      <c r="W254" s="1" t="s">
        <v>19</v>
      </c>
      <c r="X254" s="1" t="s">
        <v>193</v>
      </c>
      <c r="Z254" s="1" t="s">
        <v>3</v>
      </c>
      <c r="AA254" s="1">
        <v>37733</v>
      </c>
      <c r="AB254" s="1">
        <v>2500</v>
      </c>
      <c r="AC254" s="1">
        <v>5000</v>
      </c>
      <c r="AD254" s="122">
        <v>45961.6875</v>
      </c>
      <c r="AE254" s="122">
        <v>45961.6875</v>
      </c>
      <c r="AF254" s="122">
        <v>45961.637499999997</v>
      </c>
      <c r="AG254" s="1">
        <v>5000</v>
      </c>
      <c r="AH254" s="1">
        <v>2500</v>
      </c>
      <c r="AI254" s="1" t="s">
        <v>195</v>
      </c>
      <c r="AL254" s="1" t="s">
        <v>196</v>
      </c>
      <c r="AO254" s="1" t="s">
        <v>113</v>
      </c>
      <c r="AP254" s="1" t="s">
        <v>2071</v>
      </c>
      <c r="AQ254" s="122">
        <v>45961.638194444444</v>
      </c>
      <c r="AR254" s="1">
        <v>3681.02</v>
      </c>
      <c r="AS254" s="1">
        <v>4133.18</v>
      </c>
      <c r="AT254" s="1" t="s">
        <v>198</v>
      </c>
      <c r="AW254" s="1">
        <v>7814</v>
      </c>
      <c r="AX254" s="1" t="s">
        <v>2072</v>
      </c>
      <c r="AY254" s="1" t="s">
        <v>2073</v>
      </c>
      <c r="AZ254" s="1" t="s">
        <v>772</v>
      </c>
      <c r="BA254" s="1" t="s">
        <v>180</v>
      </c>
      <c r="BB254" s="1">
        <v>530024</v>
      </c>
      <c r="BF254" s="122">
        <v>45961.443055555559</v>
      </c>
    </row>
    <row r="255" spans="1:58">
      <c r="A255" s="1">
        <v>248</v>
      </c>
      <c r="B255" s="1" t="s">
        <v>179</v>
      </c>
      <c r="C255" s="1" t="s">
        <v>180</v>
      </c>
      <c r="D255" s="1" t="s">
        <v>181</v>
      </c>
      <c r="E255" s="1" t="s">
        <v>2074</v>
      </c>
      <c r="F255" s="122">
        <v>45961.375</v>
      </c>
      <c r="G255" s="1" t="s">
        <v>218</v>
      </c>
      <c r="I255" s="1" t="s">
        <v>2004</v>
      </c>
      <c r="K255" s="1" t="s">
        <v>2005</v>
      </c>
      <c r="M255" s="1" t="s">
        <v>233</v>
      </c>
      <c r="N255" s="1" t="s">
        <v>2006</v>
      </c>
      <c r="O255" s="1">
        <v>329491</v>
      </c>
      <c r="P255" s="1">
        <v>3300607</v>
      </c>
      <c r="Q255" s="1" t="s">
        <v>780</v>
      </c>
      <c r="R255" s="1" t="s">
        <v>1249</v>
      </c>
      <c r="S255" s="1" t="s">
        <v>1250</v>
      </c>
      <c r="T255" s="1" t="s">
        <v>454</v>
      </c>
      <c r="U255" s="122">
        <v>43249.732638888891</v>
      </c>
      <c r="V255" s="1" t="s">
        <v>192</v>
      </c>
      <c r="W255" s="1" t="s">
        <v>21</v>
      </c>
      <c r="X255" s="1" t="s">
        <v>193</v>
      </c>
      <c r="Z255" s="1" t="s">
        <v>3</v>
      </c>
      <c r="AA255" s="1">
        <v>147652</v>
      </c>
      <c r="AB255" s="1">
        <v>2500</v>
      </c>
      <c r="AC255" s="1">
        <v>3500</v>
      </c>
      <c r="AD255" s="122">
        <v>45961.604166666664</v>
      </c>
      <c r="AE255" s="122">
        <v>45961.6875</v>
      </c>
      <c r="AF255" s="122">
        <v>45961.515972222223</v>
      </c>
      <c r="AG255" s="1">
        <v>2959</v>
      </c>
      <c r="AH255" s="1">
        <v>3155</v>
      </c>
      <c r="AI255" s="1" t="s">
        <v>195</v>
      </c>
      <c r="AJ255" s="122">
        <v>45961.447222222225</v>
      </c>
      <c r="AK255" s="122">
        <v>45961.448611111111</v>
      </c>
      <c r="AL255" s="1" t="s">
        <v>212</v>
      </c>
      <c r="AO255" s="1" t="s">
        <v>113</v>
      </c>
      <c r="AP255" s="1" t="s">
        <v>2075</v>
      </c>
      <c r="AQ255" s="122">
        <v>45961.51666666667</v>
      </c>
      <c r="AR255" s="1">
        <v>1486.8</v>
      </c>
      <c r="AS255" s="1">
        <v>2806.13</v>
      </c>
      <c r="AT255" s="1" t="s">
        <v>198</v>
      </c>
      <c r="AW255" s="1">
        <v>4293</v>
      </c>
      <c r="AX255" s="1" t="s">
        <v>2008</v>
      </c>
      <c r="AY255" s="1" t="s">
        <v>2009</v>
      </c>
      <c r="AZ255" s="1" t="s">
        <v>899</v>
      </c>
      <c r="BA255" s="1" t="s">
        <v>180</v>
      </c>
      <c r="BB255" s="1">
        <v>530045</v>
      </c>
      <c r="BE255" s="1" t="s">
        <v>1734</v>
      </c>
      <c r="BF255" s="122">
        <v>45961.372916666667</v>
      </c>
    </row>
    <row r="256" spans="1:58">
      <c r="A256" s="1">
        <v>249</v>
      </c>
      <c r="B256" s="1" t="s">
        <v>179</v>
      </c>
      <c r="C256" s="1" t="s">
        <v>180</v>
      </c>
      <c r="D256" s="1" t="s">
        <v>181</v>
      </c>
      <c r="E256" s="1" t="s">
        <v>2076</v>
      </c>
      <c r="F256" s="122">
        <v>45961.381249999999</v>
      </c>
      <c r="G256" s="1" t="s">
        <v>244</v>
      </c>
      <c r="H256" s="1" t="s">
        <v>2077</v>
      </c>
      <c r="I256" s="1" t="s">
        <v>566</v>
      </c>
      <c r="K256" s="1" t="s">
        <v>567</v>
      </c>
      <c r="M256" s="1" t="s">
        <v>206</v>
      </c>
      <c r="N256" s="1" t="s">
        <v>568</v>
      </c>
      <c r="O256" s="1">
        <v>305743</v>
      </c>
      <c r="P256" s="1">
        <v>8376490</v>
      </c>
      <c r="Q256" s="1" t="s">
        <v>260</v>
      </c>
      <c r="R256" s="1" t="s">
        <v>569</v>
      </c>
      <c r="S256" s="1" t="s">
        <v>329</v>
      </c>
      <c r="T256" s="1" t="s">
        <v>191</v>
      </c>
      <c r="U256" s="122">
        <v>44005.486111111109</v>
      </c>
      <c r="V256" s="1" t="s">
        <v>192</v>
      </c>
      <c r="W256" s="1" t="s">
        <v>19</v>
      </c>
      <c r="X256" s="1" t="s">
        <v>193</v>
      </c>
      <c r="Z256" s="1" t="s">
        <v>4</v>
      </c>
      <c r="AA256" s="1">
        <v>105635</v>
      </c>
      <c r="AB256" s="1">
        <v>1000</v>
      </c>
      <c r="AC256" s="1">
        <v>5500</v>
      </c>
      <c r="AD256" s="122">
        <v>45961.770833333336</v>
      </c>
      <c r="AE256" s="122">
        <v>45961.770833333336</v>
      </c>
      <c r="AF256" s="122">
        <v>45961.627083333333</v>
      </c>
      <c r="AG256" s="1">
        <v>5500</v>
      </c>
      <c r="AH256" s="1">
        <v>1000</v>
      </c>
      <c r="AI256" s="1" t="s">
        <v>195</v>
      </c>
      <c r="AL256" s="1" t="s">
        <v>196</v>
      </c>
      <c r="AO256" s="1" t="s">
        <v>113</v>
      </c>
      <c r="AP256" s="1" t="s">
        <v>2078</v>
      </c>
      <c r="AQ256" s="122">
        <v>45961.715277777781</v>
      </c>
      <c r="AR256" s="1">
        <v>3470.7</v>
      </c>
      <c r="AS256" s="1">
        <v>5783.36</v>
      </c>
      <c r="AT256" s="1" t="s">
        <v>198</v>
      </c>
      <c r="AU256" s="121">
        <v>45961</v>
      </c>
      <c r="AW256" s="1">
        <v>9254</v>
      </c>
      <c r="AX256" s="1" t="s">
        <v>571</v>
      </c>
      <c r="AY256" s="1" t="s">
        <v>572</v>
      </c>
      <c r="AZ256" s="1" t="s">
        <v>573</v>
      </c>
      <c r="BA256" s="1" t="s">
        <v>180</v>
      </c>
      <c r="BB256" s="1">
        <v>530045</v>
      </c>
      <c r="BE256" s="1" t="s">
        <v>574</v>
      </c>
      <c r="BF256" s="122">
        <v>45961.37777777778</v>
      </c>
    </row>
    <row r="257" spans="1:58">
      <c r="A257" s="1">
        <v>250</v>
      </c>
      <c r="B257" s="1" t="s">
        <v>179</v>
      </c>
      <c r="C257" s="1" t="s">
        <v>180</v>
      </c>
      <c r="D257" s="1" t="s">
        <v>181</v>
      </c>
      <c r="E257" s="1" t="s">
        <v>2079</v>
      </c>
      <c r="F257" s="122">
        <v>45961.47152777778</v>
      </c>
      <c r="G257" s="1" t="s">
        <v>533</v>
      </c>
      <c r="I257" s="1" t="s">
        <v>596</v>
      </c>
      <c r="K257" s="1" t="s">
        <v>597</v>
      </c>
      <c r="N257" s="1" t="s">
        <v>598</v>
      </c>
      <c r="O257" s="1">
        <v>330940</v>
      </c>
      <c r="P257" s="1">
        <v>784544</v>
      </c>
      <c r="Q257" s="1" t="s">
        <v>599</v>
      </c>
      <c r="R257" s="1" t="s">
        <v>600</v>
      </c>
      <c r="S257" s="1" t="s">
        <v>601</v>
      </c>
      <c r="T257" s="1" t="s">
        <v>191</v>
      </c>
      <c r="U257" s="122">
        <v>43477.583333333336</v>
      </c>
      <c r="V257" s="1" t="s">
        <v>192</v>
      </c>
      <c r="W257" s="1" t="s">
        <v>20</v>
      </c>
      <c r="X257" s="1" t="s">
        <v>193</v>
      </c>
      <c r="Z257" s="1" t="s">
        <v>538</v>
      </c>
      <c r="AA257" s="1">
        <v>81484</v>
      </c>
      <c r="AB257" s="1">
        <v>0</v>
      </c>
      <c r="AC257" s="1">
        <v>0</v>
      </c>
      <c r="AD257" s="122">
        <v>45961.770833333336</v>
      </c>
      <c r="AE257" s="122">
        <v>45961.770833333336</v>
      </c>
      <c r="AF257" s="122">
        <v>45961.521527777775</v>
      </c>
      <c r="AG257" s="1">
        <v>0</v>
      </c>
      <c r="AH257" s="1">
        <v>0</v>
      </c>
      <c r="AI257" s="1" t="s">
        <v>195</v>
      </c>
      <c r="AJ257" s="122">
        <v>45961.472916666666</v>
      </c>
      <c r="AL257" s="1" t="s">
        <v>196</v>
      </c>
      <c r="AO257" s="1" t="s">
        <v>113</v>
      </c>
      <c r="AP257" s="1" t="s">
        <v>2080</v>
      </c>
      <c r="AQ257" s="122">
        <v>45961.522222222222</v>
      </c>
      <c r="AR257" s="1">
        <v>0</v>
      </c>
      <c r="AS257" s="1">
        <v>0</v>
      </c>
      <c r="AT257" s="1" t="s">
        <v>198</v>
      </c>
      <c r="AW257" s="1">
        <v>0</v>
      </c>
      <c r="AX257" s="1" t="s">
        <v>604</v>
      </c>
      <c r="AY257" s="1" t="s">
        <v>605</v>
      </c>
      <c r="BA257" s="1" t="s">
        <v>180</v>
      </c>
      <c r="BB257" s="1">
        <v>530003</v>
      </c>
      <c r="BE257" s="1" t="s">
        <v>606</v>
      </c>
      <c r="BF257" s="122">
        <v>45961.469444444447</v>
      </c>
    </row>
    <row r="258" spans="1:58">
      <c r="A258" s="1">
        <v>251</v>
      </c>
      <c r="B258" s="1" t="s">
        <v>179</v>
      </c>
      <c r="C258" s="1" t="s">
        <v>180</v>
      </c>
      <c r="D258" s="1" t="s">
        <v>181</v>
      </c>
      <c r="E258" s="1" t="s">
        <v>2081</v>
      </c>
      <c r="F258" s="122">
        <v>45961.386805555558</v>
      </c>
      <c r="G258" s="1" t="s">
        <v>203</v>
      </c>
      <c r="I258" s="1" t="s">
        <v>2082</v>
      </c>
      <c r="K258" s="1" t="s">
        <v>2083</v>
      </c>
      <c r="M258" s="1" t="s">
        <v>186</v>
      </c>
      <c r="N258" s="1" t="s">
        <v>2084</v>
      </c>
      <c r="O258" s="1">
        <v>750998</v>
      </c>
      <c r="P258" s="1">
        <v>4465949</v>
      </c>
      <c r="Q258" s="1" t="s">
        <v>283</v>
      </c>
      <c r="R258" s="1" t="s">
        <v>465</v>
      </c>
      <c r="S258" s="1" t="s">
        <v>368</v>
      </c>
      <c r="T258" s="1" t="s">
        <v>191</v>
      </c>
      <c r="U258" s="122">
        <v>45650.682638888888</v>
      </c>
      <c r="V258" s="1" t="s">
        <v>192</v>
      </c>
      <c r="W258" s="1" t="s">
        <v>21</v>
      </c>
      <c r="X258" s="1" t="s">
        <v>226</v>
      </c>
      <c r="Z258" s="1" t="s">
        <v>211</v>
      </c>
      <c r="AA258" s="1">
        <v>10724</v>
      </c>
      <c r="AB258" s="1">
        <v>0</v>
      </c>
      <c r="AC258" s="1">
        <v>0</v>
      </c>
      <c r="AD258" s="122">
        <v>45961.645833333336</v>
      </c>
      <c r="AE258" s="122">
        <v>45961.6875</v>
      </c>
      <c r="AF258" s="122">
        <v>45961.527083333334</v>
      </c>
      <c r="AG258" s="1">
        <v>1886</v>
      </c>
      <c r="AH258" s="1">
        <v>0</v>
      </c>
      <c r="AI258" s="1" t="s">
        <v>195</v>
      </c>
      <c r="AJ258" s="122">
        <v>45961.449305555558</v>
      </c>
      <c r="AK258" s="122">
        <v>45961.45</v>
      </c>
      <c r="AL258" s="1" t="s">
        <v>212</v>
      </c>
      <c r="AO258" s="1" t="s">
        <v>113</v>
      </c>
      <c r="AP258" s="1" t="s">
        <v>2085</v>
      </c>
      <c r="AQ258" s="122">
        <v>45961.527777777781</v>
      </c>
      <c r="AR258" s="1">
        <v>0</v>
      </c>
      <c r="AS258" s="1">
        <v>0</v>
      </c>
      <c r="AT258" s="1" t="s">
        <v>198</v>
      </c>
      <c r="AW258" s="1">
        <v>-6</v>
      </c>
      <c r="AX258" s="1" t="s">
        <v>2086</v>
      </c>
      <c r="AY258" s="1" t="s">
        <v>2087</v>
      </c>
      <c r="AZ258" s="1" t="s">
        <v>899</v>
      </c>
      <c r="BA258" s="1" t="s">
        <v>180</v>
      </c>
      <c r="BB258" s="1">
        <v>535003</v>
      </c>
      <c r="BE258" s="1" t="s">
        <v>2023</v>
      </c>
      <c r="BF258" s="122">
        <v>45961.375694444447</v>
      </c>
    </row>
    <row r="259" spans="1:58">
      <c r="A259" s="1">
        <v>252</v>
      </c>
      <c r="B259" s="1" t="s">
        <v>179</v>
      </c>
      <c r="C259" s="1" t="s">
        <v>180</v>
      </c>
      <c r="D259" s="1" t="s">
        <v>181</v>
      </c>
      <c r="E259" s="1" t="s">
        <v>2081</v>
      </c>
      <c r="F259" s="122">
        <v>45961.386805555558</v>
      </c>
      <c r="G259" s="1" t="s">
        <v>203</v>
      </c>
      <c r="I259" s="1" t="s">
        <v>2082</v>
      </c>
      <c r="K259" s="1" t="s">
        <v>2083</v>
      </c>
      <c r="M259" s="1" t="s">
        <v>186</v>
      </c>
      <c r="N259" s="1" t="s">
        <v>2084</v>
      </c>
      <c r="O259" s="1">
        <v>750998</v>
      </c>
      <c r="P259" s="1">
        <v>4465949</v>
      </c>
      <c r="Q259" s="1" t="s">
        <v>283</v>
      </c>
      <c r="R259" s="1" t="s">
        <v>465</v>
      </c>
      <c r="S259" s="1" t="s">
        <v>368</v>
      </c>
      <c r="T259" s="1" t="s">
        <v>191</v>
      </c>
      <c r="U259" s="122">
        <v>45650.682638888888</v>
      </c>
      <c r="V259" s="1" t="s">
        <v>192</v>
      </c>
      <c r="W259" s="1" t="s">
        <v>21</v>
      </c>
      <c r="X259" s="1" t="s">
        <v>226</v>
      </c>
      <c r="Z259" s="1" t="s">
        <v>211</v>
      </c>
      <c r="AA259" s="1">
        <v>10724</v>
      </c>
      <c r="AB259" s="1">
        <v>0</v>
      </c>
      <c r="AC259" s="1">
        <v>0</v>
      </c>
      <c r="AD259" s="122">
        <v>45961.645833333336</v>
      </c>
      <c r="AE259" s="122">
        <v>45961.6875</v>
      </c>
      <c r="AF259" s="122">
        <v>45961.527083333334</v>
      </c>
      <c r="AG259" s="1">
        <v>1886</v>
      </c>
      <c r="AH259" s="1">
        <v>0</v>
      </c>
      <c r="AI259" s="1" t="s">
        <v>195</v>
      </c>
      <c r="AJ259" s="122">
        <v>45961.449305555558</v>
      </c>
      <c r="AK259" s="122">
        <v>45961.45</v>
      </c>
      <c r="AL259" s="1" t="s">
        <v>212</v>
      </c>
      <c r="AO259" s="1" t="s">
        <v>113</v>
      </c>
      <c r="AP259" s="1" t="s">
        <v>2088</v>
      </c>
      <c r="AQ259" s="122">
        <v>45961.527777777781</v>
      </c>
      <c r="AR259" s="1">
        <v>0</v>
      </c>
      <c r="AS259" s="1">
        <v>1760.36</v>
      </c>
      <c r="AT259" s="1" t="s">
        <v>198</v>
      </c>
      <c r="AW259" s="1">
        <v>1760</v>
      </c>
      <c r="AX259" s="1" t="s">
        <v>2086</v>
      </c>
      <c r="AY259" s="1" t="s">
        <v>2087</v>
      </c>
      <c r="AZ259" s="1" t="s">
        <v>899</v>
      </c>
      <c r="BA259" s="1" t="s">
        <v>180</v>
      </c>
      <c r="BB259" s="1">
        <v>535003</v>
      </c>
      <c r="BE259" s="1" t="s">
        <v>2023</v>
      </c>
      <c r="BF259" s="122">
        <v>45961.375694444447</v>
      </c>
    </row>
    <row r="260" spans="1:58">
      <c r="A260" s="1">
        <v>253</v>
      </c>
      <c r="B260" s="1" t="s">
        <v>179</v>
      </c>
      <c r="C260" s="1" t="s">
        <v>180</v>
      </c>
      <c r="D260" s="1" t="s">
        <v>181</v>
      </c>
      <c r="E260" s="1" t="s">
        <v>2089</v>
      </c>
      <c r="F260" s="122">
        <v>45961.406944444447</v>
      </c>
      <c r="G260" s="1" t="s">
        <v>218</v>
      </c>
      <c r="I260" s="1" t="s">
        <v>703</v>
      </c>
      <c r="K260" s="1" t="s">
        <v>2016</v>
      </c>
      <c r="M260" s="1" t="s">
        <v>206</v>
      </c>
      <c r="N260" s="1" t="s">
        <v>2017</v>
      </c>
      <c r="O260" s="1">
        <v>704954</v>
      </c>
      <c r="P260" s="1">
        <v>1436997</v>
      </c>
      <c r="Q260" s="1" t="s">
        <v>315</v>
      </c>
      <c r="R260" s="1" t="s">
        <v>2018</v>
      </c>
      <c r="S260" s="1" t="s">
        <v>505</v>
      </c>
      <c r="T260" s="1" t="s">
        <v>191</v>
      </c>
      <c r="U260" s="122">
        <v>41850.688194444447</v>
      </c>
      <c r="V260" s="1" t="s">
        <v>192</v>
      </c>
      <c r="W260" s="1" t="s">
        <v>21</v>
      </c>
      <c r="X260" s="1" t="s">
        <v>193</v>
      </c>
      <c r="Z260" s="1" t="s">
        <v>3</v>
      </c>
      <c r="AA260" s="1">
        <v>85557</v>
      </c>
      <c r="AB260" s="1">
        <v>2190</v>
      </c>
      <c r="AC260" s="1">
        <v>3500</v>
      </c>
      <c r="AD260" s="122">
        <v>45961.6875</v>
      </c>
      <c r="AE260" s="122">
        <v>45961.729166666664</v>
      </c>
      <c r="AF260" s="122">
        <v>45961.770833333336</v>
      </c>
      <c r="AG260" s="1">
        <v>4208.2</v>
      </c>
      <c r="AH260" s="1">
        <v>2190</v>
      </c>
      <c r="AI260" s="1" t="s">
        <v>195</v>
      </c>
      <c r="AJ260" s="122">
        <v>45961.452777777777</v>
      </c>
      <c r="AK260" s="122">
        <v>45961.453472222223</v>
      </c>
      <c r="AL260" s="1" t="s">
        <v>212</v>
      </c>
      <c r="AO260" s="1" t="s">
        <v>113</v>
      </c>
      <c r="AP260" s="1" t="s">
        <v>2090</v>
      </c>
      <c r="AQ260" s="122">
        <v>45961.775000000001</v>
      </c>
      <c r="AR260" s="1">
        <v>1477.96</v>
      </c>
      <c r="AS260" s="1">
        <v>11107.56</v>
      </c>
      <c r="AT260" s="1" t="s">
        <v>198</v>
      </c>
      <c r="AW260" s="1">
        <v>12586</v>
      </c>
      <c r="AX260" s="1" t="s">
        <v>2020</v>
      </c>
      <c r="AY260" s="1" t="s">
        <v>2021</v>
      </c>
      <c r="AZ260" s="1" t="s">
        <v>2022</v>
      </c>
      <c r="BA260" s="1" t="s">
        <v>180</v>
      </c>
      <c r="BB260" s="1">
        <v>530003</v>
      </c>
      <c r="BE260" s="1" t="s">
        <v>2023</v>
      </c>
      <c r="BF260" s="122">
        <v>45961.397222222222</v>
      </c>
    </row>
    <row r="261" spans="1:58">
      <c r="A261" s="1">
        <v>254</v>
      </c>
      <c r="B261" s="1" t="s">
        <v>179</v>
      </c>
      <c r="C261" s="1" t="s">
        <v>180</v>
      </c>
      <c r="D261" s="1" t="s">
        <v>181</v>
      </c>
      <c r="E261" s="1" t="s">
        <v>2091</v>
      </c>
      <c r="F261" s="122">
        <v>45961.648611111108</v>
      </c>
      <c r="G261" s="1" t="s">
        <v>218</v>
      </c>
      <c r="I261" s="1" t="s">
        <v>994</v>
      </c>
      <c r="K261" s="1" t="s">
        <v>995</v>
      </c>
      <c r="M261" s="1" t="s">
        <v>206</v>
      </c>
      <c r="N261" s="1" t="s">
        <v>996</v>
      </c>
      <c r="O261" s="1">
        <v>150389</v>
      </c>
      <c r="P261" s="1">
        <v>1855686</v>
      </c>
      <c r="Q261" s="1" t="s">
        <v>235</v>
      </c>
      <c r="R261" s="1" t="s">
        <v>997</v>
      </c>
      <c r="S261" s="1" t="s">
        <v>808</v>
      </c>
      <c r="T261" s="1" t="s">
        <v>454</v>
      </c>
      <c r="U261" s="122">
        <v>41029.870138888888</v>
      </c>
      <c r="V261" s="1" t="s">
        <v>192</v>
      </c>
      <c r="W261" s="1" t="s">
        <v>19</v>
      </c>
      <c r="X261" s="1" t="s">
        <v>193</v>
      </c>
      <c r="Z261" s="1" t="s">
        <v>3</v>
      </c>
      <c r="AA261" s="1">
        <v>146298</v>
      </c>
      <c r="AB261" s="1">
        <v>2000</v>
      </c>
      <c r="AC261" s="1">
        <v>2500</v>
      </c>
      <c r="AD261" s="122">
        <v>45961.770833333336</v>
      </c>
      <c r="AE261" s="122">
        <v>45961.770833333336</v>
      </c>
      <c r="AF261" s="122">
        <v>45961.747916666667</v>
      </c>
      <c r="AG261" s="1">
        <v>2500</v>
      </c>
      <c r="AH261" s="1">
        <v>2000</v>
      </c>
      <c r="AI261" s="1" t="s">
        <v>195</v>
      </c>
      <c r="AL261" s="1" t="s">
        <v>196</v>
      </c>
      <c r="AO261" s="1" t="s">
        <v>113</v>
      </c>
      <c r="AP261" s="1" t="s">
        <v>2092</v>
      </c>
      <c r="AQ261" s="122">
        <v>45961.747916666667</v>
      </c>
      <c r="AR261" s="1">
        <v>1585.92</v>
      </c>
      <c r="AS261" s="1">
        <v>3406.6</v>
      </c>
      <c r="AT261" s="1" t="s">
        <v>198</v>
      </c>
      <c r="AU261" s="121">
        <v>45961</v>
      </c>
      <c r="AW261" s="1">
        <v>4993</v>
      </c>
      <c r="AX261" s="1" t="s">
        <v>999</v>
      </c>
      <c r="AY261" s="1" t="s">
        <v>1000</v>
      </c>
      <c r="AZ261" s="1" t="s">
        <v>478</v>
      </c>
      <c r="BA261" s="1" t="s">
        <v>180</v>
      </c>
      <c r="BB261" s="1">
        <v>530045</v>
      </c>
      <c r="BF261" s="122">
        <v>45961.630555555559</v>
      </c>
    </row>
    <row r="262" spans="1:58">
      <c r="A262" s="1">
        <v>255</v>
      </c>
      <c r="B262" s="1" t="s">
        <v>179</v>
      </c>
      <c r="C262" s="1" t="s">
        <v>180</v>
      </c>
      <c r="D262" s="1" t="s">
        <v>181</v>
      </c>
      <c r="E262" s="1" t="s">
        <v>2093</v>
      </c>
      <c r="F262" s="122">
        <v>45959.602083333331</v>
      </c>
      <c r="G262" s="1" t="s">
        <v>533</v>
      </c>
      <c r="I262" s="1" t="s">
        <v>2094</v>
      </c>
      <c r="K262" s="1" t="s">
        <v>2095</v>
      </c>
      <c r="M262" s="1" t="s">
        <v>206</v>
      </c>
      <c r="N262" s="1" t="s">
        <v>2096</v>
      </c>
      <c r="O262" s="1">
        <v>624833</v>
      </c>
      <c r="P262" s="1">
        <v>7738488</v>
      </c>
      <c r="Q262" s="1" t="s">
        <v>655</v>
      </c>
      <c r="R262" s="1" t="s">
        <v>820</v>
      </c>
      <c r="S262" s="1" t="s">
        <v>357</v>
      </c>
      <c r="T262" s="1" t="s">
        <v>191</v>
      </c>
      <c r="U262" s="122">
        <v>45818.772222222222</v>
      </c>
      <c r="V262" s="1" t="s">
        <v>558</v>
      </c>
      <c r="W262" s="1" t="s">
        <v>20</v>
      </c>
      <c r="X262" s="1" t="s">
        <v>559</v>
      </c>
      <c r="Z262" s="1" t="s">
        <v>538</v>
      </c>
      <c r="AA262" s="1">
        <v>13516</v>
      </c>
      <c r="AB262" s="1">
        <v>0</v>
      </c>
      <c r="AC262" s="1">
        <v>0</v>
      </c>
      <c r="AD262" s="122">
        <v>45961.768750000003</v>
      </c>
      <c r="AE262" s="122">
        <v>45961.768750000003</v>
      </c>
      <c r="AF262" s="122">
        <v>45961.709027777775</v>
      </c>
      <c r="AG262" s="1">
        <v>0</v>
      </c>
      <c r="AH262" s="1">
        <v>0</v>
      </c>
      <c r="AI262" s="1" t="s">
        <v>195</v>
      </c>
      <c r="AJ262" s="122">
        <v>45960.44027777778</v>
      </c>
      <c r="AL262" s="1" t="s">
        <v>196</v>
      </c>
      <c r="AO262" s="1" t="s">
        <v>113</v>
      </c>
      <c r="AP262" s="1" t="s">
        <v>2097</v>
      </c>
      <c r="AQ262" s="122">
        <v>45961.709722222222</v>
      </c>
      <c r="AR262" s="1">
        <v>0</v>
      </c>
      <c r="AS262" s="1">
        <v>0</v>
      </c>
      <c r="AT262" s="1" t="s">
        <v>198</v>
      </c>
      <c r="AW262" s="1">
        <v>0</v>
      </c>
      <c r="AX262" s="1" t="s">
        <v>2098</v>
      </c>
      <c r="AY262" s="1" t="s">
        <v>2099</v>
      </c>
      <c r="AZ262" s="1" t="s">
        <v>2100</v>
      </c>
      <c r="BA262" s="1" t="s">
        <v>180</v>
      </c>
      <c r="BB262" s="1">
        <v>530016</v>
      </c>
      <c r="BF262" s="122">
        <v>45959.600694444445</v>
      </c>
    </row>
    <row r="263" spans="1:58">
      <c r="A263" s="1">
        <v>256</v>
      </c>
      <c r="B263" s="1" t="s">
        <v>179</v>
      </c>
      <c r="C263" s="1" t="s">
        <v>180</v>
      </c>
      <c r="D263" s="1" t="s">
        <v>181</v>
      </c>
      <c r="E263" s="1" t="s">
        <v>2093</v>
      </c>
      <c r="F263" s="122">
        <v>45959.602083333331</v>
      </c>
      <c r="G263" s="1" t="s">
        <v>533</v>
      </c>
      <c r="I263" s="1" t="s">
        <v>2094</v>
      </c>
      <c r="K263" s="1" t="s">
        <v>2095</v>
      </c>
      <c r="M263" s="1" t="s">
        <v>206</v>
      </c>
      <c r="N263" s="1" t="s">
        <v>2096</v>
      </c>
      <c r="O263" s="1">
        <v>624833</v>
      </c>
      <c r="P263" s="1">
        <v>7738488</v>
      </c>
      <c r="Q263" s="1" t="s">
        <v>655</v>
      </c>
      <c r="R263" s="1" t="s">
        <v>820</v>
      </c>
      <c r="S263" s="1" t="s">
        <v>357</v>
      </c>
      <c r="T263" s="1" t="s">
        <v>191</v>
      </c>
      <c r="U263" s="122">
        <v>45818.772222222222</v>
      </c>
      <c r="V263" s="1" t="s">
        <v>558</v>
      </c>
      <c r="W263" s="1" t="s">
        <v>20</v>
      </c>
      <c r="X263" s="1" t="s">
        <v>559</v>
      </c>
      <c r="Z263" s="1" t="s">
        <v>538</v>
      </c>
      <c r="AA263" s="1">
        <v>13516</v>
      </c>
      <c r="AB263" s="1">
        <v>0</v>
      </c>
      <c r="AC263" s="1">
        <v>0</v>
      </c>
      <c r="AD263" s="122">
        <v>45961.768750000003</v>
      </c>
      <c r="AE263" s="122">
        <v>45961.768750000003</v>
      </c>
      <c r="AF263" s="122">
        <v>45961.709027777775</v>
      </c>
      <c r="AG263" s="1">
        <v>0</v>
      </c>
      <c r="AH263" s="1">
        <v>0</v>
      </c>
      <c r="AI263" s="1" t="s">
        <v>195</v>
      </c>
      <c r="AJ263" s="122">
        <v>45960.44027777778</v>
      </c>
      <c r="AL263" s="1" t="s">
        <v>196</v>
      </c>
      <c r="AO263" s="1" t="s">
        <v>113</v>
      </c>
      <c r="AP263" s="1" t="s">
        <v>2101</v>
      </c>
      <c r="AQ263" s="122">
        <v>45961.709722222222</v>
      </c>
      <c r="AR263" s="1">
        <v>21360.36</v>
      </c>
      <c r="AS263" s="1">
        <v>23558.74</v>
      </c>
      <c r="AT263" s="1" t="s">
        <v>198</v>
      </c>
      <c r="AW263" s="1">
        <v>44919</v>
      </c>
      <c r="AX263" s="1" t="s">
        <v>2098</v>
      </c>
      <c r="AY263" s="1" t="s">
        <v>2099</v>
      </c>
      <c r="AZ263" s="1" t="s">
        <v>2100</v>
      </c>
      <c r="BA263" s="1" t="s">
        <v>180</v>
      </c>
      <c r="BB263" s="1">
        <v>530016</v>
      </c>
      <c r="BF263" s="122">
        <v>45959.600694444445</v>
      </c>
    </row>
    <row r="264" spans="1:58">
      <c r="A264" s="1">
        <v>257</v>
      </c>
      <c r="B264" s="1" t="s">
        <v>179</v>
      </c>
      <c r="C264" s="1" t="s">
        <v>180</v>
      </c>
      <c r="D264" s="1" t="s">
        <v>181</v>
      </c>
      <c r="E264" s="1" t="s">
        <v>2102</v>
      </c>
      <c r="F264" s="122">
        <v>45961.396527777775</v>
      </c>
      <c r="G264" s="1" t="s">
        <v>203</v>
      </c>
      <c r="I264" s="1" t="s">
        <v>2103</v>
      </c>
      <c r="K264" s="1" t="s">
        <v>2104</v>
      </c>
      <c r="M264" s="1" t="s">
        <v>206</v>
      </c>
      <c r="N264" s="1" t="s">
        <v>2105</v>
      </c>
      <c r="O264" s="1">
        <v>110878</v>
      </c>
      <c r="P264" s="1" t="s">
        <v>2106</v>
      </c>
      <c r="Q264" s="1" t="s">
        <v>293</v>
      </c>
      <c r="R264" s="1" t="s">
        <v>790</v>
      </c>
      <c r="S264" s="1" t="s">
        <v>791</v>
      </c>
      <c r="T264" s="1" t="s">
        <v>191</v>
      </c>
      <c r="U264" s="122">
        <v>45647.753472222219</v>
      </c>
      <c r="V264" s="1" t="s">
        <v>192</v>
      </c>
      <c r="W264" s="1" t="s">
        <v>21</v>
      </c>
      <c r="X264" s="1" t="s">
        <v>226</v>
      </c>
      <c r="Z264" s="1" t="s">
        <v>211</v>
      </c>
      <c r="AA264" s="1">
        <v>9057</v>
      </c>
      <c r="AB264" s="1">
        <v>0</v>
      </c>
      <c r="AC264" s="1">
        <v>3000</v>
      </c>
      <c r="AD264" s="122">
        <v>45961.645833333336</v>
      </c>
      <c r="AE264" s="122">
        <v>45961.729166666664</v>
      </c>
      <c r="AF264" s="122">
        <v>45961.490277777775</v>
      </c>
      <c r="AG264" s="1">
        <v>1598</v>
      </c>
      <c r="AH264" s="1">
        <v>0</v>
      </c>
      <c r="AI264" s="1" t="s">
        <v>195</v>
      </c>
      <c r="AJ264" s="122">
        <v>45961.450694444444</v>
      </c>
      <c r="AK264" s="122">
        <v>45961.451388888891</v>
      </c>
      <c r="AL264" s="1" t="s">
        <v>212</v>
      </c>
      <c r="AO264" s="1" t="s">
        <v>113</v>
      </c>
      <c r="AP264" s="1" t="s">
        <v>2107</v>
      </c>
      <c r="AQ264" s="122">
        <v>45961.490277777775</v>
      </c>
      <c r="AR264" s="1">
        <v>0</v>
      </c>
      <c r="AS264" s="1">
        <v>2446.91</v>
      </c>
      <c r="AT264" s="1" t="s">
        <v>198</v>
      </c>
      <c r="AW264" s="1">
        <v>2447</v>
      </c>
      <c r="AX264" s="1" t="s">
        <v>2108</v>
      </c>
      <c r="AY264" s="1" t="s">
        <v>2109</v>
      </c>
      <c r="AZ264" s="1" t="s">
        <v>2110</v>
      </c>
      <c r="BA264" s="1" t="s">
        <v>180</v>
      </c>
      <c r="BB264" s="1">
        <v>530041</v>
      </c>
      <c r="BE264" s="1" t="s">
        <v>2023</v>
      </c>
      <c r="BF264" s="122">
        <v>45961.38958333333</v>
      </c>
    </row>
    <row r="265" spans="1:58">
      <c r="A265" s="1">
        <v>258</v>
      </c>
      <c r="B265" s="1" t="s">
        <v>179</v>
      </c>
      <c r="C265" s="1" t="s">
        <v>180</v>
      </c>
      <c r="D265" s="1" t="s">
        <v>181</v>
      </c>
      <c r="E265" s="1" t="s">
        <v>2111</v>
      </c>
      <c r="F265" s="122">
        <v>45961.719444444447</v>
      </c>
      <c r="G265" s="1" t="s">
        <v>1012</v>
      </c>
      <c r="I265" s="1" t="s">
        <v>566</v>
      </c>
      <c r="K265" s="1" t="s">
        <v>567</v>
      </c>
      <c r="N265" s="1" t="s">
        <v>568</v>
      </c>
      <c r="O265" s="1">
        <v>305743</v>
      </c>
      <c r="P265" s="1">
        <v>8376490</v>
      </c>
      <c r="Q265" s="1" t="s">
        <v>260</v>
      </c>
      <c r="R265" s="1" t="s">
        <v>569</v>
      </c>
      <c r="S265" s="1" t="s">
        <v>329</v>
      </c>
      <c r="T265" s="1" t="s">
        <v>191</v>
      </c>
      <c r="U265" s="122">
        <v>44005.486111111109</v>
      </c>
      <c r="V265" s="1" t="s">
        <v>192</v>
      </c>
      <c r="W265" s="1" t="s">
        <v>19</v>
      </c>
      <c r="X265" s="1" t="s">
        <v>193</v>
      </c>
      <c r="Z265" s="1" t="s">
        <v>23</v>
      </c>
      <c r="AA265" s="1">
        <v>105636</v>
      </c>
      <c r="AB265" s="1">
        <v>0</v>
      </c>
      <c r="AC265" s="1">
        <v>0</v>
      </c>
      <c r="AD265" s="122">
        <v>45961.770833333336</v>
      </c>
      <c r="AE265" s="122">
        <v>45961.770833333336</v>
      </c>
      <c r="AF265" s="122">
        <v>45961.725694444445</v>
      </c>
      <c r="AG265" s="1">
        <v>0</v>
      </c>
      <c r="AH265" s="1">
        <v>0</v>
      </c>
      <c r="AI265" s="1" t="s">
        <v>195</v>
      </c>
      <c r="AL265" s="1" t="s">
        <v>196</v>
      </c>
      <c r="AO265" s="1" t="s">
        <v>113</v>
      </c>
      <c r="AP265" s="1" t="s">
        <v>2112</v>
      </c>
      <c r="AQ265" s="122">
        <v>45961.725694444445</v>
      </c>
      <c r="AR265" s="1">
        <v>0</v>
      </c>
      <c r="AS265" s="1">
        <v>0</v>
      </c>
      <c r="AT265" s="1" t="s">
        <v>198</v>
      </c>
      <c r="AU265" s="121">
        <v>45961</v>
      </c>
      <c r="AW265" s="1">
        <v>0</v>
      </c>
      <c r="AX265" s="1" t="s">
        <v>571</v>
      </c>
      <c r="AY265" s="1" t="s">
        <v>572</v>
      </c>
      <c r="AZ265" s="1" t="s">
        <v>573</v>
      </c>
      <c r="BA265" s="1" t="s">
        <v>180</v>
      </c>
      <c r="BB265" s="1">
        <v>530045</v>
      </c>
      <c r="BE265" s="1" t="s">
        <v>574</v>
      </c>
      <c r="BF265" s="122">
        <v>45961.717361111114</v>
      </c>
    </row>
    <row r="267" spans="1:58">
      <c r="A267" s="1" t="s">
        <v>120</v>
      </c>
      <c r="B267" s="1" t="s">
        <v>2113</v>
      </c>
      <c r="C267" s="1" t="s">
        <v>2114</v>
      </c>
      <c r="D267" s="1" t="s">
        <v>2115</v>
      </c>
      <c r="E267" s="1" t="s">
        <v>2116</v>
      </c>
      <c r="F267" s="1" t="s">
        <v>2117</v>
      </c>
    </row>
  </sheetData>
  <pageMargins left="0.7" right="0.7" top="0.75" bottom="0.75" header="0.3" footer="0.3"/>
  <pageSetup paperSize="9" scale="21" fitToHeight="0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Z27"/>
  <sheetViews>
    <sheetView topLeftCell="C1" zoomScale="115" zoomScaleNormal="115" workbookViewId="0">
      <selection activeCell="D15" sqref="D15"/>
    </sheetView>
  </sheetViews>
  <sheetFormatPr defaultColWidth="9.28515625" defaultRowHeight="15"/>
  <cols>
    <col min="1" max="1" width="2.42578125" style="1" customWidth="1"/>
    <col min="2" max="2" width="4" style="1" bestFit="1" customWidth="1"/>
    <col min="3" max="3" width="4" style="1" customWidth="1"/>
    <col min="4" max="4" width="9.28515625" style="1"/>
    <col min="5" max="5" width="13.42578125" style="1" customWidth="1"/>
    <col min="6" max="6" width="10.42578125" style="1" bestFit="1" customWidth="1"/>
    <col min="7" max="8" width="9.28515625" style="1" bestFit="1" customWidth="1"/>
    <col min="9" max="9" width="8" style="1" bestFit="1" customWidth="1"/>
    <col min="10" max="10" width="14.42578125" style="1" bestFit="1" customWidth="1"/>
    <col min="11" max="11" width="7" style="1" bestFit="1" customWidth="1"/>
    <col min="12" max="12" width="6.42578125" style="1" bestFit="1" customWidth="1"/>
    <col min="13" max="13" width="21.140625" style="1" bestFit="1" customWidth="1"/>
    <col min="14" max="14" width="18.7109375" style="1" bestFit="1" customWidth="1"/>
    <col min="15" max="15" width="13.28515625" style="1" bestFit="1" customWidth="1"/>
    <col min="16" max="16" width="15.140625" style="1" bestFit="1" customWidth="1"/>
    <col min="17" max="17" width="10.42578125" style="1" bestFit="1" customWidth="1"/>
    <col min="18" max="18" width="9.28515625" style="1" bestFit="1" customWidth="1"/>
    <col min="19" max="19" width="8.140625" style="1" bestFit="1" customWidth="1"/>
    <col min="20" max="20" width="6.7109375" style="1" bestFit="1" customWidth="1"/>
    <col min="21" max="21" width="12.42578125" style="1" bestFit="1" customWidth="1"/>
    <col min="22" max="22" width="3.140625" style="1" bestFit="1" customWidth="1"/>
    <col min="23" max="23" width="9.42578125" style="1" bestFit="1" customWidth="1"/>
    <col min="24" max="24" width="11.28515625" style="1" bestFit="1" customWidth="1"/>
    <col min="25" max="25" width="10.7109375" style="1" bestFit="1" customWidth="1"/>
    <col min="26" max="26" width="32.28515625" style="1" hidden="1" customWidth="1"/>
    <col min="27" max="27" width="8.28515625" style="1" bestFit="1" customWidth="1"/>
    <col min="28" max="94" width="9.28515625" style="1"/>
    <col min="95" max="96" width="2.28515625" style="1" bestFit="1" customWidth="1"/>
    <col min="97" max="102" width="9.28515625" style="1"/>
    <col min="103" max="104" width="3.140625" style="1" bestFit="1" customWidth="1"/>
    <col min="105" max="16384" width="9.28515625" style="1"/>
  </cols>
  <sheetData>
    <row r="2" spans="2:19" ht="15.75" thickBot="1"/>
    <row r="3" spans="2:19" ht="19.5" thickBot="1">
      <c r="E3" s="311" t="s">
        <v>90</v>
      </c>
      <c r="F3" s="312"/>
      <c r="G3" s="312"/>
      <c r="H3" s="312"/>
      <c r="I3" s="312"/>
      <c r="J3" s="312"/>
      <c r="K3" s="312"/>
      <c r="L3" s="312"/>
      <c r="M3" s="312"/>
      <c r="N3" s="313"/>
      <c r="O3" s="183"/>
    </row>
    <row r="4" spans="2:19" ht="15.75" customHeight="1" thickBot="1">
      <c r="E4" s="80" t="s">
        <v>24</v>
      </c>
      <c r="F4" s="81" t="s">
        <v>25</v>
      </c>
      <c r="G4" s="82" t="s">
        <v>26</v>
      </c>
      <c r="H4" s="82" t="s">
        <v>4</v>
      </c>
      <c r="I4" s="82" t="s">
        <v>27</v>
      </c>
      <c r="J4" s="82" t="s">
        <v>12</v>
      </c>
      <c r="K4" s="83" t="s">
        <v>23</v>
      </c>
      <c r="L4" s="293"/>
      <c r="M4" s="81" t="s">
        <v>28</v>
      </c>
      <c r="N4" s="82" t="s">
        <v>22</v>
      </c>
      <c r="O4" s="184"/>
    </row>
    <row r="5" spans="2:19" ht="19.5" customHeight="1" thickBot="1">
      <c r="B5" s="19"/>
      <c r="C5" s="19"/>
      <c r="E5" s="84" t="s">
        <v>5</v>
      </c>
      <c r="F5" s="85">
        <f>F11+F12</f>
        <v>0</v>
      </c>
      <c r="G5" s="86">
        <f t="shared" ref="G5:H5" si="0">G11+G12</f>
        <v>0</v>
      </c>
      <c r="H5" s="86">
        <f t="shared" si="0"/>
        <v>0</v>
      </c>
      <c r="I5" s="86">
        <f>I11+I12</f>
        <v>2</v>
      </c>
      <c r="J5" s="86">
        <f>J11+J12</f>
        <v>2</v>
      </c>
      <c r="K5" s="87">
        <f>K11+K12</f>
        <v>4</v>
      </c>
      <c r="L5" s="294"/>
      <c r="M5" s="88" t="s">
        <v>29</v>
      </c>
      <c r="N5" s="89">
        <f>N11+N12</f>
        <v>0</v>
      </c>
      <c r="O5" s="184"/>
    </row>
    <row r="6" spans="2:19" ht="16.5" thickBot="1">
      <c r="E6" s="90" t="s">
        <v>30</v>
      </c>
      <c r="F6" s="91">
        <v>2925</v>
      </c>
      <c r="G6" s="92">
        <v>45241.4</v>
      </c>
      <c r="H6" s="92">
        <v>19247.93</v>
      </c>
      <c r="I6" s="92">
        <v>185.7</v>
      </c>
      <c r="J6" s="93">
        <f>SUM(F6:I6)</f>
        <v>67600.03</v>
      </c>
      <c r="K6" s="94">
        <v>0</v>
      </c>
      <c r="L6" s="295"/>
      <c r="M6" s="95" t="s">
        <v>30</v>
      </c>
      <c r="N6" s="96">
        <v>50</v>
      </c>
      <c r="O6" s="97">
        <f>N6+J6</f>
        <v>67650.03</v>
      </c>
    </row>
    <row r="7" spans="2:19" ht="15.75" thickBot="1">
      <c r="E7" s="314"/>
      <c r="F7" s="315"/>
      <c r="G7" s="315"/>
      <c r="H7" s="315"/>
      <c r="I7" s="315"/>
      <c r="J7" s="315"/>
      <c r="K7" s="315"/>
      <c r="L7" s="315"/>
      <c r="M7" s="315"/>
      <c r="N7" s="315"/>
      <c r="O7" s="184"/>
      <c r="P7" s="79"/>
      <c r="Q7" s="79"/>
    </row>
    <row r="8" spans="2:19" ht="15.75" thickBot="1">
      <c r="E8" s="287" t="s">
        <v>91</v>
      </c>
      <c r="F8" s="288"/>
      <c r="G8" s="288"/>
      <c r="H8" s="288"/>
      <c r="I8" s="288"/>
      <c r="J8" s="288"/>
      <c r="K8" s="288"/>
      <c r="L8" s="288"/>
      <c r="M8" s="288"/>
      <c r="N8" s="289"/>
      <c r="O8" s="184"/>
      <c r="P8" s="79"/>
      <c r="Q8" s="79"/>
    </row>
    <row r="9" spans="2:19" ht="15.75" thickBot="1">
      <c r="E9" s="290"/>
      <c r="F9" s="291"/>
      <c r="G9" s="291"/>
      <c r="H9" s="291"/>
      <c r="I9" s="291"/>
      <c r="J9" s="291"/>
      <c r="K9" s="291"/>
      <c r="L9" s="291"/>
      <c r="M9" s="291"/>
      <c r="N9" s="292"/>
      <c r="O9" s="184"/>
      <c r="P9" s="226">
        <f>F24-J6</f>
        <v>332399.96999999997</v>
      </c>
      <c r="Q9" s="79"/>
    </row>
    <row r="10" spans="2:19" ht="15.75" thickBot="1">
      <c r="E10" s="99" t="s">
        <v>31</v>
      </c>
      <c r="F10" s="100" t="s">
        <v>25</v>
      </c>
      <c r="G10" s="101" t="s">
        <v>26</v>
      </c>
      <c r="H10" s="101" t="s">
        <v>4</v>
      </c>
      <c r="I10" s="101" t="s">
        <v>27</v>
      </c>
      <c r="J10" s="101" t="s">
        <v>12</v>
      </c>
      <c r="K10" s="102" t="s">
        <v>23</v>
      </c>
      <c r="L10" s="293"/>
      <c r="M10" s="100" t="s">
        <v>32</v>
      </c>
      <c r="N10" s="101" t="s">
        <v>22</v>
      </c>
      <c r="O10" s="184"/>
      <c r="P10" s="79"/>
      <c r="Q10" s="79"/>
    </row>
    <row r="11" spans="2:19">
      <c r="E11" s="103" t="s">
        <v>33</v>
      </c>
      <c r="F11" s="85">
        <f>SHAREEF!G17</f>
        <v>0</v>
      </c>
      <c r="G11" s="85">
        <f>SHAREEF!F17</f>
        <v>0</v>
      </c>
      <c r="H11" s="85">
        <f>SHAREEF!H17</f>
        <v>0</v>
      </c>
      <c r="I11" s="85">
        <v>1</v>
      </c>
      <c r="J11" s="85">
        <f>SUM(F11:I11)</f>
        <v>1</v>
      </c>
      <c r="K11" s="85">
        <v>4</v>
      </c>
      <c r="L11" s="294"/>
      <c r="M11" s="104" t="s">
        <v>33</v>
      </c>
      <c r="N11" s="89">
        <f>SHAREEF!I17</f>
        <v>0</v>
      </c>
      <c r="O11" s="184"/>
      <c r="P11" s="79"/>
      <c r="Q11" s="79"/>
      <c r="R11" s="1">
        <v>622.96</v>
      </c>
    </row>
    <row r="12" spans="2:19" ht="15.75" thickBot="1">
      <c r="E12" s="105" t="s">
        <v>34</v>
      </c>
      <c r="F12" s="91">
        <f>SHAREEF!K17</f>
        <v>0</v>
      </c>
      <c r="G12" s="92">
        <f>SHAREEF!J17</f>
        <v>0</v>
      </c>
      <c r="H12" s="92">
        <f>SHAREEF!L17</f>
        <v>0</v>
      </c>
      <c r="I12" s="92">
        <v>1</v>
      </c>
      <c r="J12" s="85">
        <f>SUM(F12:I12)</f>
        <v>1</v>
      </c>
      <c r="K12" s="94">
        <v>0</v>
      </c>
      <c r="L12" s="295"/>
      <c r="M12" s="106" t="s">
        <v>34</v>
      </c>
      <c r="N12" s="107">
        <f>SHAREEF!M17</f>
        <v>0</v>
      </c>
      <c r="O12" s="184"/>
      <c r="P12" s="79"/>
      <c r="Q12" s="79"/>
      <c r="R12" s="1">
        <v>1300</v>
      </c>
      <c r="S12" s="1">
        <v>318</v>
      </c>
    </row>
    <row r="13" spans="2:19" ht="15.75" thickBot="1">
      <c r="E13" s="185"/>
      <c r="F13" s="186"/>
      <c r="G13" s="186"/>
      <c r="H13" s="186"/>
      <c r="I13" s="186"/>
      <c r="J13" s="186"/>
      <c r="K13" s="186"/>
      <c r="L13" s="186"/>
      <c r="M13" s="186"/>
      <c r="N13" s="186"/>
      <c r="O13" s="184"/>
      <c r="P13" s="79">
        <v>375</v>
      </c>
      <c r="Q13" s="98">
        <v>6871</v>
      </c>
      <c r="R13" s="1">
        <v>1130</v>
      </c>
      <c r="S13" s="1">
        <v>17873.099999999999</v>
      </c>
    </row>
    <row r="14" spans="2:19">
      <c r="E14" s="287" t="s">
        <v>92</v>
      </c>
      <c r="F14" s="288"/>
      <c r="G14" s="288"/>
      <c r="H14" s="288"/>
      <c r="I14" s="288"/>
      <c r="J14" s="288"/>
      <c r="K14" s="288"/>
      <c r="L14" s="288"/>
      <c r="M14" s="288"/>
      <c r="N14" s="289"/>
      <c r="O14" s="184"/>
      <c r="P14" s="79">
        <v>2550</v>
      </c>
      <c r="Q14" s="79">
        <v>2050</v>
      </c>
      <c r="R14" s="1">
        <v>2304.62</v>
      </c>
      <c r="S14" s="1">
        <v>425</v>
      </c>
    </row>
    <row r="15" spans="2:19" ht="15.75" thickBot="1">
      <c r="E15" s="290"/>
      <c r="F15" s="291"/>
      <c r="G15" s="291"/>
      <c r="H15" s="291"/>
      <c r="I15" s="291"/>
      <c r="J15" s="291"/>
      <c r="K15" s="291"/>
      <c r="L15" s="291"/>
      <c r="M15" s="291"/>
      <c r="N15" s="292"/>
      <c r="O15" s="184"/>
      <c r="P15" s="79"/>
      <c r="Q15" s="79">
        <v>9696</v>
      </c>
      <c r="S15" s="1">
        <v>2040</v>
      </c>
    </row>
    <row r="16" spans="2:19" ht="15.75" thickBot="1">
      <c r="E16" s="108" t="s">
        <v>35</v>
      </c>
      <c r="F16" s="109" t="s">
        <v>25</v>
      </c>
      <c r="G16" s="110" t="s">
        <v>26</v>
      </c>
      <c r="H16" s="110" t="s">
        <v>4</v>
      </c>
      <c r="I16" s="110" t="s">
        <v>27</v>
      </c>
      <c r="J16" s="110" t="s">
        <v>12</v>
      </c>
      <c r="K16" s="111" t="s">
        <v>23</v>
      </c>
      <c r="L16" s="293"/>
      <c r="M16" s="109" t="s">
        <v>36</v>
      </c>
      <c r="N16" s="223" t="s">
        <v>22</v>
      </c>
      <c r="O16" s="184"/>
      <c r="P16" s="79">
        <f>SUM(P13:P15)</f>
        <v>2925</v>
      </c>
      <c r="Q16" s="79"/>
      <c r="S16" s="1">
        <v>1081.5</v>
      </c>
    </row>
    <row r="17" spans="5:19">
      <c r="E17" s="112" t="s">
        <v>33</v>
      </c>
      <c r="F17" s="85"/>
      <c r="G17" s="86"/>
      <c r="H17" s="86"/>
      <c r="I17" s="86"/>
      <c r="J17" s="86"/>
      <c r="K17" s="87"/>
      <c r="L17" s="294"/>
      <c r="M17" s="113" t="s">
        <v>33</v>
      </c>
      <c r="N17" s="89">
        <v>3</v>
      </c>
      <c r="O17" s="184"/>
      <c r="P17" s="79"/>
      <c r="Q17" s="79"/>
      <c r="S17" s="1">
        <f>SUM(S12:S16)</f>
        <v>21737.599999999999</v>
      </c>
    </row>
    <row r="18" spans="5:19" ht="15.75" thickBot="1">
      <c r="E18" s="114" t="s">
        <v>34</v>
      </c>
      <c r="F18" s="91"/>
      <c r="G18" s="92"/>
      <c r="H18" s="92"/>
      <c r="I18" s="92"/>
      <c r="J18" s="224"/>
      <c r="K18" s="94"/>
      <c r="L18" s="295"/>
      <c r="M18" s="115" t="s">
        <v>34</v>
      </c>
      <c r="N18" s="107">
        <v>3</v>
      </c>
      <c r="O18" s="184"/>
      <c r="P18" s="79"/>
      <c r="Q18" s="79"/>
      <c r="R18" s="1">
        <f>SUM(R10:R17)</f>
        <v>5357.58</v>
      </c>
    </row>
    <row r="19" spans="5:19">
      <c r="E19" s="185"/>
      <c r="F19" s="186"/>
      <c r="G19" s="186"/>
      <c r="H19" s="186"/>
      <c r="I19" s="186"/>
      <c r="J19" s="186"/>
      <c r="K19" s="186"/>
      <c r="L19" s="186"/>
      <c r="M19" s="186"/>
      <c r="N19" s="186"/>
      <c r="O19" s="184"/>
      <c r="P19" s="79"/>
      <c r="Q19" s="79"/>
    </row>
    <row r="20" spans="5:19" ht="15.75" thickBot="1">
      <c r="E20" s="185"/>
      <c r="F20" s="186"/>
      <c r="G20" s="186"/>
      <c r="H20" s="186"/>
      <c r="I20" s="186"/>
      <c r="J20" s="186"/>
      <c r="K20" s="186"/>
      <c r="L20" s="186"/>
      <c r="M20" s="186"/>
      <c r="N20" s="186"/>
      <c r="O20" s="184"/>
      <c r="P20" s="79"/>
      <c r="Q20" s="79"/>
    </row>
    <row r="21" spans="5:19" ht="16.5" thickBot="1">
      <c r="E21" s="296" t="s">
        <v>89</v>
      </c>
      <c r="F21" s="297"/>
      <c r="G21" s="297"/>
      <c r="H21" s="297"/>
      <c r="I21" s="297"/>
      <c r="J21" s="297"/>
      <c r="K21" s="298"/>
      <c r="L21" s="186"/>
      <c r="M21" s="299" t="s">
        <v>89</v>
      </c>
      <c r="N21" s="300"/>
      <c r="O21" s="184"/>
      <c r="P21" s="79"/>
      <c r="Q21" s="79"/>
    </row>
    <row r="22" spans="5:19" ht="15.75" thickBot="1">
      <c r="E22" s="301" t="s">
        <v>24</v>
      </c>
      <c r="F22" s="116" t="s">
        <v>25</v>
      </c>
      <c r="G22" s="117" t="s">
        <v>26</v>
      </c>
      <c r="H22" s="117" t="s">
        <v>4</v>
      </c>
      <c r="I22" s="118" t="s">
        <v>37</v>
      </c>
      <c r="J22" s="303" t="s">
        <v>38</v>
      </c>
      <c r="K22" s="304"/>
      <c r="L22" s="186"/>
      <c r="M22" s="305" t="s">
        <v>28</v>
      </c>
      <c r="N22" s="307">
        <v>70</v>
      </c>
      <c r="O22" s="184"/>
      <c r="P22" s="79"/>
      <c r="Q22" s="79"/>
    </row>
    <row r="23" spans="5:19" ht="19.5" thickBot="1">
      <c r="E23" s="302"/>
      <c r="F23" s="119">
        <v>30</v>
      </c>
      <c r="G23" s="92">
        <v>90</v>
      </c>
      <c r="H23" s="92">
        <v>80</v>
      </c>
      <c r="I23" s="94">
        <v>30</v>
      </c>
      <c r="J23" s="309">
        <f>F23+G23+H23+I23</f>
        <v>230</v>
      </c>
      <c r="K23" s="310"/>
      <c r="L23" s="186"/>
      <c r="M23" s="306"/>
      <c r="N23" s="308"/>
      <c r="O23" s="184"/>
      <c r="P23" s="79"/>
      <c r="Q23" s="79"/>
    </row>
    <row r="24" spans="5:19" ht="24" thickBot="1">
      <c r="E24" s="182" t="s">
        <v>30</v>
      </c>
      <c r="F24" s="284">
        <v>400000</v>
      </c>
      <c r="G24" s="285"/>
      <c r="H24" s="285"/>
      <c r="I24" s="285"/>
      <c r="J24" s="285"/>
      <c r="K24" s="286"/>
      <c r="L24" s="186"/>
      <c r="M24" s="120"/>
      <c r="N24" s="225">
        <v>520000</v>
      </c>
      <c r="O24" s="184"/>
      <c r="P24" s="79"/>
      <c r="Q24" s="79"/>
    </row>
    <row r="25" spans="5:19">
      <c r="E25" s="185"/>
      <c r="F25" s="186"/>
      <c r="G25" s="186"/>
      <c r="H25" s="186"/>
      <c r="I25" s="186"/>
      <c r="J25" s="186"/>
      <c r="K25" s="186"/>
      <c r="L25" s="186"/>
      <c r="M25" s="186"/>
      <c r="N25" s="186"/>
      <c r="O25" s="184"/>
      <c r="P25" s="79"/>
      <c r="Q25" s="79"/>
    </row>
    <row r="26" spans="5:19" ht="15.75" thickBot="1">
      <c r="E26" s="187"/>
      <c r="F26" s="188"/>
      <c r="G26" s="188"/>
      <c r="H26" s="188"/>
      <c r="I26" s="188"/>
      <c r="J26" s="188"/>
      <c r="K26" s="188"/>
      <c r="L26" s="188"/>
      <c r="M26" s="189" t="s">
        <v>39</v>
      </c>
      <c r="N26" s="190">
        <v>45722</v>
      </c>
      <c r="O26" s="191"/>
      <c r="P26" s="79"/>
      <c r="Q26" s="79"/>
    </row>
    <row r="27" spans="5:19">
      <c r="E27" s="79"/>
      <c r="F27" s="79"/>
      <c r="G27" s="79"/>
      <c r="H27" s="79"/>
      <c r="I27" s="79"/>
      <c r="J27" s="79"/>
      <c r="K27" s="79"/>
      <c r="L27" s="79"/>
      <c r="M27" s="79"/>
      <c r="N27" s="79"/>
      <c r="O27" s="79"/>
      <c r="P27" s="79"/>
      <c r="Q27" s="79"/>
    </row>
  </sheetData>
  <mergeCells count="15">
    <mergeCell ref="E3:N3"/>
    <mergeCell ref="L4:L6"/>
    <mergeCell ref="E7:N7"/>
    <mergeCell ref="E8:N9"/>
    <mergeCell ref="L10:L12"/>
    <mergeCell ref="F24:K24"/>
    <mergeCell ref="E14:N15"/>
    <mergeCell ref="L16:L18"/>
    <mergeCell ref="E21:K21"/>
    <mergeCell ref="M21:N21"/>
    <mergeCell ref="E22:E23"/>
    <mergeCell ref="J22:K22"/>
    <mergeCell ref="M22:M23"/>
    <mergeCell ref="N22:N23"/>
    <mergeCell ref="J23:K23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3:D11"/>
  <sheetViews>
    <sheetView workbookViewId="0">
      <selection activeCell="G30" sqref="G30"/>
    </sheetView>
  </sheetViews>
  <sheetFormatPr defaultRowHeight="15"/>
  <cols>
    <col min="2" max="2" width="8" bestFit="1" customWidth="1"/>
    <col min="3" max="3" width="8.42578125" bestFit="1" customWidth="1"/>
    <col min="4" max="4" width="9.7109375" bestFit="1" customWidth="1"/>
  </cols>
  <sheetData>
    <row r="3" spans="2:4" ht="15.75" thickBot="1"/>
    <row r="4" spans="2:4" ht="19.5" thickBot="1">
      <c r="B4" s="316" t="s">
        <v>99</v>
      </c>
      <c r="C4" s="317"/>
      <c r="D4" s="318"/>
    </row>
    <row r="5" spans="2:4" ht="15.75" thickBot="1">
      <c r="B5" s="229" t="s">
        <v>98</v>
      </c>
      <c r="C5" s="230" t="s">
        <v>5</v>
      </c>
      <c r="D5" s="231" t="s">
        <v>30</v>
      </c>
    </row>
    <row r="6" spans="2:4">
      <c r="B6" s="232" t="s">
        <v>93</v>
      </c>
      <c r="C6" s="228">
        <v>37</v>
      </c>
      <c r="D6" s="234">
        <v>350102.98</v>
      </c>
    </row>
    <row r="7" spans="2:4">
      <c r="B7" s="233" t="s">
        <v>94</v>
      </c>
      <c r="C7" s="227">
        <v>49</v>
      </c>
      <c r="D7" s="235">
        <v>418767.77</v>
      </c>
    </row>
    <row r="8" spans="2:4">
      <c r="B8" s="233" t="s">
        <v>95</v>
      </c>
      <c r="C8" s="227">
        <v>61</v>
      </c>
      <c r="D8" s="235">
        <v>451984.2</v>
      </c>
    </row>
    <row r="9" spans="2:4">
      <c r="B9" s="233" t="s">
        <v>96</v>
      </c>
      <c r="C9" s="227">
        <v>60</v>
      </c>
      <c r="D9" s="235">
        <v>461887.36</v>
      </c>
    </row>
    <row r="10" spans="2:4">
      <c r="B10" s="233" t="s">
        <v>97</v>
      </c>
      <c r="C10" s="227">
        <v>61</v>
      </c>
      <c r="D10" s="235">
        <v>471657.85</v>
      </c>
    </row>
    <row r="11" spans="2:4">
      <c r="B11" s="236" t="s">
        <v>100</v>
      </c>
      <c r="C11">
        <f>C6+C7+C8+C9+C10/5</f>
        <v>219.2</v>
      </c>
    </row>
  </sheetData>
  <mergeCells count="1">
    <mergeCell ref="B4:D4"/>
  </mergeCells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C2:T16"/>
  <sheetViews>
    <sheetView topLeftCell="B1" workbookViewId="0">
      <selection activeCell="L14" sqref="L14"/>
    </sheetView>
  </sheetViews>
  <sheetFormatPr defaultRowHeight="15"/>
  <cols>
    <col min="1" max="3" width="9.140625" style="127"/>
    <col min="4" max="4" width="15" style="127" bestFit="1" customWidth="1"/>
    <col min="5" max="5" width="12.140625" style="127" bestFit="1" customWidth="1"/>
    <col min="6" max="6" width="10" style="127" bestFit="1" customWidth="1"/>
    <col min="7" max="7" width="6.7109375" style="127" bestFit="1" customWidth="1"/>
    <col min="8" max="8" width="11.28515625" style="127" bestFit="1" customWidth="1"/>
    <col min="9" max="9" width="15" style="127" bestFit="1" customWidth="1"/>
    <col min="10" max="10" width="6.7109375" style="127" bestFit="1" customWidth="1"/>
    <col min="11" max="11" width="9.7109375" style="127" bestFit="1" customWidth="1"/>
    <col min="12" max="12" width="9.42578125" style="127" bestFit="1" customWidth="1"/>
    <col min="13" max="13" width="15" style="127" bestFit="1" customWidth="1"/>
    <col min="14" max="14" width="8.28515625" style="127" bestFit="1" customWidth="1"/>
    <col min="15" max="15" width="8.5703125" style="127" bestFit="1" customWidth="1"/>
    <col min="16" max="16" width="6.7109375" style="127" bestFit="1" customWidth="1"/>
    <col min="17" max="18" width="9.140625" style="127" bestFit="1" customWidth="1"/>
    <col min="19" max="19" width="6.7109375" style="127" bestFit="1" customWidth="1"/>
    <col min="20" max="16384" width="9.140625" style="127"/>
  </cols>
  <sheetData>
    <row r="2" spans="3:20" ht="15.75" thickBot="1"/>
    <row r="3" spans="3:20" ht="34.5" thickBot="1">
      <c r="D3" s="325" t="s">
        <v>108</v>
      </c>
      <c r="E3" s="326"/>
      <c r="F3" s="326"/>
      <c r="G3" s="326"/>
      <c r="H3" s="326"/>
      <c r="I3" s="326"/>
      <c r="J3" s="326"/>
      <c r="K3" s="326"/>
      <c r="L3" s="326"/>
      <c r="M3" s="326"/>
      <c r="N3" s="326"/>
      <c r="O3" s="326"/>
      <c r="P3" s="327">
        <f ca="1">TODAY()-1</f>
        <v>45987</v>
      </c>
      <c r="Q3" s="328"/>
      <c r="R3" s="328"/>
      <c r="S3" s="329"/>
    </row>
    <row r="4" spans="3:20" ht="45.75" thickBot="1">
      <c r="D4" s="128" t="s">
        <v>40</v>
      </c>
      <c r="E4" s="129" t="s">
        <v>43</v>
      </c>
      <c r="F4" s="129" t="s">
        <v>44</v>
      </c>
      <c r="G4" s="129" t="s">
        <v>51</v>
      </c>
      <c r="H4" s="130" t="s">
        <v>45</v>
      </c>
      <c r="I4" s="130" t="s">
        <v>46</v>
      </c>
      <c r="J4" s="129" t="s">
        <v>51</v>
      </c>
      <c r="K4" s="131" t="s">
        <v>47</v>
      </c>
      <c r="L4" s="131" t="s">
        <v>48</v>
      </c>
      <c r="M4" s="129" t="s">
        <v>51</v>
      </c>
      <c r="N4" s="128" t="s">
        <v>49</v>
      </c>
      <c r="O4" s="132" t="s">
        <v>50</v>
      </c>
      <c r="P4" s="133" t="s">
        <v>51</v>
      </c>
      <c r="Q4" s="238" t="s">
        <v>102</v>
      </c>
      <c r="R4" s="238" t="s">
        <v>103</v>
      </c>
      <c r="S4" s="239" t="s">
        <v>51</v>
      </c>
    </row>
    <row r="5" spans="3:20" ht="15.75" thickBot="1">
      <c r="D5" s="134" t="s">
        <v>41</v>
      </c>
      <c r="E5" s="135">
        <v>125</v>
      </c>
      <c r="F5" s="136">
        <f>SHAREEF!E6</f>
        <v>0</v>
      </c>
      <c r="G5" s="137">
        <f>F5/E5</f>
        <v>0</v>
      </c>
      <c r="H5" s="136">
        <v>15</v>
      </c>
      <c r="I5" s="136">
        <f>SHAREEF!G6+SHAREEF!K6</f>
        <v>0</v>
      </c>
      <c r="J5" s="137">
        <f>I5/H5</f>
        <v>0</v>
      </c>
      <c r="K5" s="136">
        <v>45</v>
      </c>
      <c r="L5" s="136">
        <f>SHAREEF!F6+SHAREEF!J6</f>
        <v>0</v>
      </c>
      <c r="M5" s="137">
        <f>L5/K5</f>
        <v>0</v>
      </c>
      <c r="N5" s="136">
        <v>70</v>
      </c>
      <c r="O5" s="136">
        <f>SHAREEF!H6+SHAREEF!L6</f>
        <v>0</v>
      </c>
      <c r="P5" s="138">
        <f>O5/N5</f>
        <v>0</v>
      </c>
      <c r="Q5" s="136">
        <v>3</v>
      </c>
      <c r="R5" s="136">
        <v>0</v>
      </c>
      <c r="S5" s="138">
        <f>R5/Q5</f>
        <v>0</v>
      </c>
    </row>
    <row r="6" spans="3:20" ht="16.5" thickBot="1">
      <c r="D6" s="139" t="s">
        <v>42</v>
      </c>
      <c r="E6" s="140">
        <v>125</v>
      </c>
      <c r="F6" s="141">
        <f>SHAREEF!E8</f>
        <v>0</v>
      </c>
      <c r="G6" s="142">
        <f>F6/E6</f>
        <v>0</v>
      </c>
      <c r="H6" s="141">
        <v>15</v>
      </c>
      <c r="I6" s="141">
        <f>SHAREEF!G8+SHAREEF!K8</f>
        <v>0</v>
      </c>
      <c r="J6" s="142">
        <f>I6/H6</f>
        <v>0</v>
      </c>
      <c r="K6" s="143">
        <v>45</v>
      </c>
      <c r="L6" s="141">
        <f>SHAREEF!F8+SHAREEF!J8</f>
        <v>0</v>
      </c>
      <c r="M6" s="142">
        <f>L6/K6</f>
        <v>0</v>
      </c>
      <c r="N6" s="141">
        <v>70</v>
      </c>
      <c r="O6" s="141">
        <f>SHAREEF!H8+SHAREEF!L8</f>
        <v>0</v>
      </c>
      <c r="P6" s="144">
        <f>O6/N6</f>
        <v>0</v>
      </c>
      <c r="Q6" s="141">
        <v>3</v>
      </c>
      <c r="R6" s="141">
        <v>0</v>
      </c>
      <c r="S6" s="144">
        <f>R6/Q6</f>
        <v>0</v>
      </c>
    </row>
    <row r="7" spans="3:20" ht="15.75" thickBot="1"/>
    <row r="8" spans="3:20" ht="21.75" thickBot="1">
      <c r="C8" s="127" t="s">
        <v>88</v>
      </c>
      <c r="D8" s="322" t="s">
        <v>73</v>
      </c>
      <c r="E8" s="323"/>
      <c r="F8" s="323"/>
      <c r="G8" s="324"/>
      <c r="I8" s="333" t="s">
        <v>79</v>
      </c>
      <c r="J8" s="334"/>
      <c r="K8" s="335"/>
      <c r="M8" s="330" t="s">
        <v>74</v>
      </c>
      <c r="N8" s="331"/>
      <c r="O8" s="331"/>
      <c r="P8" s="331"/>
      <c r="Q8" s="332"/>
      <c r="R8" s="243"/>
      <c r="S8" s="243"/>
    </row>
    <row r="9" spans="3:20" ht="45.75" thickBot="1">
      <c r="D9" s="192" t="s">
        <v>40</v>
      </c>
      <c r="E9" s="193" t="s">
        <v>71</v>
      </c>
      <c r="F9" s="193" t="s">
        <v>72</v>
      </c>
      <c r="G9" s="206" t="s">
        <v>51</v>
      </c>
      <c r="H9" s="207" t="s">
        <v>78</v>
      </c>
      <c r="I9" s="202" t="s">
        <v>40</v>
      </c>
      <c r="J9" s="130" t="s">
        <v>65</v>
      </c>
      <c r="K9" s="203" t="s">
        <v>77</v>
      </c>
      <c r="L9" s="203" t="s">
        <v>80</v>
      </c>
      <c r="M9" s="192" t="s">
        <v>40</v>
      </c>
      <c r="N9" s="193" t="s">
        <v>75</v>
      </c>
      <c r="O9" s="193" t="s">
        <v>76</v>
      </c>
      <c r="P9" s="193" t="s">
        <v>51</v>
      </c>
      <c r="Q9" s="244" t="s">
        <v>105</v>
      </c>
      <c r="R9" s="240"/>
      <c r="S9" s="241"/>
    </row>
    <row r="10" spans="3:20" ht="15.75" thickBot="1">
      <c r="D10" s="194" t="s">
        <v>41</v>
      </c>
      <c r="E10" s="198">
        <v>250000</v>
      </c>
      <c r="F10" s="199">
        <v>0</v>
      </c>
      <c r="G10" s="208">
        <f>F10/E10</f>
        <v>0</v>
      </c>
      <c r="H10" s="210" t="e">
        <f>F10/F5</f>
        <v>#DIV/0!</v>
      </c>
      <c r="I10" s="196" t="s">
        <v>41</v>
      </c>
      <c r="J10" s="204">
        <v>0</v>
      </c>
      <c r="K10" s="205">
        <v>0</v>
      </c>
      <c r="L10" s="204">
        <v>0</v>
      </c>
      <c r="M10" s="194" t="s">
        <v>41</v>
      </c>
      <c r="N10" s="198">
        <v>75000</v>
      </c>
      <c r="O10" s="199">
        <v>0</v>
      </c>
      <c r="P10" s="195">
        <f>O10/N10</f>
        <v>0</v>
      </c>
      <c r="Q10" s="246">
        <f>IFERROR(T10/F5,0)</f>
        <v>0</v>
      </c>
      <c r="R10" s="240"/>
      <c r="S10" s="242"/>
      <c r="T10" s="127">
        <v>10</v>
      </c>
    </row>
    <row r="11" spans="3:20" ht="15.75" thickBot="1">
      <c r="D11" s="196" t="s">
        <v>42</v>
      </c>
      <c r="E11" s="198">
        <v>250000</v>
      </c>
      <c r="F11" s="199">
        <v>0</v>
      </c>
      <c r="G11" s="209">
        <f>F11/E11</f>
        <v>0</v>
      </c>
      <c r="H11" s="210" t="e">
        <f>F11/F6</f>
        <v>#DIV/0!</v>
      </c>
      <c r="I11" s="196" t="s">
        <v>42</v>
      </c>
      <c r="J11" s="204">
        <v>0</v>
      </c>
      <c r="K11" s="205">
        <v>0</v>
      </c>
      <c r="L11" s="204">
        <v>0</v>
      </c>
      <c r="M11" s="196" t="s">
        <v>42</v>
      </c>
      <c r="N11" s="200">
        <v>75000</v>
      </c>
      <c r="O11" s="201">
        <v>0</v>
      </c>
      <c r="P11" s="197">
        <f>O11/N11</f>
        <v>0</v>
      </c>
      <c r="Q11" s="246">
        <f>IFERROR(T11/F6,0)</f>
        <v>0</v>
      </c>
      <c r="R11" s="240"/>
      <c r="S11" s="242"/>
      <c r="T11" s="127">
        <v>19</v>
      </c>
    </row>
    <row r="13" spans="3:20" ht="15.75" thickBot="1"/>
    <row r="14" spans="3:20" ht="21.75" thickBot="1">
      <c r="D14" s="319" t="s">
        <v>101</v>
      </c>
      <c r="E14" s="320"/>
      <c r="F14" s="320"/>
      <c r="G14" s="320"/>
      <c r="H14" s="320"/>
      <c r="I14" s="320"/>
      <c r="J14" s="320"/>
      <c r="K14" s="321"/>
      <c r="M14" s="322" t="s">
        <v>85</v>
      </c>
      <c r="N14" s="323"/>
      <c r="O14" s="323"/>
      <c r="P14" s="324"/>
      <c r="Q14" s="322" t="s">
        <v>104</v>
      </c>
      <c r="R14" s="323"/>
      <c r="S14" s="324"/>
    </row>
    <row r="15" spans="3:20" ht="45.75" thickBot="1">
      <c r="D15" s="219" t="s">
        <v>40</v>
      </c>
      <c r="E15" s="220" t="s">
        <v>81</v>
      </c>
      <c r="F15" s="220" t="s">
        <v>82</v>
      </c>
      <c r="G15" s="220" t="s">
        <v>51</v>
      </c>
      <c r="H15" s="220" t="s">
        <v>83</v>
      </c>
      <c r="I15" s="220" t="s">
        <v>84</v>
      </c>
      <c r="J15" s="220" t="s">
        <v>51</v>
      </c>
      <c r="K15" s="211" t="s">
        <v>78</v>
      </c>
      <c r="M15" s="192" t="s">
        <v>40</v>
      </c>
      <c r="N15" s="193" t="s">
        <v>87</v>
      </c>
      <c r="O15" s="193" t="s">
        <v>86</v>
      </c>
      <c r="P15" s="193" t="s">
        <v>51</v>
      </c>
      <c r="Q15" s="238" t="s">
        <v>102</v>
      </c>
      <c r="R15" s="238" t="s">
        <v>103</v>
      </c>
      <c r="S15" s="239" t="s">
        <v>51</v>
      </c>
    </row>
    <row r="16" spans="3:20" ht="15.75" thickBot="1">
      <c r="D16" s="216" t="s">
        <v>20</v>
      </c>
      <c r="E16" s="217">
        <v>80</v>
      </c>
      <c r="F16" s="217">
        <f>SHAREEF!I7+SHAREEF!M7</f>
        <v>0</v>
      </c>
      <c r="G16" s="218">
        <f>F16/E16</f>
        <v>0</v>
      </c>
      <c r="H16" s="212">
        <v>600000</v>
      </c>
      <c r="I16" s="213">
        <v>0</v>
      </c>
      <c r="J16" s="214">
        <f>I16/H16</f>
        <v>0</v>
      </c>
      <c r="K16" s="215" t="e">
        <f>I16/F16</f>
        <v>#DIV/0!</v>
      </c>
      <c r="M16" s="194" t="s">
        <v>20</v>
      </c>
      <c r="N16" s="221">
        <v>15</v>
      </c>
      <c r="O16" s="222">
        <v>0</v>
      </c>
      <c r="P16" s="195">
        <f>O16/N16</f>
        <v>0</v>
      </c>
      <c r="Q16" s="237">
        <v>3</v>
      </c>
      <c r="R16" s="222">
        <v>0</v>
      </c>
      <c r="S16" s="246">
        <f>R16/Q16</f>
        <v>0</v>
      </c>
    </row>
  </sheetData>
  <mergeCells count="8">
    <mergeCell ref="D14:K14"/>
    <mergeCell ref="M14:P14"/>
    <mergeCell ref="Q14:S14"/>
    <mergeCell ref="D3:O3"/>
    <mergeCell ref="P3:S3"/>
    <mergeCell ref="M8:Q8"/>
    <mergeCell ref="D8:G8"/>
    <mergeCell ref="I8:K8"/>
  </mergeCells>
  <conditionalFormatting sqref="G5:G6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5:J6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5:M6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:P6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5:S6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0:G1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0:H11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0:J11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0:K11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0:L11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0:P11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0:Q11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scale="80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C23"/>
  <sheetViews>
    <sheetView zoomScale="85" zoomScaleNormal="85" workbookViewId="0">
      <selection activeCell="R21" sqref="R21"/>
    </sheetView>
  </sheetViews>
  <sheetFormatPr defaultColWidth="9" defaultRowHeight="15"/>
  <cols>
    <col min="1" max="1" width="9" style="1"/>
    <col min="2" max="2" width="26" style="1" customWidth="1"/>
    <col min="3" max="3" width="9.85546875" style="1" hidden="1" customWidth="1"/>
    <col min="4" max="4" width="9.7109375" style="1" hidden="1" customWidth="1"/>
    <col min="5" max="5" width="9.28515625" style="1" hidden="1" customWidth="1"/>
    <col min="6" max="7" width="9.85546875" style="1" hidden="1" customWidth="1"/>
    <col min="8" max="8" width="10.28515625" style="1" hidden="1" customWidth="1"/>
    <col min="9" max="9" width="9.85546875" style="1" hidden="1" customWidth="1"/>
    <col min="10" max="10" width="9" style="1" hidden="1" customWidth="1"/>
    <col min="11" max="11" width="9.28515625" style="1" hidden="1" customWidth="1"/>
    <col min="12" max="12" width="9.85546875" style="1" hidden="1" customWidth="1"/>
    <col min="13" max="15" width="9.42578125" style="1" hidden="1" customWidth="1"/>
    <col min="16" max="16" width="9" style="1" hidden="1" customWidth="1"/>
    <col min="17" max="17" width="9.42578125" style="1" hidden="1" customWidth="1"/>
    <col min="18" max="23" width="9.42578125" style="1" customWidth="1"/>
    <col min="24" max="26" width="9.42578125" style="1" hidden="1" customWidth="1"/>
    <col min="27" max="27" width="10.140625" style="1" customWidth="1"/>
    <col min="28" max="28" width="10.28515625" style="1" customWidth="1"/>
    <col min="29" max="16384" width="9" style="1"/>
  </cols>
  <sheetData>
    <row r="1" spans="1:29" ht="15.75" thickBot="1">
      <c r="A1" s="145" t="s">
        <v>52</v>
      </c>
    </row>
    <row r="2" spans="1:29" ht="19.5" customHeight="1" thickBot="1">
      <c r="B2" s="365" t="s">
        <v>53</v>
      </c>
      <c r="C2" s="366"/>
      <c r="D2" s="366"/>
      <c r="E2" s="366"/>
      <c r="F2" s="366"/>
      <c r="G2" s="366"/>
      <c r="H2" s="366"/>
      <c r="I2" s="366"/>
      <c r="J2" s="366"/>
      <c r="K2" s="366"/>
      <c r="L2" s="366"/>
      <c r="M2" s="366"/>
      <c r="N2" s="366"/>
      <c r="O2" s="366"/>
      <c r="P2" s="366"/>
      <c r="Q2" s="366"/>
      <c r="R2" s="366"/>
      <c r="S2" s="366"/>
      <c r="T2" s="366"/>
      <c r="U2" s="366"/>
      <c r="V2" s="366"/>
      <c r="W2" s="366"/>
      <c r="X2" s="366"/>
      <c r="Y2" s="366"/>
      <c r="Z2" s="366"/>
      <c r="AA2" s="366"/>
      <c r="AB2" s="366"/>
      <c r="AC2" s="367"/>
    </row>
    <row r="3" spans="1:29" s="79" customFormat="1" ht="137.25" customHeight="1" thickBot="1">
      <c r="B3" s="146" t="s">
        <v>7</v>
      </c>
      <c r="C3" s="336"/>
      <c r="D3" s="337"/>
      <c r="E3" s="338"/>
      <c r="F3" s="336"/>
      <c r="G3" s="337"/>
      <c r="H3" s="338"/>
      <c r="I3" s="336"/>
      <c r="J3" s="337"/>
      <c r="K3" s="338"/>
      <c r="L3" s="336"/>
      <c r="M3" s="337"/>
      <c r="N3" s="338"/>
      <c r="O3" s="336"/>
      <c r="P3" s="337"/>
      <c r="Q3" s="338"/>
      <c r="R3" s="336"/>
      <c r="S3" s="337"/>
      <c r="T3" s="338"/>
      <c r="U3" s="336"/>
      <c r="V3" s="337"/>
      <c r="W3" s="337"/>
      <c r="X3" s="336"/>
      <c r="Y3" s="337"/>
      <c r="Z3" s="339"/>
      <c r="AA3" s="362" t="s">
        <v>12</v>
      </c>
      <c r="AB3" s="363"/>
      <c r="AC3" s="363"/>
    </row>
    <row r="4" spans="1:29" s="79" customFormat="1" ht="33.75" customHeight="1" thickBot="1">
      <c r="B4" s="147" t="s">
        <v>54</v>
      </c>
      <c r="C4" s="355"/>
      <c r="D4" s="356"/>
      <c r="E4" s="357"/>
      <c r="F4" s="355"/>
      <c r="G4" s="356"/>
      <c r="H4" s="357"/>
      <c r="I4" s="355"/>
      <c r="J4" s="356"/>
      <c r="K4" s="357"/>
      <c r="L4" s="355"/>
      <c r="M4" s="356"/>
      <c r="N4" s="357"/>
      <c r="O4" s="355"/>
      <c r="P4" s="356"/>
      <c r="Q4" s="357"/>
      <c r="R4" s="355" t="s">
        <v>42</v>
      </c>
      <c r="S4" s="356"/>
      <c r="T4" s="356"/>
      <c r="U4" s="380" t="s">
        <v>55</v>
      </c>
      <c r="V4" s="381"/>
      <c r="W4" s="382"/>
      <c r="X4" s="355" t="s">
        <v>56</v>
      </c>
      <c r="Y4" s="356"/>
      <c r="Z4" s="357"/>
      <c r="AA4" s="364"/>
      <c r="AB4" s="364"/>
      <c r="AC4" s="364"/>
    </row>
    <row r="5" spans="1:29" s="79" customFormat="1" ht="15" customHeight="1" thickBot="1">
      <c r="B5" s="148" t="s">
        <v>57</v>
      </c>
      <c r="C5" s="149"/>
      <c r="D5" s="150"/>
      <c r="E5" s="151"/>
      <c r="F5" s="152"/>
      <c r="G5" s="150"/>
      <c r="H5" s="151"/>
      <c r="I5" s="152"/>
      <c r="J5" s="150"/>
      <c r="K5" s="151"/>
      <c r="L5" s="152"/>
      <c r="M5" s="150"/>
      <c r="N5" s="151"/>
      <c r="O5" s="152"/>
      <c r="P5" s="150"/>
      <c r="Q5" s="151"/>
      <c r="R5" s="152" t="s">
        <v>58</v>
      </c>
      <c r="S5" s="150" t="s">
        <v>59</v>
      </c>
      <c r="T5" s="153" t="s">
        <v>60</v>
      </c>
      <c r="U5" s="152" t="s">
        <v>58</v>
      </c>
      <c r="V5" s="150" t="s">
        <v>59</v>
      </c>
      <c r="W5" s="151" t="s">
        <v>60</v>
      </c>
      <c r="X5" s="152"/>
      <c r="Y5" s="150"/>
      <c r="Z5" s="151"/>
      <c r="AA5" s="154" t="s">
        <v>58</v>
      </c>
      <c r="AB5" s="155" t="s">
        <v>59</v>
      </c>
      <c r="AC5" s="156" t="s">
        <v>60</v>
      </c>
    </row>
    <row r="6" spans="1:29" ht="15.75" customHeight="1">
      <c r="B6" s="157" t="s">
        <v>5</v>
      </c>
      <c r="C6" s="158"/>
      <c r="D6" s="159"/>
      <c r="E6" s="160"/>
      <c r="F6" s="161"/>
      <c r="G6" s="159"/>
      <c r="H6" s="160"/>
      <c r="I6" s="161"/>
      <c r="J6" s="159"/>
      <c r="K6" s="160"/>
      <c r="L6" s="161"/>
      <c r="M6" s="159"/>
      <c r="N6" s="160"/>
      <c r="O6" s="161"/>
      <c r="P6" s="159"/>
      <c r="Q6" s="160"/>
      <c r="R6" s="161">
        <v>150</v>
      </c>
      <c r="S6" s="159">
        <f>SHAREEF!E8</f>
        <v>0</v>
      </c>
      <c r="T6" s="162">
        <f>S6/R6</f>
        <v>0</v>
      </c>
      <c r="U6" s="161">
        <v>150</v>
      </c>
      <c r="V6" s="159">
        <f>SHAREEF!E6</f>
        <v>0</v>
      </c>
      <c r="W6" s="160">
        <f>V6/U6</f>
        <v>0</v>
      </c>
      <c r="X6" s="161"/>
      <c r="Y6" s="159"/>
      <c r="Z6" s="160"/>
      <c r="AA6" s="163">
        <f>+C6+F6+I6+L6+O6+R6+U6+X6</f>
        <v>300</v>
      </c>
      <c r="AB6" s="164">
        <f>+D6+G6+J6+M6+P6+S6+V6+Y6</f>
        <v>0</v>
      </c>
      <c r="AC6" s="165">
        <f t="shared" ref="AC6:AC15" si="0">AB6/AA6</f>
        <v>0</v>
      </c>
    </row>
    <row r="7" spans="1:29" ht="21" customHeight="1">
      <c r="B7" s="157" t="s">
        <v>30</v>
      </c>
      <c r="C7" s="158"/>
      <c r="D7" s="159"/>
      <c r="E7" s="160"/>
      <c r="F7" s="158"/>
      <c r="G7" s="159"/>
      <c r="H7" s="160"/>
      <c r="I7" s="158"/>
      <c r="J7" s="159"/>
      <c r="K7" s="160"/>
      <c r="L7" s="158"/>
      <c r="M7" s="159"/>
      <c r="N7" s="160"/>
      <c r="O7" s="158"/>
      <c r="P7" s="159"/>
      <c r="Q7" s="160"/>
      <c r="R7" s="161">
        <v>250000</v>
      </c>
      <c r="S7" s="159">
        <v>0</v>
      </c>
      <c r="T7" s="162">
        <f>S7/R7</f>
        <v>0</v>
      </c>
      <c r="U7" s="161">
        <v>250000</v>
      </c>
      <c r="V7" s="159">
        <v>0</v>
      </c>
      <c r="W7" s="160">
        <f>V7/U7</f>
        <v>0</v>
      </c>
      <c r="X7" s="161"/>
      <c r="Y7" s="159"/>
      <c r="Z7" s="160"/>
      <c r="AA7" s="163">
        <f>+C7+F7+I7+L7+O7+R7+U7+X7</f>
        <v>500000</v>
      </c>
      <c r="AB7" s="164">
        <f>+D7+G7+J7+M7+P7+S7+V7+Y7</f>
        <v>0</v>
      </c>
      <c r="AC7" s="165">
        <f t="shared" si="0"/>
        <v>0</v>
      </c>
    </row>
    <row r="8" spans="1:29" ht="16.5" customHeight="1">
      <c r="B8" s="157" t="s">
        <v>61</v>
      </c>
      <c r="C8" s="158"/>
      <c r="D8" s="158"/>
      <c r="E8" s="160"/>
      <c r="F8" s="158"/>
      <c r="G8" s="158"/>
      <c r="H8" s="160"/>
      <c r="I8" s="158"/>
      <c r="J8" s="158"/>
      <c r="K8" s="160"/>
      <c r="L8" s="158"/>
      <c r="M8" s="158"/>
      <c r="N8" s="160"/>
      <c r="O8" s="158"/>
      <c r="P8" s="158"/>
      <c r="Q8" s="160"/>
      <c r="R8" s="158">
        <f>+R7/R6</f>
        <v>1666.6666666666667</v>
      </c>
      <c r="S8" s="158" t="e">
        <f>+S7/S6</f>
        <v>#DIV/0!</v>
      </c>
      <c r="T8" s="162" t="e">
        <f>S8/R8</f>
        <v>#DIV/0!</v>
      </c>
      <c r="U8" s="161">
        <f>+U7/U6</f>
        <v>1666.6666666666667</v>
      </c>
      <c r="V8" s="158" t="e">
        <f>+V7/V6</f>
        <v>#DIV/0!</v>
      </c>
      <c r="W8" s="160" t="e">
        <f>V8/U8</f>
        <v>#DIV/0!</v>
      </c>
      <c r="X8" s="161"/>
      <c r="Y8" s="158"/>
      <c r="Z8" s="160"/>
      <c r="AA8" s="163">
        <f>+AA7/AA6</f>
        <v>1666.6666666666667</v>
      </c>
      <c r="AB8" s="163" t="e">
        <f>+AB7/AB6</f>
        <v>#DIV/0!</v>
      </c>
      <c r="AC8" s="165" t="e">
        <f t="shared" si="0"/>
        <v>#DIV/0!</v>
      </c>
    </row>
    <row r="9" spans="1:29" ht="17.25">
      <c r="B9" s="157" t="s">
        <v>62</v>
      </c>
      <c r="C9" s="158"/>
      <c r="D9" s="159"/>
      <c r="E9" s="160"/>
      <c r="F9" s="161"/>
      <c r="G9" s="159"/>
      <c r="H9" s="160"/>
      <c r="I9" s="161"/>
      <c r="J9" s="159"/>
      <c r="K9" s="160"/>
      <c r="L9" s="161"/>
      <c r="M9" s="159"/>
      <c r="N9" s="160"/>
      <c r="O9" s="161"/>
      <c r="P9" s="159"/>
      <c r="Q9" s="160"/>
      <c r="R9" s="161">
        <v>35</v>
      </c>
      <c r="S9" s="159">
        <f>SHAREEF!F8+SHAREEF!J8</f>
        <v>0</v>
      </c>
      <c r="T9" s="162">
        <f>S9/R9</f>
        <v>0</v>
      </c>
      <c r="U9" s="161">
        <v>35</v>
      </c>
      <c r="V9" s="159">
        <f>SHAREEF!F6+SHAREEF!J6</f>
        <v>0</v>
      </c>
      <c r="W9" s="160">
        <f>V9/U9</f>
        <v>0</v>
      </c>
      <c r="X9" s="161"/>
      <c r="Y9" s="159"/>
      <c r="Z9" s="160"/>
      <c r="AA9" s="163">
        <f>+C9+F9+I9+L9+O9+R9+U9+X9</f>
        <v>70</v>
      </c>
      <c r="AB9" s="164">
        <f>+D9+G9+J9+M9+P9+S9+V9+Y9</f>
        <v>0</v>
      </c>
      <c r="AC9" s="165">
        <f t="shared" si="0"/>
        <v>0</v>
      </c>
    </row>
    <row r="10" spans="1:29" ht="17.25">
      <c r="B10" s="157" t="s">
        <v>63</v>
      </c>
      <c r="C10" s="158"/>
      <c r="D10" s="159"/>
      <c r="E10" s="166"/>
      <c r="F10" s="161"/>
      <c r="G10" s="159"/>
      <c r="H10" s="166"/>
      <c r="I10" s="161"/>
      <c r="J10" s="159"/>
      <c r="K10" s="166"/>
      <c r="L10" s="161"/>
      <c r="M10" s="159"/>
      <c r="N10" s="166"/>
      <c r="O10" s="161"/>
      <c r="P10" s="159"/>
      <c r="Q10" s="160"/>
      <c r="R10" s="161">
        <v>135</v>
      </c>
      <c r="S10" s="159">
        <v>0</v>
      </c>
      <c r="T10" s="167">
        <f>S10/R10</f>
        <v>0</v>
      </c>
      <c r="U10" s="161">
        <v>135</v>
      </c>
      <c r="V10" s="159">
        <v>0</v>
      </c>
      <c r="W10" s="160">
        <f>V10/U10</f>
        <v>0</v>
      </c>
      <c r="X10" s="161"/>
      <c r="Y10" s="159"/>
      <c r="Z10" s="160"/>
      <c r="AA10" s="163">
        <f t="shared" ref="AA10:AA15" si="1">+C10+F10+I10+L10+O10+R10+U10+X10</f>
        <v>270</v>
      </c>
      <c r="AB10" s="163">
        <v>136</v>
      </c>
      <c r="AC10" s="165">
        <f t="shared" si="0"/>
        <v>0.50370370370370365</v>
      </c>
    </row>
    <row r="11" spans="1:29" ht="17.25">
      <c r="B11" s="157" t="s">
        <v>64</v>
      </c>
      <c r="C11" s="158"/>
      <c r="D11" s="159"/>
      <c r="E11" s="166"/>
      <c r="F11" s="161"/>
      <c r="G11" s="159"/>
      <c r="H11" s="166"/>
      <c r="I11" s="161"/>
      <c r="J11" s="159"/>
      <c r="K11" s="166"/>
      <c r="L11" s="161"/>
      <c r="M11" s="159"/>
      <c r="N11" s="166"/>
      <c r="O11" s="161"/>
      <c r="P11" s="159"/>
      <c r="Q11" s="166"/>
      <c r="R11" s="161">
        <v>15</v>
      </c>
      <c r="S11" s="159">
        <v>0</v>
      </c>
      <c r="T11" s="167">
        <f t="shared" ref="T11:T15" si="2">S11/R11</f>
        <v>0</v>
      </c>
      <c r="U11" s="161">
        <v>15</v>
      </c>
      <c r="V11" s="159">
        <v>0</v>
      </c>
      <c r="W11" s="160">
        <f t="shared" ref="W11:W15" si="3">V11/U11</f>
        <v>0</v>
      </c>
      <c r="X11" s="161"/>
      <c r="Y11" s="159"/>
      <c r="Z11" s="160"/>
      <c r="AA11" s="163">
        <f t="shared" si="1"/>
        <v>30</v>
      </c>
      <c r="AB11" s="163">
        <f>+D11+G11+J11+M11+P11+S11+V11</f>
        <v>0</v>
      </c>
      <c r="AC11" s="168">
        <f t="shared" si="0"/>
        <v>0</v>
      </c>
    </row>
    <row r="12" spans="1:29" ht="17.25">
      <c r="B12" s="169" t="s">
        <v>65</v>
      </c>
      <c r="C12" s="170"/>
      <c r="D12" s="171"/>
      <c r="E12" s="166"/>
      <c r="F12" s="171"/>
      <c r="G12" s="171"/>
      <c r="H12" s="166"/>
      <c r="I12" s="171"/>
      <c r="J12" s="171"/>
      <c r="K12" s="160"/>
      <c r="L12" s="171"/>
      <c r="M12" s="171"/>
      <c r="N12" s="166"/>
      <c r="O12" s="171"/>
      <c r="P12" s="171"/>
      <c r="Q12" s="166"/>
      <c r="R12" s="171">
        <v>5</v>
      </c>
      <c r="S12" s="171">
        <v>0</v>
      </c>
      <c r="T12" s="167">
        <f t="shared" si="2"/>
        <v>0</v>
      </c>
      <c r="U12" s="172">
        <v>5</v>
      </c>
      <c r="V12" s="171">
        <v>0</v>
      </c>
      <c r="W12" s="160">
        <f t="shared" si="3"/>
        <v>0</v>
      </c>
      <c r="X12" s="172"/>
      <c r="Y12" s="171"/>
      <c r="Z12" s="160"/>
      <c r="AA12" s="163">
        <f t="shared" si="1"/>
        <v>10</v>
      </c>
      <c r="AB12" s="163">
        <f>+D12+G12+J12+M12+P12+S12+V12</f>
        <v>0</v>
      </c>
      <c r="AC12" s="165">
        <f t="shared" si="0"/>
        <v>0</v>
      </c>
    </row>
    <row r="13" spans="1:29" ht="17.25">
      <c r="B13" s="169" t="s">
        <v>66</v>
      </c>
      <c r="C13" s="170"/>
      <c r="D13" s="171"/>
      <c r="E13" s="166"/>
      <c r="F13" s="171"/>
      <c r="G13" s="171"/>
      <c r="H13" s="166"/>
      <c r="I13" s="171"/>
      <c r="J13" s="171"/>
      <c r="K13" s="166"/>
      <c r="L13" s="171"/>
      <c r="M13" s="171"/>
      <c r="N13" s="166"/>
      <c r="O13" s="171"/>
      <c r="P13" s="171"/>
      <c r="Q13" s="166"/>
      <c r="R13" s="171">
        <v>8</v>
      </c>
      <c r="S13" s="171">
        <v>0</v>
      </c>
      <c r="T13" s="167">
        <f t="shared" si="2"/>
        <v>0</v>
      </c>
      <c r="U13" s="172">
        <v>8</v>
      </c>
      <c r="V13" s="171">
        <v>0</v>
      </c>
      <c r="W13" s="160">
        <f t="shared" si="3"/>
        <v>0</v>
      </c>
      <c r="X13" s="172"/>
      <c r="Y13" s="171"/>
      <c r="Z13" s="160"/>
      <c r="AA13" s="163">
        <f t="shared" si="1"/>
        <v>16</v>
      </c>
      <c r="AB13" s="164">
        <f>+D13+G13+J13+M13+P13+S13+V13+Y13</f>
        <v>0</v>
      </c>
      <c r="AC13" s="168">
        <f t="shared" si="0"/>
        <v>0</v>
      </c>
    </row>
    <row r="14" spans="1:29" ht="18" thickBot="1">
      <c r="B14" s="169" t="s">
        <v>67</v>
      </c>
      <c r="C14" s="158"/>
      <c r="D14" s="171"/>
      <c r="E14" s="166"/>
      <c r="F14" s="158"/>
      <c r="G14" s="171"/>
      <c r="H14" s="166"/>
      <c r="I14" s="158"/>
      <c r="J14" s="171"/>
      <c r="K14" s="166"/>
      <c r="L14" s="158"/>
      <c r="M14" s="171"/>
      <c r="N14" s="166"/>
      <c r="O14" s="158"/>
      <c r="P14" s="171"/>
      <c r="Q14" s="160"/>
      <c r="R14" s="158">
        <v>4</v>
      </c>
      <c r="S14" s="171">
        <v>0</v>
      </c>
      <c r="T14" s="173">
        <f t="shared" si="2"/>
        <v>0</v>
      </c>
      <c r="U14" s="161">
        <v>4</v>
      </c>
      <c r="V14" s="171">
        <v>0</v>
      </c>
      <c r="W14" s="160">
        <f t="shared" si="3"/>
        <v>0</v>
      </c>
      <c r="X14" s="161"/>
      <c r="Y14" s="171"/>
      <c r="Z14" s="160"/>
      <c r="AA14" s="163">
        <f t="shared" si="1"/>
        <v>8</v>
      </c>
      <c r="AB14" s="164">
        <f>+D14+G14+J14+M14+P14+S14+V14+Y14</f>
        <v>0</v>
      </c>
      <c r="AC14" s="165">
        <f t="shared" si="0"/>
        <v>0</v>
      </c>
    </row>
    <row r="15" spans="1:29" ht="15.75" customHeight="1" thickBot="1">
      <c r="B15" s="148" t="s">
        <v>68</v>
      </c>
      <c r="C15" s="170"/>
      <c r="D15" s="171"/>
      <c r="E15" s="174"/>
      <c r="F15" s="171"/>
      <c r="G15" s="171"/>
      <c r="H15" s="174"/>
      <c r="I15" s="171"/>
      <c r="J15" s="171"/>
      <c r="K15" s="174"/>
      <c r="L15" s="171"/>
      <c r="M15" s="171"/>
      <c r="N15" s="174"/>
      <c r="O15" s="171"/>
      <c r="P15" s="171"/>
      <c r="Q15" s="174"/>
      <c r="R15" s="175">
        <v>30</v>
      </c>
      <c r="S15" s="175">
        <v>0</v>
      </c>
      <c r="T15" s="176">
        <f t="shared" si="2"/>
        <v>0</v>
      </c>
      <c r="U15" s="177">
        <v>30</v>
      </c>
      <c r="V15" s="175">
        <v>0</v>
      </c>
      <c r="W15" s="178">
        <f t="shared" si="3"/>
        <v>0</v>
      </c>
      <c r="X15" s="177"/>
      <c r="Y15" s="175"/>
      <c r="Z15" s="178"/>
      <c r="AA15" s="163">
        <f t="shared" si="1"/>
        <v>60</v>
      </c>
      <c r="AB15" s="163">
        <f>+D15+G15+J15+M15+P15+S15+V15</f>
        <v>0</v>
      </c>
      <c r="AC15" s="165">
        <f t="shared" si="0"/>
        <v>0</v>
      </c>
    </row>
    <row r="16" spans="1:29" ht="21" customHeight="1">
      <c r="B16" s="358" t="s">
        <v>69</v>
      </c>
      <c r="C16" s="340"/>
      <c r="D16" s="341"/>
      <c r="E16" s="342"/>
      <c r="F16" s="340"/>
      <c r="G16" s="341"/>
      <c r="H16" s="342"/>
      <c r="I16" s="340"/>
      <c r="J16" s="341"/>
      <c r="K16" s="342"/>
      <c r="L16" s="340"/>
      <c r="M16" s="341"/>
      <c r="N16" s="342"/>
      <c r="O16" s="340"/>
      <c r="P16" s="341"/>
      <c r="Q16" s="342"/>
      <c r="R16" s="346" t="e">
        <f>SUM(T6:T15)/10</f>
        <v>#DIV/0!</v>
      </c>
      <c r="S16" s="347"/>
      <c r="T16" s="348"/>
      <c r="U16" s="346" t="e">
        <f>SUM(W6:W15)/10</f>
        <v>#DIV/0!</v>
      </c>
      <c r="V16" s="347"/>
      <c r="W16" s="348"/>
      <c r="X16" s="352"/>
      <c r="Y16" s="353"/>
      <c r="Z16" s="354"/>
      <c r="AA16" s="340">
        <v>0.52</v>
      </c>
      <c r="AB16" s="341"/>
      <c r="AC16" s="342"/>
    </row>
    <row r="17" spans="2:29" s="179" customFormat="1" ht="16.5" customHeight="1" thickBot="1">
      <c r="B17" s="359"/>
      <c r="C17" s="343"/>
      <c r="D17" s="344"/>
      <c r="E17" s="345"/>
      <c r="F17" s="343"/>
      <c r="G17" s="344"/>
      <c r="H17" s="345"/>
      <c r="I17" s="343"/>
      <c r="J17" s="344"/>
      <c r="K17" s="345"/>
      <c r="L17" s="343"/>
      <c r="M17" s="344"/>
      <c r="N17" s="345"/>
      <c r="O17" s="343"/>
      <c r="P17" s="344"/>
      <c r="Q17" s="345"/>
      <c r="R17" s="349"/>
      <c r="S17" s="350"/>
      <c r="T17" s="351"/>
      <c r="U17" s="349"/>
      <c r="V17" s="350"/>
      <c r="W17" s="351"/>
      <c r="X17" s="343"/>
      <c r="Y17" s="344"/>
      <c r="Z17" s="345"/>
      <c r="AA17" s="343"/>
      <c r="AB17" s="344"/>
      <c r="AC17" s="345"/>
    </row>
    <row r="18" spans="2:29" ht="29.25" thickBot="1">
      <c r="B18" s="180" t="s">
        <v>70</v>
      </c>
      <c r="C18" s="368"/>
      <c r="D18" s="369"/>
      <c r="E18" s="370"/>
      <c r="F18" s="371"/>
      <c r="G18" s="372"/>
      <c r="H18" s="373"/>
      <c r="I18" s="368"/>
      <c r="J18" s="369"/>
      <c r="K18" s="370"/>
      <c r="L18" s="371"/>
      <c r="M18" s="372"/>
      <c r="N18" s="373"/>
      <c r="O18" s="371"/>
      <c r="P18" s="372"/>
      <c r="Q18" s="373"/>
      <c r="R18" s="374">
        <v>2</v>
      </c>
      <c r="S18" s="375"/>
      <c r="T18" s="376"/>
      <c r="U18" s="374">
        <v>6</v>
      </c>
      <c r="V18" s="375"/>
      <c r="W18" s="376"/>
      <c r="X18" s="374"/>
      <c r="Y18" s="375"/>
      <c r="Z18" s="376"/>
      <c r="AA18" s="377"/>
      <c r="AB18" s="378"/>
      <c r="AC18" s="379"/>
    </row>
    <row r="19" spans="2:29" ht="18.75">
      <c r="B19" s="360"/>
      <c r="C19" s="360"/>
      <c r="D19" s="360"/>
      <c r="E19" s="360"/>
      <c r="F19" s="360"/>
      <c r="G19" s="360"/>
      <c r="H19" s="360"/>
      <c r="I19" s="360"/>
      <c r="J19" s="360"/>
      <c r="K19" s="360"/>
      <c r="L19" s="360"/>
      <c r="M19" s="360"/>
      <c r="N19" s="360"/>
      <c r="O19" s="360"/>
      <c r="P19" s="360"/>
      <c r="Q19" s="360"/>
      <c r="R19" s="361"/>
      <c r="S19" s="361"/>
      <c r="T19" s="361"/>
      <c r="U19" s="361"/>
      <c r="V19" s="361"/>
      <c r="W19" s="361"/>
      <c r="X19" s="361"/>
      <c r="Y19" s="361"/>
      <c r="Z19" s="361"/>
      <c r="AA19" s="361"/>
      <c r="AB19" s="361"/>
      <c r="AC19" s="361"/>
    </row>
    <row r="23" spans="2:29">
      <c r="B23" s="181"/>
    </row>
  </sheetData>
  <mergeCells count="38">
    <mergeCell ref="B19:AC19"/>
    <mergeCell ref="AA3:AC4"/>
    <mergeCell ref="B2:AC2"/>
    <mergeCell ref="AA16:AC17"/>
    <mergeCell ref="C18:E18"/>
    <mergeCell ref="F18:H18"/>
    <mergeCell ref="I18:K18"/>
    <mergeCell ref="L18:N18"/>
    <mergeCell ref="O18:Q18"/>
    <mergeCell ref="R18:T18"/>
    <mergeCell ref="U18:W18"/>
    <mergeCell ref="X18:Z18"/>
    <mergeCell ref="AA18:AC18"/>
    <mergeCell ref="R4:T4"/>
    <mergeCell ref="U4:W4"/>
    <mergeCell ref="X4:Z4"/>
    <mergeCell ref="B16:B17"/>
    <mergeCell ref="C16:E17"/>
    <mergeCell ref="F16:H17"/>
    <mergeCell ref="I16:K17"/>
    <mergeCell ref="L16:N17"/>
    <mergeCell ref="O16:Q17"/>
    <mergeCell ref="R16:T17"/>
    <mergeCell ref="U16:W17"/>
    <mergeCell ref="X16:Z17"/>
    <mergeCell ref="C4:E4"/>
    <mergeCell ref="F4:H4"/>
    <mergeCell ref="I4:K4"/>
    <mergeCell ref="L4:N4"/>
    <mergeCell ref="O4:Q4"/>
    <mergeCell ref="R3:T3"/>
    <mergeCell ref="U3:W3"/>
    <mergeCell ref="X3:Z3"/>
    <mergeCell ref="C3:E3"/>
    <mergeCell ref="F3:H3"/>
    <mergeCell ref="I3:K3"/>
    <mergeCell ref="L3:N3"/>
    <mergeCell ref="O3:Q3"/>
  </mergeCells>
  <conditionalFormatting sqref="C18:U18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8:H18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18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:E18 I18:U18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SHAREEF</vt:lpstr>
      <vt:lpstr>Carry Over Ratio</vt:lpstr>
      <vt:lpstr>Sheet1</vt:lpstr>
      <vt:lpstr>Sheet4</vt:lpstr>
      <vt:lpstr>Sheet2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Apache POI</dc:creator>
  <cp:lastModifiedBy>ADMIN</cp:lastModifiedBy>
  <cp:lastPrinted>2025-06-02T10:22:41Z</cp:lastPrinted>
  <dcterms:created xsi:type="dcterms:W3CDTF">2022-10-20T05:33:05Z</dcterms:created>
  <dcterms:modified xsi:type="dcterms:W3CDTF">2025-11-27T06:12:08Z</dcterms:modified>
</cp:coreProperties>
</file>